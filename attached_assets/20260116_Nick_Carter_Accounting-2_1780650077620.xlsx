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k Carter LLT Data" sheetId="1" r:id="rId5"/>
    <sheet state="visible" name="NEW Nick Carter LLT Data" sheetId="2" r:id="rId6"/>
    <sheet state="visible" name="NEW Disputes" sheetId="3" r:id="rId7"/>
    <sheet state="visible" name="Single Series" sheetId="4" r:id="rId8"/>
    <sheet state="visible" name="Double LP" sheetId="5" r:id="rId9"/>
    <sheet state="visible" name="Love Life Tragedy (Double Album" sheetId="6" r:id="rId10"/>
    <sheet state="visible" name="Hurts To Love You" sheetId="7" r:id="rId11"/>
    <sheet state="visible" name="Superman" sheetId="8" r:id="rId12"/>
    <sheet state="visible" name="Never Break My Heart" sheetId="9" r:id="rId13"/>
    <sheet state="visible" name="Searchlight" sheetId="10" r:id="rId14"/>
    <sheet state="visible" name="Cold Night" sheetId="11" r:id="rId15"/>
    <sheet state="visible" name="Storms" sheetId="12" r:id="rId16"/>
    <sheet state="visible" name="GoodDeed® Certificate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tc={6e4ecdd3-2a36-413f-9fb7-9526a274d0da}</author>
  </authors>
  <commentList>
    <comment authorId="0" xr:uid="{6e4ecdd3-2a36-413f-9fb7-9526a274d0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doesn't include a $100 GoodDeed or Shipping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tc={6cf2255d-a700-4809-9f90-d83369b8ae54}</author>
  </authors>
  <commentList>
    <comment authorId="0" xr:uid="{6cf2255d-a700-4809-9f90-d83369b8ae54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doesn't include a $100 GoodDeed or Shipping
</t>
      </text>
    </comment>
  </commentList>
</comments>
</file>

<file path=xl/sharedStrings.xml><?xml version="1.0" encoding="utf-8"?>
<sst xmlns="http://schemas.openxmlformats.org/spreadsheetml/2006/main" count="13541" uniqueCount="2321">
  <si>
    <t>HTLY</t>
  </si>
  <si>
    <t>Superman</t>
  </si>
  <si>
    <t>NBMH</t>
  </si>
  <si>
    <t>Searchlight</t>
  </si>
  <si>
    <t>Cold Night</t>
  </si>
  <si>
    <t>Storms</t>
  </si>
  <si>
    <t>Double LP</t>
  </si>
  <si>
    <t>Price Per Unit</t>
  </si>
  <si>
    <t xml:space="preserve">GoodTunes Fee </t>
  </si>
  <si>
    <t>Subtotal</t>
  </si>
  <si>
    <t>Total Units Sold</t>
  </si>
  <si>
    <t>Total Revenue</t>
  </si>
  <si>
    <t>Manufacturing Cost</t>
  </si>
  <si>
    <t xml:space="preserve">Publishing </t>
  </si>
  <si>
    <t>Net</t>
  </si>
  <si>
    <t>GoodDeed®</t>
  </si>
  <si>
    <t>GoodDeed- To Nick</t>
  </si>
  <si>
    <t xml:space="preserve">Total GoodDeed </t>
  </si>
  <si>
    <t>Grand Total</t>
  </si>
  <si>
    <t>Credit Card Fee</t>
  </si>
  <si>
    <t>Due to Nick</t>
  </si>
  <si>
    <t>Manufacturing Cost for Double LP: Freight + Potential adjustment (+/- 10%) in final invoice.</t>
  </si>
  <si>
    <t xml:space="preserve">Total Estimated Due </t>
  </si>
  <si>
    <t>INVENTORY</t>
  </si>
  <si>
    <t>Received</t>
  </si>
  <si>
    <t>Damaged</t>
  </si>
  <si>
    <t>Sold</t>
  </si>
  <si>
    <t>Actual on-site</t>
  </si>
  <si>
    <t>Publishing Link here</t>
  </si>
  <si>
    <t>Created date (UTC)</t>
  </si>
  <si>
    <t>Amount</t>
  </si>
  <si>
    <t>Customer Email</t>
  </si>
  <si>
    <t>Shipping Name</t>
  </si>
  <si>
    <t>Shipping Address Line1</t>
  </si>
  <si>
    <t>Shipping Address Line2</t>
  </si>
  <si>
    <t>Shipping Address City</t>
  </si>
  <si>
    <t>Shipping Address State</t>
  </si>
  <si>
    <t>Shipping Address Country</t>
  </si>
  <si>
    <t>Shipping Address Postal Code</t>
  </si>
  <si>
    <t>Disputed Amount</t>
  </si>
  <si>
    <t>Dispute Date (UTC)</t>
  </si>
  <si>
    <t>Dispute Evidence Due (UTC)</t>
  </si>
  <si>
    <t>Dispute Reason</t>
  </si>
  <si>
    <t>Dispute Status</t>
  </si>
  <si>
    <t>release_id (metadata)</t>
  </si>
  <si>
    <t>txn_id (metadata)</t>
  </si>
  <si>
    <t>zmpvqkqjv2@privaterelay.appleid.com</t>
  </si>
  <si>
    <t>Ashleigh Gibbs</t>
  </si>
  <si>
    <t>9/15-17 Betts Street</t>
  </si>
  <si>
    <t>Parramatta</t>
  </si>
  <si>
    <t>NSW</t>
  </si>
  <si>
    <t>AU</t>
  </si>
  <si>
    <t>product_not_received</t>
  </si>
  <si>
    <t>lost</t>
  </si>
  <si>
    <t>98685131-1f09-454d-8ac4-ad76488f26b0</t>
  </si>
  <si>
    <t>15-17 Betts Street</t>
  </si>
  <si>
    <t>c6d36520-0565-4edd-897e-d3d5bed3d4a3</t>
  </si>
  <si>
    <t>a55b07b2-c70f-40ae-8f84-6337729accf3</t>
  </si>
  <si>
    <t>3614c98f-c3f5-4754-832b-8b74ddf26b3f</t>
  </si>
  <si>
    <t xml:space="preserve">Note: We because of her Apple private relay, Ashleigh wasn't receiving our updates. In the end, even with the disputes lost we shipped her everything on 12/17/25 and added a letter explaining what had happened. We asked if she would consider reversing the dispute. We've heard nothing. </t>
  </si>
  <si>
    <t>Hurts to Love You - LLT (Single Series) (1)</t>
  </si>
  <si>
    <t>Marlene Gray</t>
  </si>
  <si>
    <t>won</t>
  </si>
  <si>
    <t>Superman - LLT (Single Series) (1)</t>
  </si>
  <si>
    <t>Stephanie Kaye Kinkade</t>
  </si>
  <si>
    <t xml:space="preserve">Vinyl </t>
  </si>
  <si>
    <t>Never Break My Heart</t>
  </si>
  <si>
    <t>SALES / Unit</t>
  </si>
  <si>
    <t>Price per Unit</t>
  </si>
  <si>
    <t>Total Sales</t>
  </si>
  <si>
    <t>COSTS / Unit</t>
  </si>
  <si>
    <t>Manufacturing</t>
  </si>
  <si>
    <t>Publishing (12.7¢ ea)</t>
  </si>
  <si>
    <t xml:space="preserve">   Digital</t>
  </si>
  <si>
    <t xml:space="preserve">   Physical</t>
  </si>
  <si>
    <t>Stripe Fee (2.9% + $0.30)</t>
  </si>
  <si>
    <t>GoGoods® Flat fee</t>
  </si>
  <si>
    <t>Total Costs / Unit</t>
  </si>
  <si>
    <t>Total Costs</t>
  </si>
  <si>
    <t>Net Profit</t>
  </si>
  <si>
    <t>Sales/ Unit</t>
  </si>
  <si>
    <t>COST / Unit</t>
  </si>
  <si>
    <r>
      <rPr>
        <rFont val="Arial"/>
        <b/>
        <color theme="1"/>
      </rPr>
      <t xml:space="preserve">Total Profit </t>
    </r>
    <r>
      <rPr>
        <rFont val="Arial"/>
        <b val="0"/>
        <color theme="1"/>
      </rPr>
      <t>(GoodDeed®)</t>
    </r>
  </si>
  <si>
    <r>
      <rPr>
        <rFont val="Arial"/>
        <b/>
        <color theme="1"/>
      </rPr>
      <t xml:space="preserve">Total Profit </t>
    </r>
    <r>
      <rPr>
        <rFont val="Arial"/>
        <b val="0"/>
        <color theme="1"/>
      </rPr>
      <t>(Vinyl + GoodDeed®)</t>
    </r>
  </si>
  <si>
    <t>LLT</t>
  </si>
  <si>
    <r>
      <rPr>
        <rFont val="Arial"/>
        <b/>
        <color theme="1"/>
      </rPr>
      <t xml:space="preserve">Total Profit </t>
    </r>
    <r>
      <rPr>
        <rFont val="Arial"/>
        <b val="0"/>
        <color theme="1"/>
      </rPr>
      <t>(GoodDeed®)</t>
    </r>
  </si>
  <si>
    <r>
      <rPr>
        <rFont val="Arial"/>
        <b/>
        <color theme="1"/>
      </rPr>
      <t xml:space="preserve">Total Profit </t>
    </r>
    <r>
      <rPr>
        <rFont val="Arial"/>
        <b val="0"/>
        <color theme="1"/>
      </rPr>
      <t>(Vinyl + GoodDeed®)</t>
    </r>
  </si>
  <si>
    <t>Card Name</t>
  </si>
  <si>
    <t>Checkout Line Item Summary</t>
  </si>
  <si>
    <t>QTY Purchased</t>
  </si>
  <si>
    <t>GoodDeed Purchased</t>
  </si>
  <si>
    <t>Amount Refunded</t>
  </si>
  <si>
    <t>Description</t>
  </si>
  <si>
    <t>Fee</t>
  </si>
  <si>
    <t>Net Amount</t>
  </si>
  <si>
    <t>Laura Duthuillé</t>
  </si>
  <si>
    <t>Love Life Tragedy (Double Album) (1)</t>
  </si>
  <si>
    <t>Matthew Wheeler</t>
  </si>
  <si>
    <t>Love Life Tragedy (Double Album) (1); Nick Carter Signed GoodDeed (1)</t>
  </si>
  <si>
    <t>Liliana Jesus</t>
  </si>
  <si>
    <t>Balzac</t>
  </si>
  <si>
    <t>Mason Kinyon</t>
  </si>
  <si>
    <t>Summehra Hassan</t>
  </si>
  <si>
    <t>Theresa Decesaro</t>
  </si>
  <si>
    <t>Nicole Weiand</t>
  </si>
  <si>
    <t>Kelley Forbes</t>
  </si>
  <si>
    <t>Alfreda Odiakosa</t>
  </si>
  <si>
    <t>Shauna Molloy</t>
  </si>
  <si>
    <t>Caroline Ethier</t>
  </si>
  <si>
    <t>Christopher Richa</t>
  </si>
  <si>
    <t>Anna Sztorc</t>
  </si>
  <si>
    <t>Alison Gee</t>
  </si>
  <si>
    <t>Melissa Wiseman</t>
  </si>
  <si>
    <t>Flavia Caballero Saiz</t>
  </si>
  <si>
    <t>Michelle mcbride</t>
  </si>
  <si>
    <t>Hilary Weist</t>
  </si>
  <si>
    <t>Kristen Greig</t>
  </si>
  <si>
    <t>Stacie Mollica</t>
  </si>
  <si>
    <t>ZHANG QI</t>
  </si>
  <si>
    <t>Shan jinglan</t>
  </si>
  <si>
    <t>Amanda Swanson</t>
  </si>
  <si>
    <t>AK119055 Jose Gabriel Ramos Mayo</t>
  </si>
  <si>
    <t>Yolanda Booth</t>
  </si>
  <si>
    <t>Stacia Thomas</t>
  </si>
  <si>
    <t>DILMO DE MELO COSTA</t>
  </si>
  <si>
    <t>Maggie Cinderella</t>
  </si>
  <si>
    <t>Chris O'Reilly</t>
  </si>
  <si>
    <t>Louise Tullett</t>
  </si>
  <si>
    <t>Angelica Solorzano</t>
  </si>
  <si>
    <t>Rachel popoola</t>
  </si>
  <si>
    <t>Davide Bellinzona</t>
  </si>
  <si>
    <t>Rosa Torres De Haro</t>
  </si>
  <si>
    <t>Asta Mutanen</t>
  </si>
  <si>
    <t>Ashley Collier-Medley</t>
  </si>
  <si>
    <t>Johanna von Paul</t>
  </si>
  <si>
    <t>Alejandra Lyzeth Daniel Quintanilla</t>
  </si>
  <si>
    <t>Roxanna Reyes Gory</t>
  </si>
  <si>
    <t>Elizabeth Morgan Sospenzi</t>
  </si>
  <si>
    <t>Roan L A Balatbat</t>
  </si>
  <si>
    <t>Tonya Howard</t>
  </si>
  <si>
    <t>Jessica Stolfi</t>
  </si>
  <si>
    <t>Roxana Meza</t>
  </si>
  <si>
    <t>Vinicius H Kramer</t>
  </si>
  <si>
    <r>
      <rPr>
        <rFont val="Arial"/>
        <color theme="1"/>
      </rPr>
      <t xml:space="preserve">Love Life Tragedy (Double Album) </t>
    </r>
    <r>
      <rPr>
        <rFont val="Arial"/>
        <b/>
        <color theme="1"/>
      </rPr>
      <t>(4)</t>
    </r>
  </si>
  <si>
    <t>Nardia McPhee</t>
  </si>
  <si>
    <t>Carlie Smith</t>
  </si>
  <si>
    <t>Michel Chan</t>
  </si>
  <si>
    <t>Kathryn Gottweiss</t>
  </si>
  <si>
    <t>Jessica Beddome</t>
  </si>
  <si>
    <t>YUAN MINGWEI</t>
  </si>
  <si>
    <t>Amanda Medeiros</t>
  </si>
  <si>
    <t>Vicki Spratford</t>
  </si>
  <si>
    <t>Susanna Busho</t>
  </si>
  <si>
    <t>Jen Lowe</t>
  </si>
  <si>
    <t>kristen brown</t>
  </si>
  <si>
    <t>Drezet Muriel</t>
  </si>
  <si>
    <t>Marina Thomik</t>
  </si>
  <si>
    <t>Eva Schers</t>
  </si>
  <si>
    <t>Astrid Michel</t>
  </si>
  <si>
    <t>Home</t>
  </si>
  <si>
    <t>Richard Hadden</t>
  </si>
  <si>
    <t>Rosetta Davila</t>
  </si>
  <si>
    <t>Sabrina Leidenroth</t>
  </si>
  <si>
    <t>Laurent Vleminckx</t>
  </si>
  <si>
    <t>Marloes geelhoed</t>
  </si>
  <si>
    <t>Melanie guyette</t>
  </si>
  <si>
    <t>Alessandra Sanzani</t>
  </si>
  <si>
    <t>Sofie Reniers</t>
  </si>
  <si>
    <t>Michelle Filchak</t>
  </si>
  <si>
    <t>Courtney Hess</t>
  </si>
  <si>
    <t>Michelle Courtney</t>
  </si>
  <si>
    <t>April Huie</t>
  </si>
  <si>
    <t>jesse stephenson</t>
  </si>
  <si>
    <t>Joanne snozwell</t>
  </si>
  <si>
    <t>Tina Yu</t>
  </si>
  <si>
    <t>Suvi Lausmaa</t>
  </si>
  <si>
    <t>Jamie Howard</t>
  </si>
  <si>
    <t>ISELA DEL ANGEL CUELLAR</t>
  </si>
  <si>
    <t>Stephanie Ramsey</t>
  </si>
  <si>
    <t>Michelle Pever</t>
  </si>
  <si>
    <t>3 Moorcroft Road</t>
  </si>
  <si>
    <t>DONATELLA DE STEFANO</t>
  </si>
  <si>
    <t>Love Life Tragedy (Double Album) (2)</t>
  </si>
  <si>
    <t>9 Kenjack Terr</t>
  </si>
  <si>
    <t>Zhaozishuen</t>
  </si>
  <si>
    <t>Love Life Tragedy (Double Album) (4)</t>
  </si>
  <si>
    <t>Shane C Rahaman</t>
  </si>
  <si>
    <t>Eric Johnson</t>
  </si>
  <si>
    <t>Silvia Creus Membrado</t>
  </si>
  <si>
    <t>Anita McGurk</t>
  </si>
  <si>
    <t>Anna Wienert</t>
  </si>
  <si>
    <t>Brenda Francis</t>
  </si>
  <si>
    <t>Christina Reckers</t>
  </si>
  <si>
    <t>Donna Mui</t>
  </si>
  <si>
    <t>Marco Antonio García Gómez</t>
  </si>
  <si>
    <t>Ka Hung Octo Lee</t>
  </si>
  <si>
    <t>Michael Izzo</t>
  </si>
  <si>
    <t>Kim Toole</t>
  </si>
  <si>
    <t>Emily Galippo</t>
  </si>
  <si>
    <t>Sabrina Sroka</t>
  </si>
  <si>
    <t>Meghan Bowyer</t>
  </si>
  <si>
    <t>Joanna Rabarzynska</t>
  </si>
  <si>
    <t>Jennifer Simpson</t>
  </si>
  <si>
    <t>Olena Maltseva-Salomatkina</t>
  </si>
  <si>
    <t>Kerstin Fermer</t>
  </si>
  <si>
    <t>Ewelina Hoff-Grabowska</t>
  </si>
  <si>
    <t>Carole Lecalier</t>
  </si>
  <si>
    <t>Gemma Mitchell</t>
  </si>
  <si>
    <t>Alice Casserly</t>
  </si>
  <si>
    <t>Shilpa Rupani</t>
  </si>
  <si>
    <t>Rebecca Rahe</t>
  </si>
  <si>
    <t>maria sofia platero arce</t>
  </si>
  <si>
    <t>AITANA URQUIJO</t>
  </si>
  <si>
    <t>Ubaud Mélanie</t>
  </si>
  <si>
    <t>Wendy Araujo</t>
  </si>
  <si>
    <t>Natalie van Ark</t>
  </si>
  <si>
    <t>Franziska Rajewski</t>
  </si>
  <si>
    <t>Noelia Ruiz</t>
  </si>
  <si>
    <t>Barbara Kainz</t>
  </si>
  <si>
    <t>Priscilla Lum</t>
  </si>
  <si>
    <t>Andrew Parker</t>
  </si>
  <si>
    <t>Tyler Dickinson</t>
  </si>
  <si>
    <t>Audrey Kennington</t>
  </si>
  <si>
    <t>Andrea Lewis</t>
  </si>
  <si>
    <t>Anita Hansen</t>
  </si>
  <si>
    <t>Jennifer Murrell</t>
  </si>
  <si>
    <t>Kassie Schuler</t>
  </si>
  <si>
    <t>Kym Wheeler</t>
  </si>
  <si>
    <t>Kristen Donlan</t>
  </si>
  <si>
    <t>Greicy Schraven</t>
  </si>
  <si>
    <t>Marcia Schlei</t>
  </si>
  <si>
    <t>Love Life Tragedy (Double Album) (2); Nick Carter Signed GoodDeed (1)</t>
  </si>
  <si>
    <t>Amanda Fong</t>
  </si>
  <si>
    <t>Jessica Mayer</t>
  </si>
  <si>
    <t>Diana Gill</t>
  </si>
  <si>
    <t>Emilia Filogamo</t>
  </si>
  <si>
    <t>Katie Harlow</t>
  </si>
  <si>
    <t>Kathleen McMahon</t>
  </si>
  <si>
    <t>Wellington Felipe Smigel</t>
  </si>
  <si>
    <t>Kimberly A Lewis</t>
  </si>
  <si>
    <t>Andrea Levine</t>
  </si>
  <si>
    <t>Gabriella Zambrano</t>
  </si>
  <si>
    <t>Justin Mallet</t>
  </si>
  <si>
    <t>April Doolittle</t>
  </si>
  <si>
    <t>Christine Brown</t>
  </si>
  <si>
    <t>vangelina reynolds</t>
  </si>
  <si>
    <t>Hon I San Candida</t>
  </si>
  <si>
    <t>Bonnie Mae Lim</t>
  </si>
  <si>
    <t>Kyra Westerkamp</t>
  </si>
  <si>
    <t>Adriana</t>
  </si>
  <si>
    <t>Veronika Stock</t>
  </si>
  <si>
    <t>Paola Muñoz Gallardo</t>
  </si>
  <si>
    <t>Ashley Marie Oros</t>
  </si>
  <si>
    <t>Monique Oldakowski</t>
  </si>
  <si>
    <t>Cody T Hamman</t>
  </si>
  <si>
    <t>Johanna Vasquez Núñez</t>
  </si>
  <si>
    <t>Zahra Farooq</t>
  </si>
  <si>
    <t>Michele Thompson</t>
  </si>
  <si>
    <t>Stacy Stonier</t>
  </si>
  <si>
    <t>Payment for Invoice</t>
  </si>
  <si>
    <t>Sneha Bhakta</t>
  </si>
  <si>
    <t>Stephanie Fulenchek</t>
  </si>
  <si>
    <t>Karen Brander</t>
  </si>
  <si>
    <t>111 Wadsworth Ave</t>
  </si>
  <si>
    <t>Amy Hairfield</t>
  </si>
  <si>
    <t>Rohma arfeen</t>
  </si>
  <si>
    <t>Jessica Smith</t>
  </si>
  <si>
    <t>Amelia Dillon</t>
  </si>
  <si>
    <t>Stephanie Mikulski</t>
  </si>
  <si>
    <t>Rhonda Block</t>
  </si>
  <si>
    <t>Michael AuYeung</t>
  </si>
  <si>
    <t>Sonia theodorou</t>
  </si>
  <si>
    <t>Shannon Mcfarlane</t>
  </si>
  <si>
    <t>Candy Mosholder</t>
  </si>
  <si>
    <t>Grace Gregson</t>
  </si>
  <si>
    <t>Chrissy Suter</t>
  </si>
  <si>
    <t>2511/10 Sickle Avenue hoope Island 4212</t>
  </si>
  <si>
    <t>Pura Beatriz S. Valle</t>
  </si>
  <si>
    <t>Vitor Martins</t>
  </si>
  <si>
    <t>Carla Sue Cooper</t>
  </si>
  <si>
    <t>Jennifer Arnsmann</t>
  </si>
  <si>
    <t>Shannon Bentz</t>
  </si>
  <si>
    <t>Alexis Meade</t>
  </si>
  <si>
    <t>Heather Tisdale</t>
  </si>
  <si>
    <t>Allison Hoover</t>
  </si>
  <si>
    <t>Mariana Betzabeh Martinez Martinez</t>
  </si>
  <si>
    <t>Courtney Riggs</t>
  </si>
  <si>
    <t>Chris P Ottesen</t>
  </si>
  <si>
    <t>Christina Korinis</t>
  </si>
  <si>
    <t>Rachael Nelson</t>
  </si>
  <si>
    <t>Fraser Rose</t>
  </si>
  <si>
    <t>Jon Longfellow</t>
  </si>
  <si>
    <t>Anita Noordenbos</t>
  </si>
  <si>
    <t>Kirsty Haswell</t>
  </si>
  <si>
    <t>Manuel Bruyn</t>
  </si>
  <si>
    <t>Tibor Kiraly</t>
  </si>
  <si>
    <t>BENASKA ALEXANDRA</t>
  </si>
  <si>
    <t>Jackie White</t>
  </si>
  <si>
    <t>Amy J Howarth</t>
  </si>
  <si>
    <t>Carola Kernen</t>
  </si>
  <si>
    <t>Arnaud Delvigne</t>
  </si>
  <si>
    <t>Kimberly beller</t>
  </si>
  <si>
    <t>Florence Carrel</t>
  </si>
  <si>
    <t>Angela Tsang</t>
  </si>
  <si>
    <t>Kimberly Warren</t>
  </si>
  <si>
    <t>Mabel Escobar</t>
  </si>
  <si>
    <t>Bonnie Looi</t>
  </si>
  <si>
    <t>4-153 boulev. Hector-Papin, L Assomption, Québec J5W 3L2</t>
  </si>
  <si>
    <t>Luke LiaoYanJun</t>
  </si>
  <si>
    <t>Annukka Pulkkila</t>
  </si>
  <si>
    <t>Jessica Molchan</t>
  </si>
  <si>
    <t>Donna Driscoll</t>
  </si>
  <si>
    <t>Sarah Pugh</t>
  </si>
  <si>
    <t>Kaitlyn Evans</t>
  </si>
  <si>
    <t>Minette Bouton</t>
  </si>
  <si>
    <t>Marino Anna</t>
  </si>
  <si>
    <t>Erica L Parus</t>
  </si>
  <si>
    <t>Veronica Herman</t>
  </si>
  <si>
    <t>Rebecca Bakker</t>
  </si>
  <si>
    <t>Cassie Lower</t>
  </si>
  <si>
    <t>Carlos Manuel da Silva Santos Coito</t>
  </si>
  <si>
    <t>April Servante</t>
  </si>
  <si>
    <t>Jennifer M Randall</t>
  </si>
  <si>
    <t>G.P. Heeg</t>
  </si>
  <si>
    <t>Kelly Hanlon</t>
  </si>
  <si>
    <t>Marco Melanson</t>
  </si>
  <si>
    <t>Katja Slutter</t>
  </si>
  <si>
    <t>Marina ruiz prieto</t>
  </si>
  <si>
    <t>Laureen Masek</t>
  </si>
  <si>
    <t>Franchesca Jones</t>
  </si>
  <si>
    <t xml:space="preserve"> </t>
  </si>
  <si>
    <t>Silvia Creus</t>
  </si>
  <si>
    <t>veronica lopez</t>
  </si>
  <si>
    <t>Liane Hayes</t>
  </si>
  <si>
    <t>Althea Gumbs</t>
  </si>
  <si>
    <t>Jacquelyn Burress</t>
  </si>
  <si>
    <t>Kristine Eades</t>
  </si>
  <si>
    <t>Amie Hubbard</t>
  </si>
  <si>
    <t>Michelle Rigdon</t>
  </si>
  <si>
    <t>Claudia Carretta</t>
  </si>
  <si>
    <t>Casey Agnes Crystal</t>
  </si>
  <si>
    <t>Love Life Tragedy (Double Album) (3); Nick Carter Signed GoodDeed (1)</t>
  </si>
  <si>
    <t>Kathryn MacKenzie</t>
  </si>
  <si>
    <t>Juliette Maslowski</t>
  </si>
  <si>
    <t>Susann münch</t>
  </si>
  <si>
    <t>Danielle Christine Carrico</t>
  </si>
  <si>
    <t>Misshelle Terrell</t>
  </si>
  <si>
    <t>Elisabeth Glover</t>
  </si>
  <si>
    <t>Mae De Leon</t>
  </si>
  <si>
    <t>Marianne Gilbert</t>
  </si>
  <si>
    <t>Marisol Toledo Martinez</t>
  </si>
  <si>
    <t>Patricia Vela Romero</t>
  </si>
  <si>
    <t>WONG SIU MEI</t>
  </si>
  <si>
    <t>Laurence Blais</t>
  </si>
  <si>
    <t>valentina ricci</t>
  </si>
  <si>
    <t>xuan shi</t>
  </si>
  <si>
    <t>Claudia  Landmann</t>
  </si>
  <si>
    <t>Karen L Sodke</t>
  </si>
  <si>
    <t>Kathleen taloma</t>
  </si>
  <si>
    <t>Heather Tull-Ryan</t>
  </si>
  <si>
    <t>Amanda Caygill</t>
  </si>
  <si>
    <t>Lori Williams</t>
  </si>
  <si>
    <t>Carla Benedetti</t>
  </si>
  <si>
    <t>Veronica Salari</t>
  </si>
  <si>
    <t>Carolann Nicole Meighoo</t>
  </si>
  <si>
    <t>Amanda Valente</t>
  </si>
  <si>
    <t>Maria Jose Gonzalez</t>
  </si>
  <si>
    <t>Mandy Cohn</t>
  </si>
  <si>
    <t>Carla Andrade Serra</t>
  </si>
  <si>
    <t>renee m morency</t>
  </si>
  <si>
    <t>Traci Hughes</t>
  </si>
  <si>
    <t>Christine Kerstetter</t>
  </si>
  <si>
    <t>Rebecca Olson</t>
  </si>
  <si>
    <t>Lauren Nagle</t>
  </si>
  <si>
    <t>Mariel Perdiguero</t>
  </si>
  <si>
    <t>Anne Gaskin</t>
  </si>
  <si>
    <t>Heather Herdell</t>
  </si>
  <si>
    <t>Nicole Davis</t>
  </si>
  <si>
    <t>Joanne Weiler</t>
  </si>
  <si>
    <t>Alicia Wolf</t>
  </si>
  <si>
    <t>Marie-Soleil Côté</t>
  </si>
  <si>
    <t>Maria Jose Oliva Salinas</t>
  </si>
  <si>
    <t>Dawnika Coalt</t>
  </si>
  <si>
    <t>Chantal Smand</t>
  </si>
  <si>
    <t>Alyssa Cukierski</t>
  </si>
  <si>
    <t>Ietje van Halem</t>
  </si>
  <si>
    <t>Na Wei</t>
  </si>
  <si>
    <t>Kasia Peeters</t>
  </si>
  <si>
    <t>Maria carmen Jiménez Méndez</t>
  </si>
  <si>
    <t>Linda Khatib</t>
  </si>
  <si>
    <t>Tracy Chin-A-Loy</t>
  </si>
  <si>
    <r>
      <rPr>
        <rFont val="Arial"/>
        <color theme="1"/>
      </rPr>
      <t xml:space="preserve">Love Life Tragedy (Double Album) </t>
    </r>
    <r>
      <rPr>
        <rFont val="Arial"/>
        <color rgb="FF980000"/>
      </rPr>
      <t>(2)</t>
    </r>
  </si>
  <si>
    <t>Lori Gomez</t>
  </si>
  <si>
    <t>Shandean Bell</t>
  </si>
  <si>
    <t>Francesco del regno</t>
  </si>
  <si>
    <t>Red Liu</t>
  </si>
  <si>
    <t>Kimberly Smith</t>
  </si>
  <si>
    <t>Stefanie K. Telleria</t>
  </si>
  <si>
    <t>Stacey Stonier</t>
  </si>
  <si>
    <t>Cherelle Scardina</t>
  </si>
  <si>
    <t>Diane Tsuda</t>
  </si>
  <si>
    <t>Jennifer Maldacker</t>
  </si>
  <si>
    <t>Bianca Steinbauer</t>
  </si>
  <si>
    <t>Ashley Wilson</t>
  </si>
  <si>
    <t>Maria Naviglio</t>
  </si>
  <si>
    <t>Sean austin williams</t>
  </si>
  <si>
    <t>Chantelle Drummond</t>
  </si>
  <si>
    <t>Chantal Schwendeler</t>
  </si>
  <si>
    <t>Sara Roszell</t>
  </si>
  <si>
    <t>Ashley Darpino</t>
  </si>
  <si>
    <t>Rachel Schmitt</t>
  </si>
  <si>
    <t>Denise Begbie</t>
  </si>
  <si>
    <t>Michelle Rubio</t>
  </si>
  <si>
    <t>Nagy Mónika</t>
  </si>
  <si>
    <t>Love Life Tragedy (Double Album) (4); Nick Carter Signed GoodDeed (1)</t>
  </si>
  <si>
    <t>Christina Chaffin</t>
  </si>
  <si>
    <t>Amanda Piorkowski</t>
  </si>
  <si>
    <t>A.P van der Leelie</t>
  </si>
  <si>
    <t>Krystal Reed</t>
  </si>
  <si>
    <t>Jessica Johnston</t>
  </si>
  <si>
    <t>LEIGHANNA TURLEY</t>
  </si>
  <si>
    <t>Doriana Mercado</t>
  </si>
  <si>
    <t>Susann Friedrich</t>
  </si>
  <si>
    <t>Jan Mulder</t>
  </si>
  <si>
    <t>Debbie Blois</t>
  </si>
  <si>
    <t>Kerstin Jordan</t>
  </si>
  <si>
    <t>Brittany Lambert</t>
  </si>
  <si>
    <t>Jennifer Gundlach</t>
  </si>
  <si>
    <t>Amanda Simpell</t>
  </si>
  <si>
    <t>Sabrina Polfliet</t>
  </si>
  <si>
    <t>Fernanda Santamaria</t>
  </si>
  <si>
    <t>Melissa Stefanowicz</t>
  </si>
  <si>
    <t>Kevin Sumstine</t>
  </si>
  <si>
    <t>Priscilla Consolo</t>
  </si>
  <si>
    <t>Cindy Hensinger</t>
  </si>
  <si>
    <t>Dawn Hudak</t>
  </si>
  <si>
    <t>Evelyn Arratia</t>
  </si>
  <si>
    <t>Sarah Battle</t>
  </si>
  <si>
    <t>Katty Gissell Vega Montero</t>
  </si>
  <si>
    <t>Erin Lynn Mindel</t>
  </si>
  <si>
    <t>Emilia Sandoval</t>
  </si>
  <si>
    <t>Megan Cronin</t>
  </si>
  <si>
    <t>Theresa Lupia</t>
  </si>
  <si>
    <t>Rose Smillie</t>
  </si>
  <si>
    <t>Carolyn Englander</t>
  </si>
  <si>
    <t>Xiomara Ramírez</t>
  </si>
  <si>
    <t>Stephanie Deck</t>
  </si>
  <si>
    <t>Karah-Leigh Hancock</t>
  </si>
  <si>
    <t>Andrea Howland</t>
  </si>
  <si>
    <t>Andrea Young</t>
  </si>
  <si>
    <t>Kat Dady</t>
  </si>
  <si>
    <t>Kia Song</t>
  </si>
  <si>
    <t>Annie Gail Lemelin</t>
  </si>
  <si>
    <t>Mélanie Gélinas</t>
  </si>
  <si>
    <t>Dina Gallagher</t>
  </si>
  <si>
    <t>Jenny Carellas</t>
  </si>
  <si>
    <t>Nicole Ramirez-Mendoza</t>
  </si>
  <si>
    <t>Kate Chung</t>
  </si>
  <si>
    <t>Amy Boelk</t>
  </si>
  <si>
    <t>Sarah Kita</t>
  </si>
  <si>
    <t>Aimee Raymond</t>
  </si>
  <si>
    <t>hailey blois</t>
  </si>
  <si>
    <t>Amber Walz</t>
  </si>
  <si>
    <t>Mara Sansolo</t>
  </si>
  <si>
    <t>Julie Wagoner</t>
  </si>
  <si>
    <t>Bill Denk</t>
  </si>
  <si>
    <t>TOTAL Revenue</t>
  </si>
  <si>
    <t>Total Revenue Breakdown</t>
  </si>
  <si>
    <t>Total Double LP Purchased</t>
  </si>
  <si>
    <t>Total Double LP Revenue</t>
  </si>
  <si>
    <t>Nick Carter Signed GoodDeed  Revenue</t>
  </si>
  <si>
    <t>Payments Received</t>
  </si>
  <si>
    <t>Difference Shipping Income</t>
  </si>
  <si>
    <t>Credit Card Fees</t>
  </si>
  <si>
    <t>Net Revenue (Less shipping and CC fees)</t>
  </si>
  <si>
    <t>Dates: 10/10/25  - 12/31/2025</t>
  </si>
  <si>
    <t>Sales Tax Due</t>
  </si>
  <si>
    <t>Pennsylvania</t>
  </si>
  <si>
    <t>California</t>
  </si>
  <si>
    <t>Total Sales Tax Due</t>
  </si>
  <si>
    <t xml:space="preserve">Sales Price </t>
  </si>
  <si>
    <t>Net Revenue</t>
  </si>
  <si>
    <t>Freight + Potential adjustment (+/- 10%) in final invoice.</t>
  </si>
  <si>
    <t>Estimated</t>
  </si>
  <si>
    <t>Total # of Orders</t>
  </si>
  <si>
    <t>Statement Descriptor</t>
  </si>
  <si>
    <t>Card Address Line1</t>
  </si>
  <si>
    <t>Card Address Line2</t>
  </si>
  <si>
    <t>Card Address City</t>
  </si>
  <si>
    <t>Card Issue Country</t>
  </si>
  <si>
    <t>GOODTUNES</t>
  </si>
  <si>
    <t>1322 Forrest St</t>
  </si>
  <si>
    <t>Trainer</t>
  </si>
  <si>
    <t>US</t>
  </si>
  <si>
    <t>Boulevard de los Dioses</t>
  </si>
  <si>
    <t>MZ-418 LT-71 Num-25, Ciudad Azteca 1ra Sección</t>
  </si>
  <si>
    <t>Ecatepec de Morelos</t>
  </si>
  <si>
    <t>MX</t>
  </si>
  <si>
    <t>Lyubov Borislav Taseva</t>
  </si>
  <si>
    <t>Block 210, 2nd Floor, Apartment 96, Krasno selo Neighborhood, Sofia, Bulgaria</t>
  </si>
  <si>
    <t>Sofia</t>
  </si>
  <si>
    <t>BG</t>
  </si>
  <si>
    <t>Angela Chinn</t>
  </si>
  <si>
    <t>1306 Maple Grove Road apt 405</t>
  </si>
  <si>
    <t>apt 405</t>
  </si>
  <si>
    <t>Duluth</t>
  </si>
  <si>
    <t>Mariel Perdiguero Garate</t>
  </si>
  <si>
    <t>Lira 245</t>
  </si>
  <si>
    <t>Departamento 509</t>
  </si>
  <si>
    <t>Santiago</t>
  </si>
  <si>
    <t>CL</t>
  </si>
  <si>
    <t>Angelique Schappell</t>
  </si>
  <si>
    <t>6161 Shadow Ln</t>
  </si>
  <si>
    <t>Apt 297</t>
  </si>
  <si>
    <t>Citrus Heights</t>
  </si>
  <si>
    <t>Elizabeth Ellis</t>
  </si>
  <si>
    <t>5919 Magazine Street</t>
  </si>
  <si>
    <t>New Orleans</t>
  </si>
  <si>
    <t>Filippo Sangiorgi</t>
  </si>
  <si>
    <t>Via Luigi e Francesco Matteucci 24</t>
  </si>
  <si>
    <t>Faenza</t>
  </si>
  <si>
    <t>IT</t>
  </si>
  <si>
    <t>Franziska Hahn</t>
  </si>
  <si>
    <t>Völksener Straße 26</t>
  </si>
  <si>
    <t>Springe</t>
  </si>
  <si>
    <t>DE</t>
  </si>
  <si>
    <t>Eva Willand</t>
  </si>
  <si>
    <t>Emil-von-Behring-Straße 2a</t>
  </si>
  <si>
    <t>Riedstadt</t>
  </si>
  <si>
    <t>Angelia Ladd</t>
  </si>
  <si>
    <t>117 Winding Creek</t>
  </si>
  <si>
    <t>Madisonville</t>
  </si>
  <si>
    <t>Jennifer Turner</t>
  </si>
  <si>
    <t>800 New Jersey Avenue Southeast</t>
  </si>
  <si>
    <t>Apt 432</t>
  </si>
  <si>
    <t>Washington</t>
  </si>
  <si>
    <t>Jenna Ondeck</t>
  </si>
  <si>
    <t>488 Valerie Dr</t>
  </si>
  <si>
    <t>Vista</t>
  </si>
  <si>
    <t>Emiy Aspden</t>
  </si>
  <si>
    <t>121 Elm Tree Road</t>
  </si>
  <si>
    <t>Lowestoft</t>
  </si>
  <si>
    <t>GB</t>
  </si>
  <si>
    <t>1250, rue d'Angouleme</t>
  </si>
  <si>
    <t>Trois-Rivieres</t>
  </si>
  <si>
    <t>CA</t>
  </si>
  <si>
    <t>Alicia Smith</t>
  </si>
  <si>
    <t>Terri Orr</t>
  </si>
  <si>
    <t>2853 Adrian Street</t>
  </si>
  <si>
    <t>San Diego</t>
  </si>
  <si>
    <t>Ashley oros</t>
  </si>
  <si>
    <t>1600 Alexander Ave</t>
  </si>
  <si>
    <t>Streamwood</t>
  </si>
  <si>
    <t>Joaquin Maria Lopez 70 3c</t>
  </si>
  <si>
    <t>Madrid</t>
  </si>
  <si>
    <t>ES</t>
  </si>
  <si>
    <t>Kate Holupka</t>
  </si>
  <si>
    <t>906 Bank Street</t>
  </si>
  <si>
    <t>Aurora</t>
  </si>
  <si>
    <t>Rizky Amalia</t>
  </si>
  <si>
    <t>ID</t>
  </si>
  <si>
    <t>2245 South Hastings Way</t>
  </si>
  <si>
    <t>office</t>
  </si>
  <si>
    <t>Eau Claire</t>
  </si>
  <si>
    <t>Lynda Le</t>
  </si>
  <si>
    <t>Christy Tsaroumis</t>
  </si>
  <si>
    <t>8514 Wateka Drive</t>
  </si>
  <si>
    <t>Houston</t>
  </si>
  <si>
    <t>132 Reelfoot Court</t>
  </si>
  <si>
    <t>Murfreesboro</t>
  </si>
  <si>
    <t>Erika Mayan</t>
  </si>
  <si>
    <t>15912 Sw 83 Ct</t>
  </si>
  <si>
    <t>Miami</t>
  </si>
  <si>
    <t>Jessica  Kobry</t>
  </si>
  <si>
    <t>2368 Bouldercliff Way SE</t>
  </si>
  <si>
    <t>Atlanta</t>
  </si>
  <si>
    <t>Anna Grace Arbolario</t>
  </si>
  <si>
    <t>Hurts to Love You - LLT (Single Series) (2)</t>
  </si>
  <si>
    <t>38 Matapat</t>
  </si>
  <si>
    <t>Diliman</t>
  </si>
  <si>
    <t>Quezon City</t>
  </si>
  <si>
    <t>PH</t>
  </si>
  <si>
    <t>Madeline Magana</t>
  </si>
  <si>
    <t>615 Northeast 12th Avenue apt 303</t>
  </si>
  <si>
    <t>apt 303</t>
  </si>
  <si>
    <t>Fort Lauderdale</t>
  </si>
  <si>
    <t>Nicole Ford</t>
  </si>
  <si>
    <t>1031 Quail Roost Way</t>
  </si>
  <si>
    <t>Myrtle Beach</t>
  </si>
  <si>
    <t>Lauren Lancaster</t>
  </si>
  <si>
    <t>122 Weymouth Ln</t>
  </si>
  <si>
    <t>Henderson</t>
  </si>
  <si>
    <t>Arlene Villafuerte</t>
  </si>
  <si>
    <t>4704 Kenmore Avenue</t>
  </si>
  <si>
    <t>Baldwin Park</t>
  </si>
  <si>
    <t>Leslie Funo</t>
  </si>
  <si>
    <t>8578 Village Ln</t>
  </si>
  <si>
    <t>Rosemead</t>
  </si>
  <si>
    <t>Celine Ganiere</t>
  </si>
  <si>
    <t>Allison Zotti</t>
  </si>
  <si>
    <t>PO Box 386</t>
  </si>
  <si>
    <t>Shepherdstown</t>
  </si>
  <si>
    <t>1428 Ridgeport Avenue</t>
  </si>
  <si>
    <t>Bloomington</t>
  </si>
  <si>
    <t>Debbie maddox</t>
  </si>
  <si>
    <t>21 heath crescent</t>
  </si>
  <si>
    <t>Stoke heath</t>
  </si>
  <si>
    <t>Coventry</t>
  </si>
  <si>
    <t>sarah pugh</t>
  </si>
  <si>
    <t>27 Danby Road, Yorkley</t>
  </si>
  <si>
    <t>Yorkley</t>
  </si>
  <si>
    <t>Lydney</t>
  </si>
  <si>
    <t>2127 S Emerson ST</t>
  </si>
  <si>
    <t>Denver</t>
  </si>
  <si>
    <t>Natacha Zemmam</t>
  </si>
  <si>
    <t>132 Rue de Rosny</t>
  </si>
  <si>
    <t>Montreuil</t>
  </si>
  <si>
    <t>FR</t>
  </si>
  <si>
    <t>5750 Tosca Drive</t>
  </si>
  <si>
    <t>Unit 4</t>
  </si>
  <si>
    <t>Mississauga</t>
  </si>
  <si>
    <t>Larissa T Fukano</t>
  </si>
  <si>
    <t>BR</t>
  </si>
  <si>
    <t>1476 Salem Street</t>
  </si>
  <si>
    <t>North Andover</t>
  </si>
  <si>
    <t>3883 S Homewood St</t>
  </si>
  <si>
    <t>Springfield</t>
  </si>
  <si>
    <t>Marinda  Samai</t>
  </si>
  <si>
    <t>66 Melrose Ave</t>
  </si>
  <si>
    <t>Massapequa</t>
  </si>
  <si>
    <t>Nicole Zopfi</t>
  </si>
  <si>
    <t>Unterfeldstr.9</t>
  </si>
  <si>
    <t>Zurich</t>
  </si>
  <si>
    <t>CH</t>
  </si>
  <si>
    <t>Omnieya Yussif</t>
  </si>
  <si>
    <t>New Salata Area(Zone 40) Ali bin Abi Taleb St.(St 820)</t>
  </si>
  <si>
    <t>Villa 65 - PO Box 608, Doha Qatar</t>
  </si>
  <si>
    <t>Doha Qatar</t>
  </si>
  <si>
    <t>QA</t>
  </si>
  <si>
    <t>Nelia Mostova</t>
  </si>
  <si>
    <t>Chaletweg 3</t>
  </si>
  <si>
    <t>Spiez</t>
  </si>
  <si>
    <t>Patricia Gravena</t>
  </si>
  <si>
    <t>Avenida João Spadoto</t>
  </si>
  <si>
    <t>Numero 325, quadra 3 lote 11, Marília</t>
  </si>
  <si>
    <t>Marília</t>
  </si>
  <si>
    <t>314 west ave upper</t>
  </si>
  <si>
    <t>Medina</t>
  </si>
  <si>
    <t>Maritza González Arévalo</t>
  </si>
  <si>
    <t>Cam. El Bosque, Maria Pinto</t>
  </si>
  <si>
    <t>Callejón La Cancha, paradero 17</t>
  </si>
  <si>
    <t>Maria Pinto</t>
  </si>
  <si>
    <t>3254 E Enid Ave</t>
  </si>
  <si>
    <t>Mesa</t>
  </si>
  <si>
    <t>Xiomara Ramirez Silva</t>
  </si>
  <si>
    <t>221 Laurel Ln</t>
  </si>
  <si>
    <t>Canton</t>
  </si>
  <si>
    <t>20248 S. Jonquil Ln.</t>
  </si>
  <si>
    <t>Frankfort</t>
  </si>
  <si>
    <t>Alison S Gee</t>
  </si>
  <si>
    <t>Chrissie Jones</t>
  </si>
  <si>
    <t>719 S Main St</t>
  </si>
  <si>
    <t>Northfield</t>
  </si>
  <si>
    <t>Emily Bass</t>
  </si>
  <si>
    <t>5 Passage Bullourde</t>
  </si>
  <si>
    <t>France</t>
  </si>
  <si>
    <t>PARIS</t>
  </si>
  <si>
    <t>Diane Sasalar</t>
  </si>
  <si>
    <t>4377 Bitterroot Drive</t>
  </si>
  <si>
    <t>Westerville</t>
  </si>
  <si>
    <t>26856 12th Ave S</t>
  </si>
  <si>
    <t>Des Moines</t>
  </si>
  <si>
    <t>75 Pleasant Street</t>
  </si>
  <si>
    <t>Dover-Foxcroft</t>
  </si>
  <si>
    <t>Kimberly Beller</t>
  </si>
  <si>
    <t>1009 Lake Fort Smith Cutoff</t>
  </si>
  <si>
    <t>Mountainburg</t>
  </si>
  <si>
    <t>Albachiara Farci</t>
  </si>
  <si>
    <t>75 Liberty avenue</t>
  </si>
  <si>
    <t>apt D28</t>
  </si>
  <si>
    <t>Jersey City</t>
  </si>
  <si>
    <t>Room402,No.5,Village 13,Shihua</t>
  </si>
  <si>
    <t>Jinshan District</t>
  </si>
  <si>
    <t>Shanghai</t>
  </si>
  <si>
    <t>CN</t>
  </si>
  <si>
    <t>Rua do Almirante Sérgio No.94-120</t>
  </si>
  <si>
    <t>Edf The Riviera Block 2, 37/L Macau(China)</t>
  </si>
  <si>
    <t>MO</t>
  </si>
  <si>
    <t>Melissa Vaughn</t>
  </si>
  <si>
    <t>15907 Richvale Drive</t>
  </si>
  <si>
    <t>WHITTIER</t>
  </si>
  <si>
    <t>Anna Dmowska</t>
  </si>
  <si>
    <t>70 Percival Road</t>
  </si>
  <si>
    <t>Eastbourne</t>
  </si>
  <si>
    <t>Karen Shockley</t>
  </si>
  <si>
    <t>PO Box 3264</t>
  </si>
  <si>
    <t>Ocean City</t>
  </si>
  <si>
    <t>Chloe Byrne</t>
  </si>
  <si>
    <t>7 Coldstream Way</t>
  </si>
  <si>
    <t>Thatcham</t>
  </si>
  <si>
    <t>186 S Toussaint-Portage Rd</t>
  </si>
  <si>
    <t>Oak Harbor</t>
  </si>
  <si>
    <t>Lefebvre Evelyne</t>
  </si>
  <si>
    <t>17 Avenue des Pyrénées</t>
  </si>
  <si>
    <t>Pezens</t>
  </si>
  <si>
    <t>Monica Centrone</t>
  </si>
  <si>
    <t>Via Bazzana inferiore 4</t>
  </si>
  <si>
    <t>Citofono 003049</t>
  </si>
  <si>
    <t>Assago</t>
  </si>
  <si>
    <t>Allison Isley</t>
  </si>
  <si>
    <t>PO Box 23</t>
  </si>
  <si>
    <t>116 6th Ave E</t>
  </si>
  <si>
    <t>Delisle</t>
  </si>
  <si>
    <t>ZHAOZISHUN</t>
  </si>
  <si>
    <t>xinduguoji,303-506.19956769696</t>
  </si>
  <si>
    <t>亳州市谯城区新都国际303栋506.19956769696, Qiaocheng</t>
  </si>
  <si>
    <t>BoZhou</t>
  </si>
  <si>
    <t>Sarah Hudmon</t>
  </si>
  <si>
    <t>7075 Jasper Drive</t>
  </si>
  <si>
    <t>Middletown</t>
  </si>
  <si>
    <t>gemma resaba</t>
  </si>
  <si>
    <t>1403 East 9th Street</t>
  </si>
  <si>
    <t>west frankfort</t>
  </si>
  <si>
    <t>Femke Oosterom</t>
  </si>
  <si>
    <t>Linieweg 29</t>
  </si>
  <si>
    <t>Leusden</t>
  </si>
  <si>
    <t>NL</t>
  </si>
  <si>
    <t>Rachel Fowler</t>
  </si>
  <si>
    <t>11513 Hammocks Glade Dr</t>
  </si>
  <si>
    <t>Riverview</t>
  </si>
  <si>
    <t>Robert Money Jr</t>
  </si>
  <si>
    <t>1125 Deercroft Court</t>
  </si>
  <si>
    <t>Fort Collins</t>
  </si>
  <si>
    <t>Ashley Challner</t>
  </si>
  <si>
    <t>2311 Munro Drive NE</t>
  </si>
  <si>
    <t>Calgary</t>
  </si>
  <si>
    <t>Dana Robinson</t>
  </si>
  <si>
    <t>2/7 Klar Avenue</t>
  </si>
  <si>
    <t>Darlington</t>
  </si>
  <si>
    <t>5264 highway 231</t>
  </si>
  <si>
    <t>Ford</t>
  </si>
  <si>
    <t>Melissa Kronenwetter</t>
  </si>
  <si>
    <t>901 S 72nd Ave #325</t>
  </si>
  <si>
    <t>Yakima</t>
  </si>
  <si>
    <t>Karalyn Mikucionis</t>
  </si>
  <si>
    <t>253 Beechmont Avenue</t>
  </si>
  <si>
    <t>Bridgeport</t>
  </si>
  <si>
    <t>Maria Lothian</t>
  </si>
  <si>
    <t>4418 36th Street #2</t>
  </si>
  <si>
    <t>Shane Rahaman</t>
  </si>
  <si>
    <t>1854 Main Street</t>
  </si>
  <si>
    <t>Sharpsburg</t>
  </si>
  <si>
    <t>Nichole Russell</t>
  </si>
  <si>
    <t>284 bayside dr</t>
  </si>
  <si>
    <t>Box 319</t>
  </si>
  <si>
    <t>Lethbridge</t>
  </si>
  <si>
    <t>Kim Meade</t>
  </si>
  <si>
    <t>232 Lost Lake Trail</t>
  </si>
  <si>
    <t>Villa Rica</t>
  </si>
  <si>
    <t>Lisa Weseman</t>
  </si>
  <si>
    <t>501 SE 123rd Ave</t>
  </si>
  <si>
    <t>Apt Z187</t>
  </si>
  <si>
    <t>Vancouver</t>
  </si>
  <si>
    <t>69 Portesham Way</t>
  </si>
  <si>
    <t>Poole</t>
  </si>
  <si>
    <t>Sanzani Alessandra</t>
  </si>
  <si>
    <t>Via V. Bachelet 7</t>
  </si>
  <si>
    <t>Solarolo</t>
  </si>
  <si>
    <t>7 Flynn Way</t>
  </si>
  <si>
    <t>Wilmington</t>
  </si>
  <si>
    <t>7428 Ednor Crescent</t>
  </si>
  <si>
    <t>Burnaby</t>
  </si>
  <si>
    <t>223 High Street East</t>
  </si>
  <si>
    <t>Glassboro</t>
  </si>
  <si>
    <t>192 Highway 70 Bettie</t>
  </si>
  <si>
    <t>Beaufort</t>
  </si>
  <si>
    <t>5 Cactus Court</t>
  </si>
  <si>
    <t>BELTON</t>
  </si>
  <si>
    <t>29 Rudge Close</t>
  </si>
  <si>
    <t>Happy Valley</t>
  </si>
  <si>
    <t>Miriam Roos</t>
  </si>
  <si>
    <t>Friedrich-Rückert-Straße 40</t>
  </si>
  <si>
    <t>Grafenrheinfeld</t>
  </si>
  <si>
    <t>Rhonda Koenning</t>
  </si>
  <si>
    <t>14710 Keegan Drive</t>
  </si>
  <si>
    <t>Corpus Christi</t>
  </si>
  <si>
    <t>Karamucki Emilie</t>
  </si>
  <si>
    <t>49 A rue Roger Salengro</t>
  </si>
  <si>
    <t>Résidence  Lecointe</t>
  </si>
  <si>
    <t>Achicourt</t>
  </si>
  <si>
    <t>Mindy Gil</t>
  </si>
  <si>
    <t>N El Rio Drive Apt 24</t>
  </si>
  <si>
    <t>Bakersfield</t>
  </si>
  <si>
    <t>1215 Sherry Drive</t>
  </si>
  <si>
    <t>Alpharetta</t>
  </si>
  <si>
    <t>4995 Sutton Lane</t>
  </si>
  <si>
    <t>Greendale</t>
  </si>
  <si>
    <t>Hönower Str.253a</t>
  </si>
  <si>
    <t>Berlin</t>
  </si>
  <si>
    <t>Jennifer Quan</t>
  </si>
  <si>
    <t>3155 Gwendale Cres</t>
  </si>
  <si>
    <t>2164 Payson Circle</t>
  </si>
  <si>
    <t>Glendale Heights</t>
  </si>
  <si>
    <t>1739 Linden Lake Road</t>
  </si>
  <si>
    <t>steve mcnutt</t>
  </si>
  <si>
    <t>1403 Kildeer Drive</t>
  </si>
  <si>
    <t>Round Lake Beach</t>
  </si>
  <si>
    <t>Linda Woodhams</t>
  </si>
  <si>
    <t>33 The Palisades</t>
  </si>
  <si>
    <t>Toronto</t>
  </si>
  <si>
    <t>15160 110th Street South</t>
  </si>
  <si>
    <t>Hastings</t>
  </si>
  <si>
    <t>Anna Martínez</t>
  </si>
  <si>
    <t>Carrer de la Rotllana, 3</t>
  </si>
  <si>
    <t>Urbanització Balcó de Tarragona (Mas d'en Morató)</t>
  </si>
  <si>
    <t>Tarragona</t>
  </si>
  <si>
    <t>cindi Cheever</t>
  </si>
  <si>
    <t>6008 Wisteria Dr</t>
  </si>
  <si>
    <t>Colorado Springs</t>
  </si>
  <si>
    <t>Pastoor koningsstraat 46</t>
  </si>
  <si>
    <t>Egchel</t>
  </si>
  <si>
    <t>Via Borgo Inferiore 29</t>
  </si>
  <si>
    <t>Masserano</t>
  </si>
  <si>
    <t>FI</t>
  </si>
  <si>
    <t>Raymond Fischer</t>
  </si>
  <si>
    <t>Titlisstrasse 50</t>
  </si>
  <si>
    <t>Emmenbrücke</t>
  </si>
  <si>
    <t>Roy Long</t>
  </si>
  <si>
    <t>12 Lonsdale Drive</t>
  </si>
  <si>
    <t>Croston</t>
  </si>
  <si>
    <t>Leyland</t>
  </si>
  <si>
    <t>Jessica Ball</t>
  </si>
  <si>
    <t>1776 Drew Avenue</t>
  </si>
  <si>
    <t>Apt 127 East</t>
  </si>
  <si>
    <t>Columbus</t>
  </si>
  <si>
    <t>Jennifer Murtola</t>
  </si>
  <si>
    <t>948 Glen Abbey Circle</t>
  </si>
  <si>
    <t>Winter Springs</t>
  </si>
  <si>
    <t>Carrie Graham</t>
  </si>
  <si>
    <t>17309 Meredith Ave</t>
  </si>
  <si>
    <t>Omaha</t>
  </si>
  <si>
    <t>Kirchstraße 4</t>
  </si>
  <si>
    <t>Erfurt</t>
  </si>
  <si>
    <t>5911 Port Anadarko Trail</t>
  </si>
  <si>
    <t>Nashville</t>
  </si>
  <si>
    <t>14A Tammy Court</t>
  </si>
  <si>
    <t>Hudson</t>
  </si>
  <si>
    <t>Annie-Gail Lemelin</t>
  </si>
  <si>
    <t>2894 West 8th Street</t>
  </si>
  <si>
    <t>Apt 12D</t>
  </si>
  <si>
    <t>Brooklyn</t>
  </si>
  <si>
    <t>Elena Tsoy</t>
  </si>
  <si>
    <t>1620 Johnson Way</t>
  </si>
  <si>
    <t>Qwintry Ste 700198</t>
  </si>
  <si>
    <t>New Castle</t>
  </si>
  <si>
    <t>105 DUNBAR CRESCENT</t>
  </si>
  <si>
    <t>MARKHAM</t>
  </si>
  <si>
    <t>Karrie Geiger</t>
  </si>
  <si>
    <t>37 Willington Drive</t>
  </si>
  <si>
    <t>Macungie</t>
  </si>
  <si>
    <t>Christiana &amp; William Westley</t>
  </si>
  <si>
    <t>303 Jackson Street</t>
  </si>
  <si>
    <t>Croswell</t>
  </si>
  <si>
    <t>Gaelle Giraud</t>
  </si>
  <si>
    <t>15 Rue Françoise Giroud</t>
  </si>
  <si>
    <t>Villeurbanne</t>
  </si>
  <si>
    <t>Melissa Dodds</t>
  </si>
  <si>
    <t>1329 Rue Daigneault</t>
  </si>
  <si>
    <t>Montréal</t>
  </si>
  <si>
    <t>Derek Coleman</t>
  </si>
  <si>
    <t>1330 North Denair Avenue</t>
  </si>
  <si>
    <t>Turlock</t>
  </si>
  <si>
    <t>Verónica López López</t>
  </si>
  <si>
    <t>Avenida de Torrejón, n1</t>
  </si>
  <si>
    <t>Esc1 ,piso 2D</t>
  </si>
  <si>
    <t>Paracuellos de Jarama</t>
  </si>
  <si>
    <t>Janin Grueneberg</t>
  </si>
  <si>
    <t>Tonweg 1</t>
  </si>
  <si>
    <t>Stadthagen</t>
  </si>
  <si>
    <t>Hurts to Love You - LLT (Single Series) (3)</t>
  </si>
  <si>
    <t>744 60th ST</t>
  </si>
  <si>
    <t>Apt 5</t>
  </si>
  <si>
    <t>CO</t>
  </si>
  <si>
    <t>Fabio Ferro</t>
  </si>
  <si>
    <t>Salita Fosse Nuovo Parnaso 36</t>
  </si>
  <si>
    <t>Palazzina H</t>
  </si>
  <si>
    <t>Messina</t>
  </si>
  <si>
    <t>Sandra Sommer</t>
  </si>
  <si>
    <t>Borsigstraße 8</t>
  </si>
  <si>
    <t>Wetter (Ruhr)</t>
  </si>
  <si>
    <t>Agnes Susilo</t>
  </si>
  <si>
    <t>Trébol 15</t>
  </si>
  <si>
    <t>Cartaya</t>
  </si>
  <si>
    <t>Leigh Bishop</t>
  </si>
  <si>
    <t>413 Driftwood Street</t>
  </si>
  <si>
    <t>Lowell</t>
  </si>
  <si>
    <t>53 Rowan Road</t>
  </si>
  <si>
    <t>West Drayton</t>
  </si>
  <si>
    <t>Johanna vasquez Núñez</t>
  </si>
  <si>
    <t>Residencial José contreras, calle a, manzana 2, edificio2, apto 401</t>
  </si>
  <si>
    <t>Km 10 1/2 de la independencia</t>
  </si>
  <si>
    <t>Distrito nacional</t>
  </si>
  <si>
    <t>DO</t>
  </si>
  <si>
    <t>Ana Otero Diaz</t>
  </si>
  <si>
    <t>18680 151ST AVE NE</t>
  </si>
  <si>
    <t>WOODINVILLE</t>
  </si>
  <si>
    <t>Vangelina Reynolds</t>
  </si>
  <si>
    <t>27 Monticello Boulevard</t>
  </si>
  <si>
    <t>Gillian Cannon</t>
  </si>
  <si>
    <t>464 East 38th Street</t>
  </si>
  <si>
    <t>Hamilton</t>
  </si>
  <si>
    <t>Theresa Chapman</t>
  </si>
  <si>
    <t>84 E Franklin St</t>
  </si>
  <si>
    <t>Topton</t>
  </si>
  <si>
    <t>Jenny Leu</t>
  </si>
  <si>
    <t>2126 Smokestack Way</t>
  </si>
  <si>
    <t>Sacramento</t>
  </si>
  <si>
    <t>An Priscila  Resendiz Mora</t>
  </si>
  <si>
    <t>Colorines 835</t>
  </si>
  <si>
    <t>Mirador Huinala</t>
  </si>
  <si>
    <t>Ciudad Apodaca</t>
  </si>
  <si>
    <t>Heather Woody</t>
  </si>
  <si>
    <t>21 Radnor Lane</t>
  </si>
  <si>
    <t>Natural Bridge</t>
  </si>
  <si>
    <t>Meg Wilmarth</t>
  </si>
  <si>
    <t>330 E Edgewood St</t>
  </si>
  <si>
    <t>Morton</t>
  </si>
  <si>
    <t>28801 Raleigh Place</t>
  </si>
  <si>
    <t>Wesley Chapel</t>
  </si>
  <si>
    <t>Eaman Tawachi</t>
  </si>
  <si>
    <t>Monique Buschmann</t>
  </si>
  <si>
    <t>Bergstraße 54</t>
  </si>
  <si>
    <t>Apolda</t>
  </si>
  <si>
    <t>1605 Hennessy Place</t>
  </si>
  <si>
    <t>Fayetteville</t>
  </si>
  <si>
    <t>Melardy Julie</t>
  </si>
  <si>
    <t>Boulevard Général Wahis 2</t>
  </si>
  <si>
    <t>boite 20</t>
  </si>
  <si>
    <t>Schaerbeek</t>
  </si>
  <si>
    <t>BE</t>
  </si>
  <si>
    <t>202 W Walker St</t>
  </si>
  <si>
    <t>Marceline</t>
  </si>
  <si>
    <t>7 Scenic Place</t>
  </si>
  <si>
    <t>Conception Bay South</t>
  </si>
  <si>
    <t>ROAN LOU BALATBAT</t>
  </si>
  <si>
    <t>12904 Dupont Cir</t>
  </si>
  <si>
    <t>Tigmoo Zambia STE 89 (RB22918)</t>
  </si>
  <si>
    <t>Tampa</t>
  </si>
  <si>
    <t>ZM</t>
  </si>
  <si>
    <t>Eula Pundsack</t>
  </si>
  <si>
    <t>1876 Arnall Drive</t>
  </si>
  <si>
    <t>Allenhurst</t>
  </si>
  <si>
    <t>Alicia Harrison</t>
  </si>
  <si>
    <t>5510 58th Way North</t>
  </si>
  <si>
    <t>apt a111</t>
  </si>
  <si>
    <t>Kenneth City</t>
  </si>
  <si>
    <t>Jessica Bender</t>
  </si>
  <si>
    <t>2206 Laguard Drive</t>
  </si>
  <si>
    <t>Hampton</t>
  </si>
  <si>
    <t>Birkenstraße 17B</t>
  </si>
  <si>
    <t>Welver</t>
  </si>
  <si>
    <t>A. Commandeurlaan 68</t>
  </si>
  <si>
    <t>Spanbroek</t>
  </si>
  <si>
    <t>Donatella De Stefano</t>
  </si>
  <si>
    <t>Jodłowa</t>
  </si>
  <si>
    <t>Chodzież</t>
  </si>
  <si>
    <t>PL</t>
  </si>
  <si>
    <t>ISABELLA  BOVENZI</t>
  </si>
  <si>
    <t>62 Rue Terre Brande</t>
  </si>
  <si>
    <t>Givors</t>
  </si>
  <si>
    <t>Dawnika</t>
  </si>
  <si>
    <t>N.Commerce St.</t>
  </si>
  <si>
    <t>Lewisburg</t>
  </si>
  <si>
    <t>HK</t>
  </si>
  <si>
    <t>Mackenzie Strubel</t>
  </si>
  <si>
    <t>5645 Indianola Avenue</t>
  </si>
  <si>
    <t>Worthington</t>
  </si>
  <si>
    <t>Lauren Espinoza</t>
  </si>
  <si>
    <t>3000 McDowell Rd</t>
  </si>
  <si>
    <t>Box Code 1313</t>
  </si>
  <si>
    <t>Las Cruces</t>
  </si>
  <si>
    <t>Heather Wyman</t>
  </si>
  <si>
    <t>214 High Road</t>
  </si>
  <si>
    <t>Glen Spey</t>
  </si>
  <si>
    <t>Casey Edwards</t>
  </si>
  <si>
    <t>1019 Marlin Blvd</t>
  </si>
  <si>
    <t>New Bern</t>
  </si>
  <si>
    <t>Amanda Kremers</t>
  </si>
  <si>
    <t>19907 Viking Boulevard Northeast</t>
  </si>
  <si>
    <t>Wyoming</t>
  </si>
  <si>
    <t>18464 NW Chemeketa Ln</t>
  </si>
  <si>
    <t>Apt #124</t>
  </si>
  <si>
    <t>Portland</t>
  </si>
  <si>
    <t>Julie Lambert</t>
  </si>
  <si>
    <t>4-153 Boulevard Hector-Papin</t>
  </si>
  <si>
    <t>L'Assomption</t>
  </si>
  <si>
    <t>Avenida 22 Poniente 508</t>
  </si>
  <si>
    <t>Centro</t>
  </si>
  <si>
    <t>Heroica Puebla de Zaragoza</t>
  </si>
  <si>
    <t>Marie-Sylvie Douville</t>
  </si>
  <si>
    <t>137 Rue Jeannette</t>
  </si>
  <si>
    <t>Lemoyne</t>
  </si>
  <si>
    <t>Enzo pio david cerfogli coppa</t>
  </si>
  <si>
    <t>Courtney Ellis</t>
  </si>
  <si>
    <t>265 South Ventu Park Road</t>
  </si>
  <si>
    <t>Newbury Park</t>
  </si>
  <si>
    <t>267 Harbor Lane North</t>
  </si>
  <si>
    <t>Massapequa Park</t>
  </si>
  <si>
    <t>ICC1818 Fernando Escobar</t>
  </si>
  <si>
    <t>10850 NW 21ST ST STE 100</t>
  </si>
  <si>
    <t>#ICC1818</t>
  </si>
  <si>
    <t>Doral</t>
  </si>
  <si>
    <t>GT</t>
  </si>
  <si>
    <t>4688 Louisiana 454</t>
  </si>
  <si>
    <t>Pineville</t>
  </si>
  <si>
    <t>902 East 15th Avenue</t>
  </si>
  <si>
    <t>Winfield</t>
  </si>
  <si>
    <t>Jennifer Lowe</t>
  </si>
  <si>
    <t>5875 Mission Boulevard</t>
  </si>
  <si>
    <t>Apt L165</t>
  </si>
  <si>
    <t>Riverside</t>
  </si>
  <si>
    <t>155 Jade Crescent</t>
  </si>
  <si>
    <t>Vaughan</t>
  </si>
  <si>
    <t>Ora Hicks</t>
  </si>
  <si>
    <t>9395 Taft Highway</t>
  </si>
  <si>
    <t>Williamstown</t>
  </si>
  <si>
    <t>Nima Jalali</t>
  </si>
  <si>
    <t>Hurts to Love You - LLT (Single Series) (1); Nick Carter Signed GoodDeed (1)</t>
  </si>
  <si>
    <t>937 12th Street</t>
  </si>
  <si>
    <t>APT 310</t>
  </si>
  <si>
    <t>Santa Monica</t>
  </si>
  <si>
    <t>Diana R Burt</t>
  </si>
  <si>
    <t>604 West Plantation Boulevard</t>
  </si>
  <si>
    <t>Lake mary</t>
  </si>
  <si>
    <t>Cindy Miller</t>
  </si>
  <si>
    <t>13 Elm Drive</t>
  </si>
  <si>
    <t>Middle River</t>
  </si>
  <si>
    <t>Brenda LeBourgeois</t>
  </si>
  <si>
    <t>13380 Ellis P BaBin rd</t>
  </si>
  <si>
    <t>Gonzales</t>
  </si>
  <si>
    <t>Stacey Jacobi</t>
  </si>
  <si>
    <t>820 N Elm St</t>
  </si>
  <si>
    <t>Apt 104</t>
  </si>
  <si>
    <t>Hopkinsville</t>
  </si>
  <si>
    <t>Pura Beatriz Valle</t>
  </si>
  <si>
    <t>17 Luis Andrade Street</t>
  </si>
  <si>
    <t>Barangay Balingasa</t>
  </si>
  <si>
    <t>Charise Jellison</t>
  </si>
  <si>
    <t>1831 Commons Ct</t>
  </si>
  <si>
    <t>Windsor</t>
  </si>
  <si>
    <t>Lauren Brown</t>
  </si>
  <si>
    <t>127 Nazha Drive</t>
  </si>
  <si>
    <t>Davenport</t>
  </si>
  <si>
    <t>Lisa C. Furey</t>
  </si>
  <si>
    <t>7522 Buffalo Road</t>
  </si>
  <si>
    <t>Harborcreek</t>
  </si>
  <si>
    <t>Howard Murcia</t>
  </si>
  <si>
    <t>Veronique Bellemare</t>
  </si>
  <si>
    <t>13 Rue Catherine</t>
  </si>
  <si>
    <t>Saint-Rémi</t>
  </si>
  <si>
    <t>1710 John Glenn Road</t>
  </si>
  <si>
    <t>Dayton</t>
  </si>
  <si>
    <t>900 Cemetery Street Apt 29</t>
  </si>
  <si>
    <t>Manchester</t>
  </si>
  <si>
    <t>August-Bebel-Straße 35</t>
  </si>
  <si>
    <t>Ludwigsfelde</t>
  </si>
  <si>
    <t>Sarah J Wilburn</t>
  </si>
  <si>
    <t>11 North Dr</t>
  </si>
  <si>
    <t>Mooresville</t>
  </si>
  <si>
    <t>Susana Esther Schuler Madrid</t>
  </si>
  <si>
    <t>Mateo de Toro y Zambrano 1373, depto 305. La Reina.</t>
  </si>
  <si>
    <t>Augusto medeiros</t>
  </si>
  <si>
    <t>1770 Massachusetts Avenue</t>
  </si>
  <si>
    <t>Cambridge</t>
  </si>
  <si>
    <t>James g Cooper</t>
  </si>
  <si>
    <t>Landstraße 6</t>
  </si>
  <si>
    <t>Hirschberg</t>
  </si>
  <si>
    <t>Kris Oberle</t>
  </si>
  <si>
    <t>290 S Oman Rd</t>
  </si>
  <si>
    <t>Castle Rock</t>
  </si>
  <si>
    <t>Erica Parus</t>
  </si>
  <si>
    <t>32118 Stricker Drive</t>
  </si>
  <si>
    <t>Warren</t>
  </si>
  <si>
    <t>42 Rue Rossignol</t>
  </si>
  <si>
    <t>Andé</t>
  </si>
  <si>
    <t>Jamee Baerenwald</t>
  </si>
  <si>
    <t>234 North Main Street</t>
  </si>
  <si>
    <t>Medford</t>
  </si>
  <si>
    <t>Catherine Tesfa</t>
  </si>
  <si>
    <t>9335 Lee Highway apartment  G6</t>
  </si>
  <si>
    <t>Fairfax</t>
  </si>
  <si>
    <t>Jacqueline Fox</t>
  </si>
  <si>
    <t>6962 nora court</t>
  </si>
  <si>
    <t>Loganville</t>
  </si>
  <si>
    <t>116 Brevet Dr</t>
  </si>
  <si>
    <t>Franklin</t>
  </si>
  <si>
    <t>Erin L Mindel</t>
  </si>
  <si>
    <t>1850 Oakland Drive</t>
  </si>
  <si>
    <t>Mt. Pleasant</t>
  </si>
  <si>
    <t>Xiaofeng Xu</t>
  </si>
  <si>
    <t>2002 Milan Avenue</t>
  </si>
  <si>
    <t>South Pasadena</t>
  </si>
  <si>
    <t>3417 Spottswood Avenue apt 17</t>
  </si>
  <si>
    <t>Memphis</t>
  </si>
  <si>
    <t>Alessandra Chiocchi-Johnston</t>
  </si>
  <si>
    <t>Psc 119 Box 69</t>
  </si>
  <si>
    <t>APO</t>
  </si>
  <si>
    <t>Tracy Parr</t>
  </si>
  <si>
    <t>203 Sand Shore Road</t>
  </si>
  <si>
    <t>Budd Lake</t>
  </si>
  <si>
    <t>Elia Corrales Garcia</t>
  </si>
  <si>
    <t>10731 San Jose Ave</t>
  </si>
  <si>
    <t>Lynwood</t>
  </si>
  <si>
    <t>Folkenbornstraße</t>
  </si>
  <si>
    <t>Mülheim an der Ruhr</t>
  </si>
  <si>
    <t>9636 Ivory Drive</t>
  </si>
  <si>
    <t>Sun City Center</t>
  </si>
  <si>
    <t>16505 Dunoon Ct</t>
  </si>
  <si>
    <t>Miami Lakes</t>
  </si>
  <si>
    <t>183 rue de la procession</t>
  </si>
  <si>
    <t>Monceaux</t>
  </si>
  <si>
    <t>Jennifer Schrenk</t>
  </si>
  <si>
    <t>Alte Steige 18</t>
  </si>
  <si>
    <t>Pliezhausen</t>
  </si>
  <si>
    <t>Saskia Vogt</t>
  </si>
  <si>
    <t>Hohe Straße 54</t>
  </si>
  <si>
    <t>Oberhausen</t>
  </si>
  <si>
    <t>Haley Piacitelli</t>
  </si>
  <si>
    <t>15187 South Inverleith Cove</t>
  </si>
  <si>
    <t>Bluffdale</t>
  </si>
  <si>
    <t>James Walsh</t>
  </si>
  <si>
    <t>11 Maitland Drive</t>
  </si>
  <si>
    <t>Barrie</t>
  </si>
  <si>
    <t>5224 Net Dr</t>
  </si>
  <si>
    <t>Apt 207</t>
  </si>
  <si>
    <t>Tanja Renz</t>
  </si>
  <si>
    <t>Im Steinengarten 56</t>
  </si>
  <si>
    <t>Stuttgart</t>
  </si>
  <si>
    <t>12774 Pearl St</t>
  </si>
  <si>
    <t>Southgate</t>
  </si>
  <si>
    <t>1137 E Front St</t>
  </si>
  <si>
    <t>Lynden</t>
  </si>
  <si>
    <t>12007 Hedgegate Drive</t>
  </si>
  <si>
    <t>Długa 36</t>
  </si>
  <si>
    <t>Niedomice</t>
  </si>
  <si>
    <t>8530 West Sahara Avenue</t>
  </si>
  <si>
    <t>Apt 237</t>
  </si>
  <si>
    <t>Las Vegas</t>
  </si>
  <si>
    <t>Calle Parque Picos de Europa, 25, 105</t>
  </si>
  <si>
    <t>Apto.105</t>
  </si>
  <si>
    <t>Valladolid</t>
  </si>
  <si>
    <t>25854 Porter Mill Rd,</t>
  </si>
  <si>
    <t>Hebron</t>
  </si>
  <si>
    <t>Svetlana DiMattia</t>
  </si>
  <si>
    <t>150 W Atlantic Ave</t>
  </si>
  <si>
    <t>Clementon</t>
  </si>
  <si>
    <t>susan armstrong</t>
  </si>
  <si>
    <t>733 Colts Neck Road</t>
  </si>
  <si>
    <t>Freehold Township</t>
  </si>
  <si>
    <t>Ann Moens</t>
  </si>
  <si>
    <t>Snoekstraat 63</t>
  </si>
  <si>
    <t>Evergem</t>
  </si>
  <si>
    <t>Tami Hummel</t>
  </si>
  <si>
    <t>4664 E Hopi Ave,</t>
  </si>
  <si>
    <t>Lisa Wadley</t>
  </si>
  <si>
    <t>Usk Road</t>
  </si>
  <si>
    <t>Wilcae Cottage</t>
  </si>
  <si>
    <t>Usk</t>
  </si>
  <si>
    <t>Zoila Perez</t>
  </si>
  <si>
    <t>111 Wadsworth Avenue</t>
  </si>
  <si>
    <t>apt 18b</t>
  </si>
  <si>
    <t>New York</t>
  </si>
  <si>
    <t>Heidi Rasmussen</t>
  </si>
  <si>
    <t>Pilelunden 82</t>
  </si>
  <si>
    <t>Langeskov</t>
  </si>
  <si>
    <t>DK</t>
  </si>
  <si>
    <t>10728 Royal Pine Ave</t>
  </si>
  <si>
    <t>Angela R nohl</t>
  </si>
  <si>
    <t>283 Frana Clara Street</t>
  </si>
  <si>
    <t>LOUISVILLE</t>
  </si>
  <si>
    <t>Paola Alejandra Muñoz Gallardo</t>
  </si>
  <si>
    <t>1 AEROPOST WAY SCL-99248</t>
  </si>
  <si>
    <t>33206-3206</t>
  </si>
  <si>
    <t>Zach Blaine</t>
  </si>
  <si>
    <t>2609 Hawk Crest Lane</t>
  </si>
  <si>
    <t>Knoxville</t>
  </si>
  <si>
    <t>149 stuyvesant dr.</t>
  </si>
  <si>
    <t>port jefferson station</t>
  </si>
  <si>
    <t>Susann muench</t>
  </si>
  <si>
    <t>Stephanstraße 85</t>
  </si>
  <si>
    <t>Hamburg</t>
  </si>
  <si>
    <t>Lois Song</t>
  </si>
  <si>
    <t>52 Los Cerros Avenue</t>
  </si>
  <si>
    <t>Walnut Creek</t>
  </si>
  <si>
    <t>Karolina Carter</t>
  </si>
  <si>
    <t>Milanska 416</t>
  </si>
  <si>
    <t>Praha 10</t>
  </si>
  <si>
    <t>CZ</t>
  </si>
  <si>
    <t>Deanna Castellanos</t>
  </si>
  <si>
    <t>480 Manzanita Drive</t>
  </si>
  <si>
    <t>Los Osos</t>
  </si>
  <si>
    <t>ELS Houben</t>
  </si>
  <si>
    <t>Korhoenstraat 38</t>
  </si>
  <si>
    <t>Lanklaar</t>
  </si>
  <si>
    <t>Dagny Koch</t>
  </si>
  <si>
    <t>Stormeer 3</t>
  </si>
  <si>
    <t>Woerden</t>
  </si>
  <si>
    <t>Jennifer Ottesen</t>
  </si>
  <si>
    <t>13057 Northeast 112th Street</t>
  </si>
  <si>
    <t>Kirkland</t>
  </si>
  <si>
    <t>8923 Olympic Drive</t>
  </si>
  <si>
    <t>Bridgeview</t>
  </si>
  <si>
    <t>Andrew Schucker</t>
  </si>
  <si>
    <t>11458 Via Promesa</t>
  </si>
  <si>
    <t>2426 West Street</t>
  </si>
  <si>
    <t>Apt 2</t>
  </si>
  <si>
    <t>Kristen Brown</t>
  </si>
  <si>
    <t>510 Pardee Boulevard</t>
  </si>
  <si>
    <t>Pemberton Township</t>
  </si>
  <si>
    <t>Sireeda MILLER-RAMOS</t>
  </si>
  <si>
    <t>12905 Neola Road</t>
  </si>
  <si>
    <t>Silver Spring</t>
  </si>
  <si>
    <t>Annika Häkkänen</t>
  </si>
  <si>
    <t>Alakouluntie 15</t>
  </si>
  <si>
    <t>Koria</t>
  </si>
  <si>
    <t>Cindy Vink</t>
  </si>
  <si>
    <t>Bastion 333</t>
  </si>
  <si>
    <t>Lelystad</t>
  </si>
  <si>
    <t>24612 Rosalind Avenue</t>
  </si>
  <si>
    <t>Eastpointe</t>
  </si>
  <si>
    <t>2704 South Everest Avenue</t>
  </si>
  <si>
    <t>Rogers</t>
  </si>
  <si>
    <t>Paradiesweg</t>
  </si>
  <si>
    <t>Kölleda</t>
  </si>
  <si>
    <t>Laura Waits</t>
  </si>
  <si>
    <t>4087 Terrace Dr</t>
  </si>
  <si>
    <t>Acworth</t>
  </si>
  <si>
    <t>Julianna Ortiz</t>
  </si>
  <si>
    <t>829 Alpina Court</t>
  </si>
  <si>
    <t>Tracy</t>
  </si>
  <si>
    <t>Atenea Antón Hervás</t>
  </si>
  <si>
    <t>c/ Mateo Mercer</t>
  </si>
  <si>
    <t>7 2º</t>
  </si>
  <si>
    <t>El Altet (Elche)</t>
  </si>
  <si>
    <t>stacey mcintyre</t>
  </si>
  <si>
    <t>Karina Calderon</t>
  </si>
  <si>
    <t>1216 Stone Ridge Place</t>
  </si>
  <si>
    <t>El Paso</t>
  </si>
  <si>
    <t>2827 Mount Vernon Road</t>
  </si>
  <si>
    <t>Newark</t>
  </si>
  <si>
    <t>Sarah Katharina Hollenbach</t>
  </si>
  <si>
    <t>Wellinghofer Straße 189B</t>
  </si>
  <si>
    <t>Dortmund</t>
  </si>
  <si>
    <t>12939 West 27th Place</t>
  </si>
  <si>
    <t>Beach Park</t>
  </si>
  <si>
    <t>Elizabeth Lott</t>
  </si>
  <si>
    <t>534 Guffey Street Ext</t>
  </si>
  <si>
    <t>Apt 3</t>
  </si>
  <si>
    <t>Fairmont</t>
  </si>
  <si>
    <t>Deanna OMalley</t>
  </si>
  <si>
    <t>12195 Country Oaks Trail</t>
  </si>
  <si>
    <t>Chardon</t>
  </si>
  <si>
    <t>Laurence Blais-Bergeron</t>
  </si>
  <si>
    <t>612, rue Laviolette</t>
  </si>
  <si>
    <t>Sherbrooke</t>
  </si>
  <si>
    <t>70 Farnham Road</t>
  </si>
  <si>
    <t>Slough</t>
  </si>
  <si>
    <t>Colleen McDonald</t>
  </si>
  <si>
    <t>421 Little Walnut Court</t>
  </si>
  <si>
    <t>14300 Terra Bella St.</t>
  </si>
  <si>
    <t>Unit 64</t>
  </si>
  <si>
    <t>Panorama City</t>
  </si>
  <si>
    <t>Via Gioacchino Rossini, 3</t>
  </si>
  <si>
    <t>Napoli</t>
  </si>
  <si>
    <t>Amanda S Pizzuti</t>
  </si>
  <si>
    <t>Alisha Kelly</t>
  </si>
  <si>
    <t>2511/10 Sickle Avenue</t>
  </si>
  <si>
    <t>Hope Island</t>
  </si>
  <si>
    <t>12 Village Green</t>
  </si>
  <si>
    <t>Apt J</t>
  </si>
  <si>
    <t>Teresa M Lynch</t>
  </si>
  <si>
    <t>1461 Bayhead Drive</t>
  </si>
  <si>
    <t>Apt 1622</t>
  </si>
  <si>
    <t>Virginia Beach</t>
  </si>
  <si>
    <t>Ernee Grisola</t>
  </si>
  <si>
    <t>Hammer Purgstallgasse 41</t>
  </si>
  <si>
    <t>Graz</t>
  </si>
  <si>
    <t>AT</t>
  </si>
  <si>
    <t>Virginia</t>
  </si>
  <si>
    <t>Rabenstraße 79</t>
  </si>
  <si>
    <t>Ostseebad Binz</t>
  </si>
  <si>
    <t>115 Rue Pierre Neiertz</t>
  </si>
  <si>
    <t>Differfange</t>
  </si>
  <si>
    <t>LU</t>
  </si>
  <si>
    <t>3021 Hawthorne Road</t>
  </si>
  <si>
    <t>Perris</t>
  </si>
  <si>
    <t>Michelle Maree Rubio</t>
  </si>
  <si>
    <t>3212 Emilio Place</t>
  </si>
  <si>
    <t>Kissimmee</t>
  </si>
  <si>
    <t>Route de Vermes 4</t>
  </si>
  <si>
    <t>Mervelier</t>
  </si>
  <si>
    <t>925 Murchison Drive</t>
  </si>
  <si>
    <t>Columbia</t>
  </si>
  <si>
    <t>Castellum 38</t>
  </si>
  <si>
    <t>Noordwijkerhout</t>
  </si>
  <si>
    <t>754 CP Wilson Drive</t>
  </si>
  <si>
    <t>Sevierville</t>
  </si>
  <si>
    <t>Margaret Bozzano</t>
  </si>
  <si>
    <t>1 Norwalk Ct</t>
  </si>
  <si>
    <t>Lemont</t>
  </si>
  <si>
    <t>1725 Monroe St NO 4</t>
  </si>
  <si>
    <t>North Bend</t>
  </si>
  <si>
    <t>1021 Florida Parkway</t>
  </si>
  <si>
    <t>Christine Daniel</t>
  </si>
  <si>
    <t>50 Foxwood Way</t>
  </si>
  <si>
    <t>Longfield</t>
  </si>
  <si>
    <t>Maria Jose Gonzalez Corrada</t>
  </si>
  <si>
    <t>7500 NW 25Th St Unit 7   Suite #30062</t>
  </si>
  <si>
    <t>5 Evans Rd.</t>
  </si>
  <si>
    <t>apt 2</t>
  </si>
  <si>
    <t>Marblehead</t>
  </si>
  <si>
    <t>Katie Williams</t>
  </si>
  <si>
    <t>39 Butterworth Road</t>
  </si>
  <si>
    <t>Sutton-in-Ashfield</t>
  </si>
  <si>
    <t>Pascal Bellemare</t>
  </si>
  <si>
    <t>235 Place Auger</t>
  </si>
  <si>
    <t>Saint-Boniface</t>
  </si>
  <si>
    <t>Anabel Enciso</t>
  </si>
  <si>
    <t>Calle Mar del Plata, 33</t>
  </si>
  <si>
    <t>Casa</t>
  </si>
  <si>
    <t>Alhaurín de la Torre</t>
  </si>
  <si>
    <t>623 Elmira Road</t>
  </si>
  <si>
    <t>ITHACA</t>
  </si>
  <si>
    <t>2376 Whitestone Hill Ct</t>
  </si>
  <si>
    <t>Falls Church</t>
  </si>
  <si>
    <t>12840 123 Street Northwest</t>
  </si>
  <si>
    <t>Edmonton</t>
  </si>
  <si>
    <t>Suite 1801, Two Pacific Place, 88 Queensway</t>
  </si>
  <si>
    <t>Admiralty</t>
  </si>
  <si>
    <t>Ann-Christin Schulz</t>
  </si>
  <si>
    <t>164er-Ring 7</t>
  </si>
  <si>
    <t>Hameln</t>
  </si>
  <si>
    <t>938 East Elm Street</t>
  </si>
  <si>
    <t>Allentown</t>
  </si>
  <si>
    <t>Miss Kirsty Haswell</t>
  </si>
  <si>
    <t>Rosa</t>
  </si>
  <si>
    <t>Via Leonardo Da Vinci, 3d</t>
  </si>
  <si>
    <t>Cisterna di Latina</t>
  </si>
  <si>
    <t>35 Overlook Dr.</t>
  </si>
  <si>
    <t>Farmingville</t>
  </si>
  <si>
    <t>Tabea Roddick</t>
  </si>
  <si>
    <t>193 Hunter Road</t>
  </si>
  <si>
    <t>Oakland</t>
  </si>
  <si>
    <t>JUDITH NOELKER</t>
  </si>
  <si>
    <t>Danielle C Carrico</t>
  </si>
  <si>
    <t>697 Castellina Street</t>
  </si>
  <si>
    <t>Lemoore</t>
  </si>
  <si>
    <t>4142 River Chase Dr.</t>
  </si>
  <si>
    <t>Greenville</t>
  </si>
  <si>
    <t>28 Village Lane</t>
  </si>
  <si>
    <t>Sparta</t>
  </si>
  <si>
    <t>3670 Dixie Highway NE</t>
  </si>
  <si>
    <t>Apt 8</t>
  </si>
  <si>
    <t>Palm Bay</t>
  </si>
  <si>
    <t>Helenenstraße 64</t>
  </si>
  <si>
    <t>Dinslaken</t>
  </si>
  <si>
    <t>34 Ballyrickard Court</t>
  </si>
  <si>
    <t>Tralee</t>
  </si>
  <si>
    <t>IE</t>
  </si>
  <si>
    <t>5071 Crane Drive</t>
  </si>
  <si>
    <t>Brighton</t>
  </si>
  <si>
    <t>Debra Blois</t>
  </si>
  <si>
    <t>26 Wingate Road</t>
  </si>
  <si>
    <t>Holliston</t>
  </si>
  <si>
    <t>Simmenfluhweg 76</t>
  </si>
  <si>
    <t>Reutigen</t>
  </si>
  <si>
    <t>57 Aspen Crescent</t>
  </si>
  <si>
    <t>Elmira</t>
  </si>
  <si>
    <t>Clemens-Kraienhorst-Str.16</t>
  </si>
  <si>
    <t>Bottrop</t>
  </si>
  <si>
    <t>Am Walde 5</t>
  </si>
  <si>
    <t>Hodenhagen</t>
  </si>
  <si>
    <t>40 St Andrews Dr</t>
  </si>
  <si>
    <t>Devonport</t>
  </si>
  <si>
    <t>Steven Lum</t>
  </si>
  <si>
    <t>372 Geri Lane</t>
  </si>
  <si>
    <t>Des Plaines</t>
  </si>
  <si>
    <t>42-03 Saull Street</t>
  </si>
  <si>
    <t>Flushing</t>
  </si>
  <si>
    <t>21 Spring Meadows</t>
  </si>
  <si>
    <t>Darwen</t>
  </si>
  <si>
    <t>Lancashire</t>
  </si>
  <si>
    <t>4628 Trudy Ct</t>
  </si>
  <si>
    <t>Santa Maria</t>
  </si>
  <si>
    <t>Gemma Gregory</t>
  </si>
  <si>
    <t>4 Sean Dawson Way</t>
  </si>
  <si>
    <t>Stalybridge</t>
  </si>
  <si>
    <t>Wilhelmina Bladergroenstraat 26</t>
  </si>
  <si>
    <t>Spijkenisse</t>
  </si>
  <si>
    <t>4816 Hampton Road</t>
  </si>
  <si>
    <t>Clemmons</t>
  </si>
  <si>
    <t>Carlos Valle Montero</t>
  </si>
  <si>
    <t>C/ isabel colbrand 10, nave 62, oficina Mrw</t>
  </si>
  <si>
    <t>Megan yulich</t>
  </si>
  <si>
    <t>1118 Noblestown Road</t>
  </si>
  <si>
    <t>Oakdale</t>
  </si>
  <si>
    <t>Elzbieta Ginza</t>
  </si>
  <si>
    <t>49 Whippendell Road</t>
  </si>
  <si>
    <t>Flat 3</t>
  </si>
  <si>
    <t>Watford</t>
  </si>
  <si>
    <t>427 Fox Den Lane</t>
  </si>
  <si>
    <t>Wentzville</t>
  </si>
  <si>
    <t>6527 sw 116 pl</t>
  </si>
  <si>
    <t>Unit f</t>
  </si>
  <si>
    <t>Katty Vega Montero</t>
  </si>
  <si>
    <t>Cardenal</t>
  </si>
  <si>
    <t>14, Fracc Buena Vista</t>
  </si>
  <si>
    <t>Ciudad Del Carmen</t>
  </si>
  <si>
    <t>Köztársaság útja 73.</t>
  </si>
  <si>
    <t>Zalaegerszeg</t>
  </si>
  <si>
    <t>HU</t>
  </si>
  <si>
    <t>40 Warwick St</t>
  </si>
  <si>
    <t>79 Saint Michael's Road</t>
  </si>
  <si>
    <t>Norwich</t>
  </si>
  <si>
    <t>Hurts to Love You - LLT (Single Series) (4); Nick Carter Signed GoodDeed (1)</t>
  </si>
  <si>
    <t>6215 NE 92nd Dr</t>
  </si>
  <si>
    <t>C/O LJS318</t>
  </si>
  <si>
    <t>Kimberly Stefan</t>
  </si>
  <si>
    <t>2246 Siegfried Ave</t>
  </si>
  <si>
    <t>Northampton</t>
  </si>
  <si>
    <t>1725 Hull Street</t>
  </si>
  <si>
    <t>West Plains</t>
  </si>
  <si>
    <t>Jodi Trimble</t>
  </si>
  <si>
    <t>6359 Thistlewood Avenue</t>
  </si>
  <si>
    <t>Scotts</t>
  </si>
  <si>
    <t>3675 seaside Drive</t>
  </si>
  <si>
    <t>apt 437</t>
  </si>
  <si>
    <t>Key West</t>
  </si>
  <si>
    <t>Bremlaan 29</t>
  </si>
  <si>
    <t>Bornem</t>
  </si>
  <si>
    <t>1085 Reimer Rd</t>
  </si>
  <si>
    <t>Apt 102</t>
  </si>
  <si>
    <t>Wadsworth</t>
  </si>
  <si>
    <t>Kirschweg 17</t>
  </si>
  <si>
    <t>Ennigerloh</t>
  </si>
  <si>
    <t>3 Beechwood Gardens</t>
  </si>
  <si>
    <t>William Denk</t>
  </si>
  <si>
    <t>35 Laguna Woods Drive</t>
  </si>
  <si>
    <t>Laguna Niguel</t>
  </si>
  <si>
    <t>Baix Ebre 13</t>
  </si>
  <si>
    <t>Urb. Mas Gassol</t>
  </si>
  <si>
    <t>Alcover</t>
  </si>
  <si>
    <t>2050 Cheshire Bridge Road Northeast Unit 1303</t>
  </si>
  <si>
    <t>Steenhouwerstraat 2</t>
  </si>
  <si>
    <t>Echt</t>
  </si>
  <si>
    <t>842 E High Ave</t>
  </si>
  <si>
    <t>Redlands</t>
  </si>
  <si>
    <t>6310 Mairfield Court</t>
  </si>
  <si>
    <t>Hughesville</t>
  </si>
  <si>
    <t>Jennifer Izzo</t>
  </si>
  <si>
    <t>1714 Northshire Drive</t>
  </si>
  <si>
    <t>Plainfield</t>
  </si>
  <si>
    <t>2163 Avenida Espada</t>
  </si>
  <si>
    <t>San Clemente</t>
  </si>
  <si>
    <t>TOTAL</t>
  </si>
  <si>
    <t>Total Singles purchased (HTLY)</t>
  </si>
  <si>
    <t>Total Singles Revenue</t>
  </si>
  <si>
    <t>Net Income (Less Shipping  + CC Fees)</t>
  </si>
  <si>
    <t>Dates: 6/27 - 7/17</t>
  </si>
  <si>
    <t>For 377 of the 500 units</t>
  </si>
  <si>
    <t>For all 500 units</t>
  </si>
  <si>
    <t>Publishing for all 500 units</t>
  </si>
  <si>
    <t>Sales Tax</t>
  </si>
  <si>
    <t>Danielle Oliver</t>
  </si>
  <si>
    <t>1069 Cantwell Place</t>
  </si>
  <si>
    <t>Spring Hill</t>
  </si>
  <si>
    <t>Patricia Mirele Gravena</t>
  </si>
  <si>
    <t>325, Marília</t>
  </si>
  <si>
    <t>Ivina Acuna</t>
  </si>
  <si>
    <t>2200 NW 129TH AVE STE 108 MIAMI, FL 33182-2489</t>
  </si>
  <si>
    <t>GUA-102652</t>
  </si>
  <si>
    <t>Stormeer, 3</t>
  </si>
  <si>
    <t>g r</t>
  </si>
  <si>
    <t>West Frankfort</t>
  </si>
  <si>
    <t>Ivonne Leslie Melendez Abrego</t>
  </si>
  <si>
    <t>Avenida Inglaterra 6835</t>
  </si>
  <si>
    <t>Interior 15, Villas de Asis</t>
  </si>
  <si>
    <t>Zapopan</t>
  </si>
  <si>
    <t>Dierdorferstrasse, 11</t>
  </si>
  <si>
    <t>Neuwied</t>
  </si>
  <si>
    <t>Mónica Beatriz Martínez Espinosa</t>
  </si>
  <si>
    <t>Carrera 10 A Este # 54 A - 36 Sur</t>
  </si>
  <si>
    <t>Barrio Los Libertadores Sur Oriental</t>
  </si>
  <si>
    <t>Bogotá</t>
  </si>
  <si>
    <t>Beth Ganiere</t>
  </si>
  <si>
    <t>Sandy Knight</t>
  </si>
  <si>
    <t>3819 Euclid Avenue</t>
  </si>
  <si>
    <t>Kansas City</t>
  </si>
  <si>
    <t>Christine Montemaggiore</t>
  </si>
  <si>
    <t>Via Fratelli Matteucci, 24</t>
  </si>
  <si>
    <t>Rachel Carlson</t>
  </si>
  <si>
    <t>Emilie Karamucki</t>
  </si>
  <si>
    <t>Résidence Lecointe Bâtiment A Appt 2</t>
  </si>
  <si>
    <t>MZ-418 LT-71 Num-25, CD AZTECA</t>
  </si>
  <si>
    <t>ECATEPEC</t>
  </si>
  <si>
    <t>1629 Newport Dr.</t>
  </si>
  <si>
    <t>Bethlehem</t>
  </si>
  <si>
    <t>Florence  Carrel</t>
  </si>
  <si>
    <t>Tara Curley</t>
  </si>
  <si>
    <t>6532 S Park Ave</t>
  </si>
  <si>
    <t>Tacoma</t>
  </si>
  <si>
    <t>Mingwei Yuan</t>
  </si>
  <si>
    <t>unit 4</t>
  </si>
  <si>
    <t>Sarah Bozza</t>
  </si>
  <si>
    <t>P.O. Box 128</t>
  </si>
  <si>
    <t>Rio Oso</t>
  </si>
  <si>
    <t>Kimberly Deveau</t>
  </si>
  <si>
    <t>234 Shore Dr.</t>
  </si>
  <si>
    <t>Apt. 2</t>
  </si>
  <si>
    <t>Branford</t>
  </si>
  <si>
    <t>Taunya Dow</t>
  </si>
  <si>
    <t>302 Southway Garden Road</t>
  </si>
  <si>
    <t>Arden</t>
  </si>
  <si>
    <t>Superman - LLT (Single Series) (3)</t>
  </si>
  <si>
    <t>Hasenbuschfeld</t>
  </si>
  <si>
    <t>Neu Wulmstorf</t>
  </si>
  <si>
    <t>Kathy K Sanger</t>
  </si>
  <si>
    <t>17 Leslie Road</t>
  </si>
  <si>
    <t>Leyton</t>
  </si>
  <si>
    <t>London</t>
  </si>
  <si>
    <t>Superman - LLT (Single Series) (2)</t>
  </si>
  <si>
    <t>Margaret Wilmarth</t>
  </si>
  <si>
    <t>284 Bayside dr</t>
  </si>
  <si>
    <t>Kirchstrasse</t>
  </si>
  <si>
    <t>Ashleyoros6@gmail.com</t>
  </si>
  <si>
    <t>1600 Alexander Avenue</t>
  </si>
  <si>
    <t>Sherry Drive</t>
  </si>
  <si>
    <t>Jessica Soszynski</t>
  </si>
  <si>
    <t>1007 Cumberland Court</t>
  </si>
  <si>
    <t>Vernon Hills</t>
  </si>
  <si>
    <t>7904 Ocean Dr</t>
  </si>
  <si>
    <t>Emerald Isle</t>
  </si>
  <si>
    <t>Duthuillé Laura</t>
  </si>
  <si>
    <t>183 Rue de la Procession</t>
  </si>
  <si>
    <t>139 W. Peace River</t>
  </si>
  <si>
    <t>Fresno</t>
  </si>
  <si>
    <t>Jenel M Bramante</t>
  </si>
  <si>
    <t>78 Ortley Court</t>
  </si>
  <si>
    <t>Matawan</t>
  </si>
  <si>
    <t>Debora Elizabete Neves Duarte</t>
  </si>
  <si>
    <t>Herentalsbaan 471 Bus 101</t>
  </si>
  <si>
    <t>DEURNE (ANTWERPEN)</t>
  </si>
  <si>
    <t>4377 Bitterroot  Dr</t>
  </si>
  <si>
    <t>217 Capetown Dr.</t>
  </si>
  <si>
    <t>Alameda</t>
  </si>
  <si>
    <t>10543 U.S. 281</t>
  </si>
  <si>
    <t>Dunseith</t>
  </si>
  <si>
    <t>Palazzina H (phone 3464920757‬)</t>
  </si>
  <si>
    <t>Nicole I Combs</t>
  </si>
  <si>
    <t>3041 WESTMINSTER DR</t>
  </si>
  <si>
    <t>APT 208</t>
  </si>
  <si>
    <t>Beavercreek</t>
  </si>
  <si>
    <t>Ashley Stroup</t>
  </si>
  <si>
    <t>1620 Lambers Dr</t>
  </si>
  <si>
    <t>New Carlisle</t>
  </si>
  <si>
    <t>Fernando Barcala</t>
  </si>
  <si>
    <t>Calle San Francisco, 22</t>
  </si>
  <si>
    <t>2, 0C</t>
  </si>
  <si>
    <t>San Lorenzo de El Escorial</t>
  </si>
  <si>
    <t>6244 Golden West Avenue</t>
  </si>
  <si>
    <t>Temple City</t>
  </si>
  <si>
    <t>Maria Cristina De Paoli</t>
  </si>
  <si>
    <t>Via G. Marconi 11</t>
  </si>
  <si>
    <t>San Martino Siccomario</t>
  </si>
  <si>
    <t>Mindi George</t>
  </si>
  <si>
    <t>1501 Harmony Dr</t>
  </si>
  <si>
    <t>Port Charlotte</t>
  </si>
  <si>
    <t>Melissa O'Day</t>
  </si>
  <si>
    <t>14925 30th Ave CT E</t>
  </si>
  <si>
    <t>2 Hawk Close</t>
  </si>
  <si>
    <t>Whitestone</t>
  </si>
  <si>
    <t>Nuneaton, Warwickshire</t>
  </si>
  <si>
    <t>25854 Porter Mill Road</t>
  </si>
  <si>
    <t>Angela chinn</t>
  </si>
  <si>
    <t>Jo snozwell</t>
  </si>
  <si>
    <t>17 Andrade</t>
  </si>
  <si>
    <t>Megan</t>
  </si>
  <si>
    <t>19 Wagaraw Boulevard</t>
  </si>
  <si>
    <t>Prospect Park</t>
  </si>
  <si>
    <t>6331 Colonial Grand Dr.</t>
  </si>
  <si>
    <t>Unit 209</t>
  </si>
  <si>
    <t>PAOLA ALEJANDRA MUÑOZ</t>
  </si>
  <si>
    <t>1 Aeropost Way</t>
  </si>
  <si>
    <t>SCL-99248</t>
  </si>
  <si>
    <t>Ashlee McLoughlin</t>
  </si>
  <si>
    <t>21 Concord Drive</t>
  </si>
  <si>
    <t>Pittsford</t>
  </si>
  <si>
    <t>XinDuGuoJi303-506.19956769696</t>
  </si>
  <si>
    <t>亳州市新都国际303栋506，19956769696, QiaoChengQu</t>
  </si>
  <si>
    <t>BoZhouShi</t>
  </si>
  <si>
    <t>Av. 22 Poniente 508</t>
  </si>
  <si>
    <t>Puebla</t>
  </si>
  <si>
    <t>kimberly Beller</t>
  </si>
  <si>
    <t>Karalyn</t>
  </si>
  <si>
    <t>253 Beechmont Ave</t>
  </si>
  <si>
    <t>Tammy chase</t>
  </si>
  <si>
    <t>33 Whipporwill Road</t>
  </si>
  <si>
    <t>Southington</t>
  </si>
  <si>
    <t>Superman - LLT (Single Series) (1); Nick Carter Signed GoodDeed (1)</t>
  </si>
  <si>
    <t>Sickle Av</t>
  </si>
  <si>
    <t>Kathy Bradshaw</t>
  </si>
  <si>
    <t>1820 Ranier Drive</t>
  </si>
  <si>
    <t>Lexington</t>
  </si>
  <si>
    <t>Hermitage</t>
  </si>
  <si>
    <t>Naomi Diep</t>
  </si>
  <si>
    <t>921 Rose Drive</t>
  </si>
  <si>
    <t>Glendora</t>
  </si>
  <si>
    <t>Krystal Schieffer</t>
  </si>
  <si>
    <t>1020 Judy Lane</t>
  </si>
  <si>
    <t>Troy</t>
  </si>
  <si>
    <t>192 Hwy 70 E Bettie.</t>
  </si>
  <si>
    <t>612 Rue Laviolette</t>
  </si>
  <si>
    <t>Wellinghoferstr.189b</t>
  </si>
  <si>
    <t>35 Overlook Drive</t>
  </si>
  <si>
    <t>Veronica</t>
  </si>
  <si>
    <t>Avenida de Torrejón, 1</t>
  </si>
  <si>
    <t>Esc 1 Piso 2 D</t>
  </si>
  <si>
    <t>julie melardy</t>
  </si>
  <si>
    <t>Deb Maddox</t>
  </si>
  <si>
    <t>21 Heath Crescent</t>
  </si>
  <si>
    <t>Karolína Carter</t>
  </si>
  <si>
    <t>Boulevard Hector-Papin</t>
  </si>
  <si>
    <t>Amanda Pizzuti</t>
  </si>
  <si>
    <t>900 Cemetery Street</t>
  </si>
  <si>
    <t>Apt 29</t>
  </si>
  <si>
    <t>3601 Lorrain Road</t>
  </si>
  <si>
    <t>Indianapolis</t>
  </si>
  <si>
    <t>Flavia Prechitko</t>
  </si>
  <si>
    <t>31-36 48th Street</t>
  </si>
  <si>
    <t>Queens</t>
  </si>
  <si>
    <t>Mateo de Toro y Zambrano 1373, depto 305. La Reina</t>
  </si>
  <si>
    <t>Snatiago</t>
  </si>
  <si>
    <t>Calle Cardenal #14</t>
  </si>
  <si>
    <t>Fracc Buena Vista</t>
  </si>
  <si>
    <t>Ciudad del Carmen</t>
  </si>
  <si>
    <t>Rosario Arevalo</t>
  </si>
  <si>
    <t>Callejón la cancha, paradero 17</t>
  </si>
  <si>
    <t>María José González Corrada</t>
  </si>
  <si>
    <t>7500 NW 25Th St Unit 7  Suite #30062</t>
  </si>
  <si>
    <t>LEMOORE</t>
  </si>
  <si>
    <t>Shawn George</t>
  </si>
  <si>
    <t>1273 Clifton Prado</t>
  </si>
  <si>
    <t>Up</t>
  </si>
  <si>
    <t>Lakewood</t>
  </si>
  <si>
    <t>5 Evans RD.</t>
  </si>
  <si>
    <t>August - Bebel - Str.</t>
  </si>
  <si>
    <t>Sarah Jo Wilburn</t>
  </si>
  <si>
    <t>11 North Dr.</t>
  </si>
  <si>
    <t>Maria naviglio</t>
  </si>
  <si>
    <t>Caivano</t>
  </si>
  <si>
    <t>Via Marcantonio Cesti, 4</t>
  </si>
  <si>
    <t>Arezzo</t>
  </si>
  <si>
    <t>16505 Dunoon Court</t>
  </si>
  <si>
    <t>Katie</t>
  </si>
  <si>
    <t>Sutton in Ashfield</t>
  </si>
  <si>
    <t>C/ pico de mulhacen 12, 1c</t>
  </si>
  <si>
    <t>San sebastian de los reyes reyes</t>
  </si>
  <si>
    <t>Psc 119 box 69</t>
  </si>
  <si>
    <t>Urbanització Balcó de Tarragona (Mas d' en Morató)</t>
  </si>
  <si>
    <t>Monica centrone</t>
  </si>
  <si>
    <t>Via Bazzana Inferiore 4</t>
  </si>
  <si>
    <t>Elzbieta Gimza</t>
  </si>
  <si>
    <t>Cisterna di latina</t>
  </si>
  <si>
    <t>Berber Elise Heeg - Feitsma</t>
  </si>
  <si>
    <t>Groningerstraat 40</t>
  </si>
  <si>
    <t>Midlaren</t>
  </si>
  <si>
    <t>26 Wingate Rd</t>
  </si>
  <si>
    <t>Jennifer P Izzo</t>
  </si>
  <si>
    <t>Xiomara Ramirez</t>
  </si>
  <si>
    <t>Wilhelmina Bladergroenstraat</t>
  </si>
  <si>
    <t>ROAN L A BALATBAT</t>
  </si>
  <si>
    <t>11832 State Route JJ</t>
  </si>
  <si>
    <t>Enzo Pio David Cerfogli Coppa</t>
  </si>
  <si>
    <t>pedro rico 5479</t>
  </si>
  <si>
    <t>Paradiesweg 34</t>
  </si>
  <si>
    <t>Koelleda</t>
  </si>
  <si>
    <t>Long Stratton</t>
  </si>
  <si>
    <t>Clemens-Kraienhorst-Straße 16</t>
  </si>
  <si>
    <t>6527 SW 116th Pl Apt F</t>
  </si>
  <si>
    <t>Apt F</t>
  </si>
  <si>
    <t>Tracy A Chin-A-Loy</t>
  </si>
  <si>
    <t>2206 Laguard Drive,</t>
  </si>
  <si>
    <t>Superman - LLT (Single Series) (4); Nick Carter Signed GoodDeed (1)</t>
  </si>
  <si>
    <t>Köztársaság útja 73, 1/8</t>
  </si>
  <si>
    <t>Zalaegerszeg - Zala</t>
  </si>
  <si>
    <t>3675 Seaside Drive</t>
  </si>
  <si>
    <t>Suite 1801, Two Pacific Place</t>
  </si>
  <si>
    <t>88 Queensway</t>
  </si>
  <si>
    <t>Delvigne Arnaud</t>
  </si>
  <si>
    <t>Differdange</t>
  </si>
  <si>
    <t>Total Singles purchased (Superman)</t>
  </si>
  <si>
    <t>dates: 7/18 - 7/31</t>
  </si>
  <si>
    <t>Andrew</t>
  </si>
  <si>
    <t>Never Break My Heart - LLT (Single Series) (1)</t>
  </si>
  <si>
    <t>40160 village road</t>
  </si>
  <si>
    <t>Apt 128</t>
  </si>
  <si>
    <t>Temecula</t>
  </si>
  <si>
    <t>Isabella Bovenzi</t>
  </si>
  <si>
    <t>5071 Crains Run Road</t>
  </si>
  <si>
    <t>Miamisburg</t>
  </si>
  <si>
    <t>240 Cranberry Meadow Road</t>
  </si>
  <si>
    <t>Berwick</t>
  </si>
  <si>
    <t>7841 Luna Avenue</t>
  </si>
  <si>
    <t>Morton Grove</t>
  </si>
  <si>
    <t>1095 North Royal Avenue</t>
  </si>
  <si>
    <t>apt 17</t>
  </si>
  <si>
    <t>Front Royal</t>
  </si>
  <si>
    <t>Bethlehem GA 30620</t>
  </si>
  <si>
    <t>Linsey Schoenborn</t>
  </si>
  <si>
    <t>5351 Lansdowne Ave</t>
  </si>
  <si>
    <t>Fort Worth</t>
  </si>
  <si>
    <t>Cecilia Cornwall</t>
  </si>
  <si>
    <t>5115 Dryden Avenue</t>
  </si>
  <si>
    <t>Burlington</t>
  </si>
  <si>
    <t>Jessica Craven</t>
  </si>
  <si>
    <t>19 Kingsley Street</t>
  </si>
  <si>
    <t>St Albans</t>
  </si>
  <si>
    <t>Jessica Cornejo</t>
  </si>
  <si>
    <t>509 Pawnee Drive</t>
  </si>
  <si>
    <t>Lake in the Hills</t>
  </si>
  <si>
    <t>Melissa Chanslor</t>
  </si>
  <si>
    <t>491 Doss Ferry Pkwy</t>
  </si>
  <si>
    <t>Kimberly</t>
  </si>
  <si>
    <t>Katy McMahon</t>
  </si>
  <si>
    <t>Kimberly deveau</t>
  </si>
  <si>
    <t>Cheryl Rekar</t>
  </si>
  <si>
    <t>709 Julie Drive</t>
  </si>
  <si>
    <t>Schererville</t>
  </si>
  <si>
    <t>Marianne alejandra alvarez rodriguez</t>
  </si>
  <si>
    <t>Calle humantla 26</t>
  </si>
  <si>
    <t>Int 102, Col La paz</t>
  </si>
  <si>
    <t>1600 Alexander ave</t>
  </si>
  <si>
    <t>Robert Money</t>
  </si>
  <si>
    <t>Zuly Santiago</t>
  </si>
  <si>
    <t>5548 Burlwood Drive</t>
  </si>
  <si>
    <t>Orlando</t>
  </si>
  <si>
    <t>Carreta 10 A Este # 54 A - 36 Sur</t>
  </si>
  <si>
    <t>Ivana Klisanin</t>
  </si>
  <si>
    <t>1173 Iroquois Avenue</t>
  </si>
  <si>
    <t>Mayfield Heights</t>
  </si>
  <si>
    <t>Karen pal</t>
  </si>
  <si>
    <t>2107 Sterling Drive</t>
  </si>
  <si>
    <t>Rocklin</t>
  </si>
  <si>
    <t>Résidence Lecointe / Bâtiment A / Appt 2</t>
  </si>
  <si>
    <t>Unit 9</t>
  </si>
  <si>
    <t>Monique fenton</t>
  </si>
  <si>
    <t>Po Box 4147</t>
  </si>
  <si>
    <t>Oceanside</t>
  </si>
  <si>
    <t>Via Luigi e Francesco Matteucci, 24</t>
  </si>
  <si>
    <t>Julieta Moreno</t>
  </si>
  <si>
    <t>Diagonal 85 Sur</t>
  </si>
  <si>
    <t>Residencial Aleda casa 2, Ejidal</t>
  </si>
  <si>
    <t>Playa del Carmen</t>
  </si>
  <si>
    <t>937 12th st</t>
  </si>
  <si>
    <t>Melodie Payne</t>
  </si>
  <si>
    <t>Never Break My Heart - LLT (Single Series) (2)</t>
  </si>
  <si>
    <t>Rachel Popoola</t>
  </si>
  <si>
    <t>18 Feldspar Grove</t>
  </si>
  <si>
    <t>Southall</t>
  </si>
  <si>
    <t>Browns mills</t>
  </si>
  <si>
    <t>9 woodvale court</t>
  </si>
  <si>
    <t>waltham cross</t>
  </si>
  <si>
    <t>Danielle Henault</t>
  </si>
  <si>
    <t>35 Nelson Avenue</t>
  </si>
  <si>
    <t>Latham</t>
  </si>
  <si>
    <t>Jl. Cempaka Putih Timur V A No.11A</t>
  </si>
  <si>
    <t>Jakarta Pusat</t>
  </si>
  <si>
    <t>Jo</t>
  </si>
  <si>
    <t>Alexandria McLeod</t>
  </si>
  <si>
    <t>Hzasenbuschfeld 27</t>
  </si>
  <si>
    <t>Cindi Cheever</t>
  </si>
  <si>
    <t>6008 Wisteria Drive</t>
  </si>
  <si>
    <t>Via Bazzana Inferiore, 4</t>
  </si>
  <si>
    <t>Milano</t>
  </si>
  <si>
    <t>Thomas Bert</t>
  </si>
  <si>
    <t>2200 N Beachwood Dr</t>
  </si>
  <si>
    <t>#116</t>
  </si>
  <si>
    <t>Los Angeles</t>
  </si>
  <si>
    <t>Keegan Dr.</t>
  </si>
  <si>
    <t>6527 Southwest 116th Place</t>
  </si>
  <si>
    <t>Unit F</t>
  </si>
  <si>
    <t>Birkenstraße 17</t>
  </si>
  <si>
    <t>Line Bourbeau</t>
  </si>
  <si>
    <t>414 Rue Jules-Laperrière</t>
  </si>
  <si>
    <t>Québec</t>
  </si>
  <si>
    <t>1306 Maple Grove Road</t>
  </si>
  <si>
    <t>Zhaozishun</t>
  </si>
  <si>
    <t>安徽省亳州市谯城区新都国际303栋506.19956769696, Qiaochengqu</t>
  </si>
  <si>
    <t>Candida Hon</t>
  </si>
  <si>
    <t>Rua do Almirante Sérgio No.94-120 Edf The Riviera Block 2, 37/L Macau</t>
  </si>
  <si>
    <t>Farmingvile</t>
  </si>
  <si>
    <t>2511/10 Sickle Avenue Hope Island 4212</t>
  </si>
  <si>
    <t>208 Wayfair Lane</t>
  </si>
  <si>
    <t>Franklin Lakes</t>
  </si>
  <si>
    <t>Veronica lopez lopez</t>
  </si>
  <si>
    <t>Never Break My Heart - LLT (Single Series) (1); Nick Carter Signed GoodDeed (1)</t>
  </si>
  <si>
    <t>Avenida de Torrejón</t>
  </si>
  <si>
    <t>N 1 esc 1 piso 2d</t>
  </si>
  <si>
    <t>Sireeda Miller-Ramos</t>
  </si>
  <si>
    <t>135 North Harrison Street</t>
  </si>
  <si>
    <t>Stoughton</t>
  </si>
  <si>
    <t>7500 NW 25th St Unit 7 Suite #30062</t>
  </si>
  <si>
    <t>Lyubov Taseva</t>
  </si>
  <si>
    <t>Block 210, 2nd Floor, Apartment 96, Pchela Street, Krasno selo Neighborhood, Sofia, Bulgaria</t>
  </si>
  <si>
    <t>12 Village Grn apt j</t>
  </si>
  <si>
    <t>apt j</t>
  </si>
  <si>
    <t>Chris E Suter</t>
  </si>
  <si>
    <t>Milánská 416</t>
  </si>
  <si>
    <t>20206 Pinecreek Ridge Ln</t>
  </si>
  <si>
    <t>Spring</t>
  </si>
  <si>
    <t>Tammy Chase</t>
  </si>
  <si>
    <t>NO</t>
  </si>
  <si>
    <t>Danielle Carrico</t>
  </si>
  <si>
    <t>697 Castellina St</t>
  </si>
  <si>
    <t>EC</t>
  </si>
  <si>
    <t>melardy julie</t>
  </si>
  <si>
    <t>Keira M</t>
  </si>
  <si>
    <t>16 Allen House</t>
  </si>
  <si>
    <t>Victoria Road</t>
  </si>
  <si>
    <t>Chelmsford</t>
  </si>
  <si>
    <t>1725 Hull st</t>
  </si>
  <si>
    <t>West plains</t>
  </si>
  <si>
    <t>Never Break My Heart - LLT (Single Series) (3)</t>
  </si>
  <si>
    <t>744 60th Street</t>
  </si>
  <si>
    <t>apt 5</t>
  </si>
  <si>
    <t>Via del daino 5/C</t>
  </si>
  <si>
    <t>Via del Daino, 5</t>
  </si>
  <si>
    <t>Treviso</t>
  </si>
  <si>
    <t>Dierdorferstrasse</t>
  </si>
  <si>
    <t>Sarah Wilburn</t>
  </si>
  <si>
    <t>11 Maitland dr Barrie</t>
  </si>
  <si>
    <t>Kasia Peetes</t>
  </si>
  <si>
    <t>Melanie Gelinas</t>
  </si>
  <si>
    <t>Jennifer</t>
  </si>
  <si>
    <t>27 Danby Road,</t>
  </si>
  <si>
    <t>CINDERFORD</t>
  </si>
  <si>
    <t>Marie-Soleil Cote</t>
  </si>
  <si>
    <t>1000 Rue Lacombe</t>
  </si>
  <si>
    <t>app. 406</t>
  </si>
  <si>
    <t>Parecela Santa Gabriela #60</t>
  </si>
  <si>
    <t>1098 Bellflower St</t>
  </si>
  <si>
    <t>LIVERMORE</t>
  </si>
  <si>
    <t>Annelie van der Leelie</t>
  </si>
  <si>
    <t>3675 seaside drive apt 437</t>
  </si>
  <si>
    <t>Via Leonardo Da Vinci, 3/D</t>
  </si>
  <si>
    <t>Flat B, 49/F, Tower 2B, Montata,</t>
  </si>
  <si>
    <t>1 Lohas Park Road</t>
  </si>
  <si>
    <t>Tseug Kwan O</t>
  </si>
  <si>
    <t>Never Break My Heart - LLT (Single Series) (4); Nick Carter Signed GoodDeed (1)</t>
  </si>
  <si>
    <t>Stacey  Stonier</t>
  </si>
  <si>
    <t>Total Singles purchased (Never Break My Heart)</t>
  </si>
  <si>
    <t>Net Income (Less  Shipping + CC Fees)</t>
  </si>
  <si>
    <t>Dates: 8/1- 8/14</t>
  </si>
  <si>
    <t>Eva Watkins</t>
  </si>
  <si>
    <t>Searchlight - LLT (Single Series) (1)</t>
  </si>
  <si>
    <t>822 LAWSONS SPRING DR APT 208</t>
  </si>
  <si>
    <t>SPARTANBURG</t>
  </si>
  <si>
    <t>9100 S Carollton Dr</t>
  </si>
  <si>
    <t>Oak Creek</t>
  </si>
  <si>
    <t>Paola Orjuela</t>
  </si>
  <si>
    <t>2119 N Ave</t>
  </si>
  <si>
    <t>National City</t>
  </si>
  <si>
    <t>1776 Drew Ave</t>
  </si>
  <si>
    <t>127 East</t>
  </si>
  <si>
    <t>Hannah Tristan</t>
  </si>
  <si>
    <t>1005 McArthur Drive</t>
  </si>
  <si>
    <t>Port Neches</t>
  </si>
  <si>
    <t>Charmina Carrasco</t>
  </si>
  <si>
    <t>Santo Domingo 1355</t>
  </si>
  <si>
    <t>Dpto 2006</t>
  </si>
  <si>
    <t>Emily Gavol</t>
  </si>
  <si>
    <t>604 Feather Sound Drive</t>
  </si>
  <si>
    <t>Apt 302</t>
  </si>
  <si>
    <t>Verona</t>
  </si>
  <si>
    <t>Searchlight - LLT (Single Series) (2)</t>
  </si>
  <si>
    <t>7028 Bocaire Dr</t>
  </si>
  <si>
    <t>Karla Calderon</t>
  </si>
  <si>
    <t>1277 Yulupa Avenue</t>
  </si>
  <si>
    <t>Apt #6</t>
  </si>
  <si>
    <t>Santa Rosa</t>
  </si>
  <si>
    <t>Donna Humphreys</t>
  </si>
  <si>
    <t>906 Deloach Ln</t>
  </si>
  <si>
    <t>Collierville</t>
  </si>
  <si>
    <t>Melissa Guerrero</t>
  </si>
  <si>
    <t>654 Minerva St</t>
  </si>
  <si>
    <t>Hayward</t>
  </si>
  <si>
    <t>Denise Draves</t>
  </si>
  <si>
    <t>541 Walnut Lane</t>
  </si>
  <si>
    <t>Km 10 1/2 independencia, Residencial José contreras, calle A, manzana 2, edificio2, apartamento 401</t>
  </si>
  <si>
    <t>Km 10 1/2 independencia, Residencial José contreras, calle a, manzana 2,edificii2,apartamento 401</t>
  </si>
  <si>
    <t>11166 Star Lily Street</t>
  </si>
  <si>
    <t>Harpreet jajwan</t>
  </si>
  <si>
    <t>44 tonewood blvd</t>
  </si>
  <si>
    <t>Spruce Grove</t>
  </si>
  <si>
    <t>Carly Kinnan</t>
  </si>
  <si>
    <t>1418 Butler Avenue</t>
  </si>
  <si>
    <t>Apartment 10</t>
  </si>
  <si>
    <t>Ashleu Parker</t>
  </si>
  <si>
    <t>1901 Turtle creek Dr</t>
  </si>
  <si>
    <t>Marshall</t>
  </si>
  <si>
    <t>Cortney Bolton</t>
  </si>
  <si>
    <t>333 Tower Road</t>
  </si>
  <si>
    <t>301 Boulder St.</t>
  </si>
  <si>
    <t>Minturn</t>
  </si>
  <si>
    <t>Oh si es 1629 Newport</t>
  </si>
  <si>
    <t>330 East Edgewood Street</t>
  </si>
  <si>
    <t>Tuva Petrine Skauge Brun-Hansen</t>
  </si>
  <si>
    <t>Horntvedtveien</t>
  </si>
  <si>
    <t>Stokke</t>
  </si>
  <si>
    <t>Miriam Figueroa Olvera</t>
  </si>
  <si>
    <t>1018 New Mexico Street</t>
  </si>
  <si>
    <t>Palmhurst</t>
  </si>
  <si>
    <t>Vanessa Guimarey Cedeira</t>
  </si>
  <si>
    <t>Rúa Fragas do Eume, 2, 16, 15190 A Coruña, La Coruña</t>
  </si>
  <si>
    <t>A Coruña</t>
  </si>
  <si>
    <t>Kelly Anne Reynolds</t>
  </si>
  <si>
    <t>355 South End Ave</t>
  </si>
  <si>
    <t>15B</t>
  </si>
  <si>
    <t>Kristen Diffley</t>
  </si>
  <si>
    <t>311 Frost Pond Rd</t>
  </si>
  <si>
    <t>Glen Head</t>
  </si>
  <si>
    <t>205 Camden Street</t>
  </si>
  <si>
    <t>Red Oak</t>
  </si>
  <si>
    <t>Ivina Acuna GUA-102652</t>
  </si>
  <si>
    <t>2200 NW 129TH AVE STE 108</t>
  </si>
  <si>
    <t>Carolyn Ann Vozzo</t>
  </si>
  <si>
    <t>Cristian C Yepes simanca</t>
  </si>
  <si>
    <t>6363 W Airport Blvd Apartament 4005</t>
  </si>
  <si>
    <t>Ana Carolina Urena</t>
  </si>
  <si>
    <t>5401 NW 72ND AVE STE LC0240</t>
  </si>
  <si>
    <t>STE LC0240</t>
  </si>
  <si>
    <t>PA</t>
  </si>
  <si>
    <t>Kristina Daberry</t>
  </si>
  <si>
    <t>3631 N Mesquite Knoll Pl</t>
  </si>
  <si>
    <t>Tucson</t>
  </si>
  <si>
    <t>Apartment 96, Floor 2, Block 210, Pchela St., Krasno selo Neighborhood, Sofia, Bulgaria</t>
  </si>
  <si>
    <t>Johnnie Vespie</t>
  </si>
  <si>
    <t>103 Panama Road</t>
  </si>
  <si>
    <t>Oak Ridge</t>
  </si>
  <si>
    <t>12248 Northover Loop</t>
  </si>
  <si>
    <t>Diane Snopkowski</t>
  </si>
  <si>
    <t>336 Lincoln Blvd</t>
  </si>
  <si>
    <t>Hauppauge</t>
  </si>
  <si>
    <t>12195 cou</t>
  </si>
  <si>
    <t>YESICA KOZDROWSKI</t>
  </si>
  <si>
    <t>Guido Gezellelaan 10</t>
  </si>
  <si>
    <t>Wuustwezel</t>
  </si>
  <si>
    <t>9636 Ivory Dr</t>
  </si>
  <si>
    <t>Ecyl Isa</t>
  </si>
  <si>
    <t>4988 Night Star Trail</t>
  </si>
  <si>
    <t>Odessa</t>
  </si>
  <si>
    <t>sandra knight</t>
  </si>
  <si>
    <t>3819 Euclid Ave</t>
  </si>
  <si>
    <t>Renee Wigginton</t>
  </si>
  <si>
    <t>277 Castle Hill Ranch Road</t>
  </si>
  <si>
    <t>Aileen Elacio</t>
  </si>
  <si>
    <t>9776 Cadence Creek Court</t>
  </si>
  <si>
    <t>Dalgata 8a</t>
  </si>
  <si>
    <t>Rjukan</t>
  </si>
  <si>
    <t>Débora Elizabete Neves Duarte</t>
  </si>
  <si>
    <t>Colorado Sprigs</t>
  </si>
  <si>
    <t>XinDuGuoJi303-506 19956769696</t>
  </si>
  <si>
    <t>亳州市谯城区新都国际303栋506，19956769696, Qiaochengqu</t>
  </si>
  <si>
    <t>1306 Maple grove rd apt 405</t>
  </si>
  <si>
    <t>1306 Maple grove rd Apr 405</t>
  </si>
  <si>
    <t>duluth</t>
  </si>
  <si>
    <t>Searchlight - LLT (Single Series) (3)</t>
  </si>
  <si>
    <t>Tamara Smith</t>
  </si>
  <si>
    <t>8975 County Road V</t>
  </si>
  <si>
    <t>Chili</t>
  </si>
  <si>
    <t>Beata Szalontaine Karacs</t>
  </si>
  <si>
    <t>Dobó István 8/A</t>
  </si>
  <si>
    <t>Hajdúszoboszló</t>
  </si>
  <si>
    <t>Edf The Riviera Block 2, 37/L Macau</t>
  </si>
  <si>
    <t>Monique Bristol</t>
  </si>
  <si>
    <t>1502 Park Road 37</t>
  </si>
  <si>
    <t>Helotes</t>
  </si>
  <si>
    <t>LUDIVINE DANION FOURGS</t>
  </si>
  <si>
    <t>39 RUE DES CHÂTAIGNIERS</t>
  </si>
  <si>
    <t>Le Temple de Bretagne</t>
  </si>
  <si>
    <t>18680 151st Avenue Northeast</t>
  </si>
  <si>
    <t>Woodinville</t>
  </si>
  <si>
    <t>whittier</t>
  </si>
  <si>
    <t>Nikki Combs</t>
  </si>
  <si>
    <t>3041 Westminster Dr</t>
  </si>
  <si>
    <t>Hasenbuschfeld 27</t>
  </si>
  <si>
    <t>linda cooper</t>
  </si>
  <si>
    <t>5812 Merton Court apt 281</t>
  </si>
  <si>
    <t>apt 281</t>
  </si>
  <si>
    <t>ALEXANDRIA</t>
  </si>
  <si>
    <t>UNIT 4</t>
  </si>
  <si>
    <t>kimberly beller</t>
  </si>
  <si>
    <t>Avenida João Spadoto, 325</t>
  </si>
  <si>
    <t>Quadra 3 lote 11, Sítios de Recreio Letícia</t>
  </si>
  <si>
    <t>Abaline Werner</t>
  </si>
  <si>
    <t>239 Harmony Drive</t>
  </si>
  <si>
    <t>Terry Winkler</t>
  </si>
  <si>
    <t>Albert Schweitzerlaan 72</t>
  </si>
  <si>
    <t>Den haag</t>
  </si>
  <si>
    <t>75 Pindar Crescent</t>
  </si>
  <si>
    <t>472 Amherst Street</t>
  </si>
  <si>
    <t>Unit 7345020</t>
  </si>
  <si>
    <t>Nashua</t>
  </si>
  <si>
    <t>Patricia D. Adams</t>
  </si>
  <si>
    <t>2208 Lucerne Drive</t>
  </si>
  <si>
    <t>Metsänkuninkaantie 1 B49</t>
  </si>
  <si>
    <t>Oulu</t>
  </si>
  <si>
    <t>Lönsstraße 13</t>
  </si>
  <si>
    <t>Wunstorf</t>
  </si>
  <si>
    <t>1600 Alexander Ave Streamwood il 60107</t>
  </si>
  <si>
    <t>L165</t>
  </si>
  <si>
    <t>Jennifer Batke</t>
  </si>
  <si>
    <t>Searchlight - LLT (Single Series) (1); Nick Carter Signed GoodDeed (1)</t>
  </si>
  <si>
    <t>Calle Huamantla 26</t>
  </si>
  <si>
    <t>Int 102, La Paz</t>
  </si>
  <si>
    <t>Karen Pal</t>
  </si>
  <si>
    <t>35 Overlook Dr</t>
  </si>
  <si>
    <t>Kim Bavaro</t>
  </si>
  <si>
    <t>231 West Street</t>
  </si>
  <si>
    <t>Plantsville</t>
  </si>
  <si>
    <t>unit F</t>
  </si>
  <si>
    <t>Jennifer Szczurowski</t>
  </si>
  <si>
    <t>505 WINDY HILL RD</t>
  </si>
  <si>
    <t>Gilbertsville</t>
  </si>
  <si>
    <t>Searchlight - LLT (Single Series) (2); Nick Carter Signed GoodDeed (1)</t>
  </si>
  <si>
    <t>2426 West St</t>
  </si>
  <si>
    <t>I.Seraus</t>
  </si>
  <si>
    <t>Stramproyergrensweg 46</t>
  </si>
  <si>
    <t>Weert</t>
  </si>
  <si>
    <t>boîte 20</t>
  </si>
  <si>
    <t>7500 NW 25Th St Unit 7 Suite #30062</t>
  </si>
  <si>
    <t>3670 Dixie Highway Northeast</t>
  </si>
  <si>
    <t>Gavin Daniel</t>
  </si>
  <si>
    <t>Clemens-Kraienhorst-Straße</t>
  </si>
  <si>
    <t>49 A Rue Roger Salengro</t>
  </si>
  <si>
    <t>Résidence Lecointe</t>
  </si>
  <si>
    <t>Chantal Groot-Smand</t>
  </si>
  <si>
    <t>A Commandeurlaan 68</t>
  </si>
  <si>
    <t>Veronica Lopez Lopez</t>
  </si>
  <si>
    <t>Nicole M Davis</t>
  </si>
  <si>
    <t>Snjezana Gašparić</t>
  </si>
  <si>
    <t>Frana Folnegovića 6D</t>
  </si>
  <si>
    <t>Zagreb</t>
  </si>
  <si>
    <t>HR</t>
  </si>
  <si>
    <t>12840 123 ST NW</t>
  </si>
  <si>
    <t>2002 Milan Ave</t>
  </si>
  <si>
    <t>John yulich</t>
  </si>
  <si>
    <t>Kaitlyn Kennedy</t>
  </si>
  <si>
    <t>7819 Hogan Drive</t>
  </si>
  <si>
    <t>Wake Forest</t>
  </si>
  <si>
    <t>A.P.  van der Leelie</t>
  </si>
  <si>
    <t>Silvia</t>
  </si>
  <si>
    <t>San sebastian de los reyes reyes, madrid</t>
  </si>
  <si>
    <t>12774 Pearl Street</t>
  </si>
  <si>
    <t>Ellen Van der Laan Broekema</t>
  </si>
  <si>
    <t>Straat Malakka 72</t>
  </si>
  <si>
    <t>Veendam</t>
  </si>
  <si>
    <t>221 Laurel Ln canton mi</t>
  </si>
  <si>
    <t>Flat B, 49/F, Tower 2B, Montara</t>
  </si>
  <si>
    <t>Tseung Kwan O</t>
  </si>
  <si>
    <t>Searchlight - LLT (Single Series) (4); Nick Carter Signed GoodDeed (1)</t>
  </si>
  <si>
    <t>Pedro Rico 5479, Ñuñoa, Región Metropolitana</t>
  </si>
  <si>
    <t>depto 306</t>
  </si>
  <si>
    <t>Total Singles purchased (Searchlight)</t>
  </si>
  <si>
    <t>Dates: 8/15- 8/28</t>
  </si>
  <si>
    <t>Cold Night - LLT (Single Series) (1)</t>
  </si>
  <si>
    <t>Miami Florida</t>
  </si>
  <si>
    <t>Cold Night - LLT (Single Series) (1); Nick Carter Signed GoodDeed (1)</t>
  </si>
  <si>
    <t>Julieth Lazo</t>
  </si>
  <si>
    <t>11532 Southwest 3rd Street</t>
  </si>
  <si>
    <t>Yesica Kozdrowski</t>
  </si>
  <si>
    <t>Eva Marie Willand</t>
  </si>
  <si>
    <t>Mayte Lorenzo Prol</t>
  </si>
  <si>
    <t>Huixtla 118</t>
  </si>
  <si>
    <t>Col. Cafetales, Coyoacan</t>
  </si>
  <si>
    <t>Ciudad de México</t>
  </si>
  <si>
    <t>Deena Ferado</t>
  </si>
  <si>
    <t>155 E. 92Nd St.</t>
  </si>
  <si>
    <t>Apt 18</t>
  </si>
  <si>
    <t>Block 210, 2nd Floor, Apartment 96, Pchela St., Krasno Selo Residential Complex, Sofia, Bulgaria</t>
  </si>
  <si>
    <t>1329 Daigneault</t>
  </si>
  <si>
    <t>Montreal</t>
  </si>
  <si>
    <t>Elizabeth L Davis</t>
  </si>
  <si>
    <t>34261 Sunrise Road</t>
  </si>
  <si>
    <t>Lucerne Valley</t>
  </si>
  <si>
    <t>Dita Eriana</t>
  </si>
  <si>
    <t>1173 Iroquois Ave</t>
  </si>
  <si>
    <t>torrey stephenson</t>
  </si>
  <si>
    <t>6629 Peace Dove Avenue</t>
  </si>
  <si>
    <t>Esten Walter</t>
  </si>
  <si>
    <t>906 S 9th St</t>
  </si>
  <si>
    <t>Temple</t>
  </si>
  <si>
    <t>284 Baysode dr</t>
  </si>
  <si>
    <t>Naiara Cabieces Barquin</t>
  </si>
  <si>
    <t>El Puerto Auzoa, n15</t>
  </si>
  <si>
    <t>Zierbena</t>
  </si>
  <si>
    <t>Browns Mills</t>
  </si>
  <si>
    <t>1137 East Front Street</t>
  </si>
  <si>
    <t>Ana Lilia Otero Diaz</t>
  </si>
  <si>
    <t>1405 Woodmore Drive</t>
  </si>
  <si>
    <t>Ruth Margarita Tapia Mendieta</t>
  </si>
  <si>
    <t>Teniente Homero salas</t>
  </si>
  <si>
    <t>Altar</t>
  </si>
  <si>
    <t>Quito</t>
  </si>
  <si>
    <t>Stacey McIntyre</t>
  </si>
  <si>
    <t>Monidance712@googlemail.com</t>
  </si>
  <si>
    <t>Alaana McCallister</t>
  </si>
  <si>
    <t>203 Monongalia Street</t>
  </si>
  <si>
    <t>Charleston</t>
  </si>
  <si>
    <t>3883 South Homewood Avenue</t>
  </si>
  <si>
    <t>Rosa Lilia Muñoz Madris</t>
  </si>
  <si>
    <t>Privada 13 Norte A 1218</t>
  </si>
  <si>
    <t>San Miguelito</t>
  </si>
  <si>
    <t>Dobó István u. 8/A</t>
  </si>
  <si>
    <t>Cold Night - LLT (Single Series) (2)</t>
  </si>
  <si>
    <t>3662 Roselawn Ave</t>
  </si>
  <si>
    <t>Sam Diego</t>
  </si>
  <si>
    <t>Nanci Lynn Shokoff</t>
  </si>
  <si>
    <t>100 Sterling Boulevard</t>
  </si>
  <si>
    <t>Englewood</t>
  </si>
  <si>
    <t>4401 Conshohocken Avenue</t>
  </si>
  <si>
    <t>D4</t>
  </si>
  <si>
    <t>Philadelphia</t>
  </si>
  <si>
    <t>Angelica solorzano</t>
  </si>
  <si>
    <t>Cold Night - LLT (Single Series) (3)</t>
  </si>
  <si>
    <t>Nuneaton</t>
  </si>
  <si>
    <t>Balingasa</t>
  </si>
  <si>
    <t>Flavia Caballero</t>
  </si>
  <si>
    <t>Erin Karll</t>
  </si>
  <si>
    <t>1655 South 5th Street</t>
  </si>
  <si>
    <t>Saint Charles</t>
  </si>
  <si>
    <t>2107 sterling dr</t>
  </si>
  <si>
    <t>rockin</t>
  </si>
  <si>
    <t>Michelle Schilling</t>
  </si>
  <si>
    <t>710 Market St Lexington NC 27292</t>
  </si>
  <si>
    <t>LEXINGTON</t>
  </si>
  <si>
    <t>Colorado Spri</t>
  </si>
  <si>
    <t>kim Deveau</t>
  </si>
  <si>
    <t>25854 Porter Mill Rd</t>
  </si>
  <si>
    <t>2511/10 Sickle Avenue Hope Island  4212</t>
  </si>
  <si>
    <t>Hieu Truong</t>
  </si>
  <si>
    <t>828 Sandbox Dr</t>
  </si>
  <si>
    <t>Aubrey</t>
  </si>
  <si>
    <t>12 village green apt j</t>
  </si>
  <si>
    <t>Budd lake</t>
  </si>
  <si>
    <t>apt 127 East</t>
  </si>
  <si>
    <t>1 ,esc 1 ,piso 2d</t>
  </si>
  <si>
    <t>7685 Hauck Street</t>
  </si>
  <si>
    <t>1306 Maple Grove Rd apt 405</t>
  </si>
  <si>
    <t>7500 NW 25Th Unit 7, Suite #30062</t>
  </si>
  <si>
    <t>900 Cemetery Street apt 29</t>
  </si>
  <si>
    <t>Nicole Ramirez Mendoza</t>
  </si>
  <si>
    <t>Arlene Vasquez</t>
  </si>
  <si>
    <t>7617 Flourish Springs St</t>
  </si>
  <si>
    <t>Martha K Falcon</t>
  </si>
  <si>
    <t>12851 SW 133rd ST</t>
  </si>
  <si>
    <t>AP van der Leelie</t>
  </si>
  <si>
    <t>JingLan Shan</t>
  </si>
  <si>
    <t>前进北街20号兰亭颖园B3-1001</t>
  </si>
  <si>
    <t>海珠区前进路</t>
  </si>
  <si>
    <t>广州市</t>
  </si>
  <si>
    <t>115  Rue Pierre Neiertz</t>
  </si>
  <si>
    <t>Patricia gravena</t>
  </si>
  <si>
    <t>Quadra 3 lote 11, Marília</t>
  </si>
  <si>
    <t>Av. 22 poniente 508</t>
  </si>
  <si>
    <t>Col. Centro</t>
  </si>
  <si>
    <t>Karina calderon</t>
  </si>
  <si>
    <t>zhaozishuen</t>
  </si>
  <si>
    <t>Qiaochengqu XinDuGuoJi303-506,19956769696</t>
  </si>
  <si>
    <t>安徽省亳州市谯城区新都国际303栋506，19956769696</t>
  </si>
  <si>
    <t>Claudia landmann</t>
  </si>
  <si>
    <t>8220 NW 68TH ST.</t>
  </si>
  <si>
    <t>#FCPY-030642</t>
  </si>
  <si>
    <t>PY</t>
  </si>
  <si>
    <t>App. 406</t>
  </si>
  <si>
    <t>LT</t>
  </si>
  <si>
    <t>PEDRO RICO 5479, ÑUÑOA</t>
  </si>
  <si>
    <t>depto. 306</t>
  </si>
  <si>
    <t>Allie Kennedy</t>
  </si>
  <si>
    <t>Jhie Grisola</t>
  </si>
  <si>
    <t>60 Hanson Road</t>
  </si>
  <si>
    <t>Unit 73</t>
  </si>
  <si>
    <t>Annie-Gail lemelin</t>
  </si>
  <si>
    <t>Apt 12d</t>
  </si>
  <si>
    <t>Coney Island</t>
  </si>
  <si>
    <t>Cold Night - LLT (Single Series) (4); Nick Carter Signed GoodDeed (1)</t>
  </si>
  <si>
    <t>Total Singles purchased (Cold Night)</t>
  </si>
  <si>
    <t>Dates: 8/29- 9/11</t>
  </si>
  <si>
    <t>Storms - LLT (Single Series) (1)</t>
  </si>
  <si>
    <t>200 Park Terrace Drive</t>
  </si>
  <si>
    <t>Apt 201</t>
  </si>
  <si>
    <t>Stoneham</t>
  </si>
  <si>
    <t>Vanessa Araujo</t>
  </si>
  <si>
    <t>6 Periwinkle Lane</t>
  </si>
  <si>
    <t>710 Market Street</t>
  </si>
  <si>
    <t>rue de la procession</t>
  </si>
  <si>
    <t>Oh si es 1629 Newport Dr.</t>
  </si>
  <si>
    <t>G R</t>
  </si>
  <si>
    <t>Storms - LLT (Single Series) (1); Nick Carter Signed GoodDeed (1)</t>
  </si>
  <si>
    <t>4401 Conshohocken Ave</t>
  </si>
  <si>
    <t>Sladana Amidzic</t>
  </si>
  <si>
    <t>Leo-Mathauser Gasse 14/1</t>
  </si>
  <si>
    <t>Wien</t>
  </si>
  <si>
    <t>A111</t>
  </si>
  <si>
    <t>Metsänkuninkaantie 1 b 49</t>
  </si>
  <si>
    <t>19907 Viking Blvd NE</t>
  </si>
  <si>
    <t>Inke Seraus</t>
  </si>
  <si>
    <t>Storms - LLT (Single Series) (2)</t>
  </si>
  <si>
    <t>Elizabeth Bieleck</t>
  </si>
  <si>
    <t>644 Nickle Creek Cove</t>
  </si>
  <si>
    <t>Leander</t>
  </si>
  <si>
    <t>Marc-Andre Grenier</t>
  </si>
  <si>
    <t>728 Québec 263</t>
  </si>
  <si>
    <t>Saint-Jacques-le-Majeur-de-Wolfestown</t>
  </si>
  <si>
    <t>JIng Lan</t>
  </si>
  <si>
    <t>Room 1001  Qianjin Bei jie 20#Qianjin Road</t>
  </si>
  <si>
    <t>广州市海珠区前进路前进北街20号1001（致电13332855020）, Haizhu District</t>
  </si>
  <si>
    <t>Guangzhou</t>
  </si>
  <si>
    <t>Pamela Frick</t>
  </si>
  <si>
    <t>1155 Northwest John Jones Drive</t>
  </si>
  <si>
    <t>House B</t>
  </si>
  <si>
    <t>Burleson</t>
  </si>
  <si>
    <t>Monique</t>
  </si>
  <si>
    <t>Storms - LLT (Single Series) (3)</t>
  </si>
  <si>
    <t>TFR WINKLER</t>
  </si>
  <si>
    <t>142 Baxter Ave</t>
  </si>
  <si>
    <t>Auburn</t>
  </si>
  <si>
    <t>Donald Meade</t>
  </si>
  <si>
    <t>Erin Mindel</t>
  </si>
  <si>
    <t>Mount Pleasant</t>
  </si>
  <si>
    <t>8220 NW 68TH ST</t>
  </si>
  <si>
    <t>#FCPY - 030642</t>
  </si>
  <si>
    <t>Mónica Beatriz Martinez Espinosa</t>
  </si>
  <si>
    <t>XinDuGuoJi303-506,19956769696</t>
  </si>
  <si>
    <t>亳州市谯城区新都国际303栋506.19956769696, Qiaochengqu</t>
  </si>
  <si>
    <t>vanessa guimarey cedeira</t>
  </si>
  <si>
    <t>Travesía de Meicende 117,bajo</t>
  </si>
  <si>
    <t>Meicende-Arteixo</t>
  </si>
  <si>
    <t>Martha Falcon</t>
  </si>
  <si>
    <t>12851 Southwest 133rd Street</t>
  </si>
  <si>
    <t>Ana Carolina Urena LC0240</t>
  </si>
  <si>
    <t>5401 NW 72ND AVE STE LC0240</t>
  </si>
  <si>
    <t>María José Oliva Salinas</t>
  </si>
  <si>
    <t>Pedro rico 5479 Ñuñoa</t>
  </si>
  <si>
    <t>Depto 306</t>
  </si>
  <si>
    <t>Szalontaine Karacs Beata</t>
  </si>
  <si>
    <t>2511/10 Sickle Avenue  Hope Island QLD 4212</t>
  </si>
  <si>
    <t>510 PARDEE BLVD</t>
  </si>
  <si>
    <t>BROWNS MILLS</t>
  </si>
  <si>
    <t>Jurupa Valley</t>
  </si>
  <si>
    <t>Shannon</t>
  </si>
  <si>
    <t>5032 Sunridge Palms Drive</t>
  </si>
  <si>
    <t>Manuela Gutzmann</t>
  </si>
  <si>
    <t>Hangelsberger Straße 7A</t>
  </si>
  <si>
    <t>Grünheide (Mark)</t>
  </si>
  <si>
    <t>5 Evans Road</t>
  </si>
  <si>
    <t>7500 NW 25th St unit 7 Suite #30062</t>
  </si>
  <si>
    <t>Marília, Santa Rosa</t>
  </si>
  <si>
    <t>Alessandra Chiocchi</t>
  </si>
  <si>
    <t>Jodłowa 7</t>
  </si>
  <si>
    <t>7685 S Hauck St</t>
  </si>
  <si>
    <t>Sabine Janssen</t>
  </si>
  <si>
    <t>Padevoortseallee 34b</t>
  </si>
  <si>
    <t>Zeddam</t>
  </si>
  <si>
    <t>Kirchstraße</t>
  </si>
  <si>
    <t>Lisa L Weseman</t>
  </si>
  <si>
    <t>Departamento 598</t>
  </si>
  <si>
    <t>2050 Cheshire Bridge Rd NE</t>
  </si>
  <si>
    <t>Unit 1303</t>
  </si>
  <si>
    <t>2200 NW 129th ave ste 108</t>
  </si>
  <si>
    <t>Via gioacchino rossini 3 caivano na</t>
  </si>
  <si>
    <t>Anna</t>
  </si>
  <si>
    <t>Diana Krueger</t>
  </si>
  <si>
    <t>1574 Asteroid Way</t>
  </si>
  <si>
    <t>Beaumont</t>
  </si>
  <si>
    <t>Jennifer Morgan</t>
  </si>
  <si>
    <t>417 Woodlane Dr</t>
  </si>
  <si>
    <t>Rockwood</t>
  </si>
  <si>
    <t>Susann Münch</t>
  </si>
  <si>
    <t>Storms - LLT (Single Series) (4); Nick Carter Signed GoodDeed (1)</t>
  </si>
  <si>
    <t>36 Długa</t>
  </si>
  <si>
    <t>Total Singles purchased (Storms)</t>
  </si>
  <si>
    <t>Dates: 9/12 - 9/25</t>
  </si>
  <si>
    <t>Revenue</t>
  </si>
  <si>
    <t>Number</t>
  </si>
  <si>
    <t>Name</t>
  </si>
  <si>
    <t>Sarah Arciaga-Kita</t>
  </si>
  <si>
    <t>Annie Gail Lemlin</t>
  </si>
  <si>
    <t>Kathy Vega-Montero</t>
  </si>
  <si>
    <t>Anna van der Leelie</t>
  </si>
  <si>
    <t>Uluru</t>
  </si>
  <si>
    <t>Maria Jose Oliva</t>
  </si>
  <si>
    <t>Marie Soleil-Cote</t>
  </si>
  <si>
    <t>Cote Gonzalez</t>
  </si>
  <si>
    <t>Vero</t>
  </si>
  <si>
    <t>Marc Serra Sunol</t>
  </si>
  <si>
    <t>Francesca Jones</t>
  </si>
  <si>
    <t>Jen Randall</t>
  </si>
  <si>
    <t>Rebecca</t>
  </si>
  <si>
    <t>Kanni Meixin Liang</t>
  </si>
  <si>
    <t>Ashley</t>
  </si>
  <si>
    <t>I San Candida Hon</t>
  </si>
  <si>
    <t>Vangie Reynolds</t>
  </si>
  <si>
    <t>Kristen Celey</t>
  </si>
  <si>
    <t>Natalie Van Ark</t>
  </si>
  <si>
    <t>Olena Maltseva</t>
  </si>
  <si>
    <t>Isela Del Angel Cuellar</t>
  </si>
  <si>
    <t>Tami Bellow</t>
  </si>
  <si>
    <t>MoonLitLilith</t>
  </si>
  <si>
    <t>Jinglan Shan</t>
  </si>
  <si>
    <t>Lily 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</si>
</sst>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&quot;$&quot;* #,##0.00_);_(&quot;$&quot;* \(#,##0.00\);_(&quot;$&quot;* &quot;-&quot;??.00_);_(@_)"/>
    <numFmt numFmtId="168" formatCode="yyyy-mm-dd h:mm:ss"/>
    <numFmt numFmtId="169" formatCode="&quot;$&quot;#,##0"/>
    <numFmt numFmtId="170" formatCode="yyyy/m"/>
  </numFmts>
  <fonts count="22">
    <font>
      <sz val="10.0"/>
      <color rgb="FF000000"/>
      <name val="Arial"/>
      <scheme val="minor"/>
    </font>
    <font>
      <color theme="1"/>
      <name val="Arial"/>
    </font>
    <font>
      <b/>
      <sz val="11.0"/>
      <color rgb="FFFFFFFF"/>
      <name val="Times New Roman"/>
    </font>
    <font>
      <b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b/>
      <color rgb="FF980000"/>
      <name val="Times New Roman"/>
    </font>
    <font>
      <color rgb="FF980000"/>
      <name val="Times New Roman"/>
    </font>
    <font>
      <b/>
      <sz val="12.0"/>
      <color theme="1"/>
      <name val="Times New Roman"/>
    </font>
    <font>
      <b/>
      <color rgb="FFFFFFFF"/>
      <name val="Times New Roman"/>
    </font>
    <font>
      <b/>
      <i/>
      <color rgb="FF980000"/>
      <name val="Times New Roman"/>
    </font>
    <font>
      <b/>
      <sz val="12.0"/>
      <color rgb="FFFFFFFF"/>
      <name val="Times New Roman"/>
    </font>
    <font>
      <color rgb="FFFFFFFF"/>
      <name val="Arial"/>
    </font>
    <font>
      <color rgb="FFFFFFFF"/>
      <name val="Arial"/>
      <scheme val="minor"/>
    </font>
    <font>
      <color rgb="FFFFFFFF"/>
      <name val="Times New Roman"/>
    </font>
    <font>
      <b/>
      <sz val="11.0"/>
      <color theme="1"/>
      <name val="Times New Roman"/>
    </font>
    <font>
      <u/>
      <color rgb="FF0000FF"/>
    </font>
    <font>
      <b/>
      <color theme="1"/>
      <name val="Arial"/>
      <scheme val="minor"/>
    </font>
    <font>
      <b/>
      <color theme="1"/>
      <name val="Arial"/>
    </font>
    <font>
      <sz val="12.0"/>
      <color theme="1"/>
      <name val="Times New Roman"/>
    </font>
    <font>
      <b/>
      <i/>
      <color theme="1"/>
      <name val="Times New Roman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64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5" numFmtId="3" xfId="0" applyFont="1" applyNumberFormat="1"/>
    <xf borderId="0" fillId="0" fontId="6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3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4" numFmtId="3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2" fontId="9" numFmtId="0" xfId="0" applyAlignment="1" applyFont="1">
      <alignment vertical="bottom"/>
    </xf>
    <xf borderId="0" fillId="2" fontId="9" numFmtId="167" xfId="0" applyAlignment="1" applyFont="1" applyNumberFormat="1">
      <alignment horizontal="right" vertical="bottom"/>
    </xf>
    <xf borderId="0" fillId="2" fontId="9" numFmtId="165" xfId="0" applyAlignment="1" applyFont="1" applyNumberFormat="1">
      <alignment horizontal="right" vertical="bottom"/>
    </xf>
    <xf borderId="0" fillId="0" fontId="10" numFmtId="0" xfId="0" applyAlignment="1" applyFont="1">
      <alignment shrinkToFit="0" vertical="bottom" wrapText="1"/>
    </xf>
    <xf borderId="0" fillId="2" fontId="11" numFmtId="0" xfId="0" applyAlignment="1" applyFont="1">
      <alignment vertical="bottom"/>
    </xf>
    <xf borderId="0" fillId="2" fontId="11" numFmtId="167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1" numFmtId="165" xfId="0" applyAlignment="1" applyFont="1" applyNumberFormat="1">
      <alignment horizontal="right" vertical="bottom"/>
    </xf>
    <xf borderId="0" fillId="2" fontId="9" numFmtId="0" xfId="0" applyAlignment="1" applyFont="1">
      <alignment horizontal="center" vertical="bottom"/>
    </xf>
    <xf borderId="0" fillId="2" fontId="12" numFmtId="0" xfId="0" applyAlignment="1" applyFont="1">
      <alignment vertical="bottom"/>
    </xf>
    <xf borderId="0" fillId="2" fontId="13" numFmtId="0" xfId="0" applyFont="1"/>
    <xf borderId="0" fillId="2" fontId="1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4" fontId="15" numFmtId="0" xfId="0" applyAlignment="1" applyFill="1" applyFont="1">
      <alignment vertical="bottom"/>
    </xf>
    <xf borderId="0" fillId="4" fontId="15" numFmtId="0" xfId="0" applyAlignment="1" applyFont="1">
      <alignment horizontal="right" vertical="bottom"/>
    </xf>
    <xf borderId="0" fillId="4" fontId="15" numFmtId="0" xfId="0" applyAlignment="1" applyFont="1">
      <alignment horizontal="right" readingOrder="0" vertical="bottom"/>
    </xf>
    <xf borderId="0" fillId="4" fontId="15" numFmtId="0" xfId="0" applyFont="1"/>
    <xf borderId="0" fillId="0" fontId="1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 shrinkToFit="0" wrapText="1"/>
    </xf>
    <xf borderId="0" fillId="0" fontId="1" numFmtId="168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7" numFmtId="0" xfId="0" applyAlignment="1" applyFont="1">
      <alignment readingOrder="0"/>
    </xf>
    <xf borderId="0" fillId="0" fontId="17" numFmtId="164" xfId="0" applyAlignment="1" applyFont="1" applyNumberFormat="1">
      <alignment readingOrder="0"/>
    </xf>
    <xf borderId="0" fillId="0" fontId="17" numFmtId="0" xfId="0" applyFont="1"/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4" xfId="0" applyFont="1" applyNumberFormat="1"/>
    <xf borderId="0" fillId="0" fontId="17" numFmtId="164" xfId="0" applyFont="1" applyNumberFormat="1"/>
    <xf borderId="0" fillId="0" fontId="17" numFmtId="169" xfId="0" applyAlignment="1" applyFont="1" applyNumberFormat="1">
      <alignment readingOrder="0"/>
    </xf>
    <xf borderId="0" fillId="0" fontId="5" numFmtId="164" xfId="0" applyFont="1" applyNumberFormat="1"/>
    <xf borderId="0" fillId="0" fontId="5" numFmtId="0" xfId="0" applyFont="1"/>
    <xf borderId="0" fillId="0" fontId="5" numFmtId="169" xfId="0" applyAlignment="1" applyFont="1" applyNumberFormat="1">
      <alignment readingOrder="0"/>
    </xf>
    <xf borderId="0" fillId="0" fontId="15" numFmtId="0" xfId="0" applyAlignment="1" applyFont="1">
      <alignment vertical="bottom"/>
    </xf>
    <xf borderId="0" fillId="0" fontId="18" numFmtId="165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0" fillId="0" fontId="15" numFmtId="165" xfId="0" applyAlignment="1" applyFont="1" applyNumberFormat="1">
      <alignment vertical="bottom"/>
    </xf>
    <xf borderId="0" fillId="5" fontId="15" numFmtId="165" xfId="0" applyAlignment="1" applyFill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5" fontId="1" numFmtId="165" xfId="0" applyAlignment="1" applyFont="1" applyNumberFormat="1">
      <alignment vertical="bottom"/>
    </xf>
    <xf borderId="0" fillId="6" fontId="1" numFmtId="0" xfId="0" applyAlignment="1" applyFill="1" applyFont="1">
      <alignment vertical="bottom"/>
    </xf>
    <xf borderId="0" fillId="7" fontId="1" numFmtId="168" xfId="0" applyAlignment="1" applyFill="1" applyFont="1" applyNumberFormat="1">
      <alignment horizontal="right" vertical="bottom"/>
    </xf>
    <xf borderId="0" fillId="7" fontId="1" numFmtId="165" xfId="0" applyAlignment="1" applyFont="1" applyNumberFormat="1">
      <alignment readingOrder="0"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readingOrder="0" vertical="bottom"/>
    </xf>
    <xf borderId="0" fillId="7" fontId="1" numFmtId="165" xfId="0" applyAlignment="1" applyFont="1" applyNumberFormat="1">
      <alignment horizontal="right" vertical="bottom"/>
    </xf>
    <xf borderId="0" fillId="7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6" fontId="1" numFmtId="165" xfId="0" applyAlignment="1" applyFont="1" applyNumberFormat="1">
      <alignment horizontal="right" vertical="bottom"/>
    </xf>
    <xf borderId="0" fillId="5" fontId="8" numFmtId="165" xfId="0" applyAlignment="1" applyFont="1" applyNumberFormat="1">
      <alignment horizontal="center" readingOrder="0" vertical="bottom"/>
    </xf>
    <xf borderId="0" fillId="5" fontId="19" numFmtId="165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5" fontId="8" numFmtId="165" xfId="0" applyAlignment="1" applyFont="1" applyNumberFormat="1">
      <alignment horizontal="right" vertical="bottom"/>
    </xf>
    <xf borderId="0" fillId="0" fontId="1" numFmtId="168" xfId="0" applyAlignment="1" applyFont="1" applyNumberFormat="1">
      <alignment vertical="bottom"/>
    </xf>
    <xf borderId="0" fillId="3" fontId="15" numFmtId="0" xfId="0" applyAlignment="1" applyFont="1">
      <alignment horizontal="center" readingOrder="0" vertical="bottom"/>
    </xf>
    <xf borderId="0" fillId="3" fontId="3" numFmtId="165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readingOrder="0" vertical="bottom"/>
    </xf>
    <xf borderId="0" fillId="3" fontId="20" numFmtId="0" xfId="0" applyAlignment="1" applyFont="1">
      <alignment horizontal="center" vertical="bottom"/>
    </xf>
    <xf borderId="0" fillId="3" fontId="20" numFmtId="165" xfId="0" applyAlignment="1" applyFont="1" applyNumberFormat="1">
      <alignment horizontal="center" vertical="bottom"/>
    </xf>
    <xf borderId="0" fillId="8" fontId="4" numFmtId="165" xfId="0" applyAlignment="1" applyFill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readingOrder="0" vertical="bottom"/>
    </xf>
    <xf borderId="0" fillId="9" fontId="3" numFmtId="0" xfId="0" applyAlignment="1" applyFill="1" applyFont="1">
      <alignment readingOrder="0" vertical="bottom"/>
    </xf>
    <xf borderId="0" fillId="9" fontId="3" numFmtId="165" xfId="0" applyAlignment="1" applyFont="1" applyNumberFormat="1">
      <alignment vertical="bottom"/>
    </xf>
    <xf borderId="0" fillId="6" fontId="1" numFmtId="0" xfId="0" applyAlignment="1" applyFont="1">
      <alignment readingOrder="0" vertical="bottom"/>
    </xf>
    <xf borderId="0" fillId="6" fontId="18" numFmtId="165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6" fontId="1" numFmtId="165" xfId="0" applyAlignment="1" applyFont="1" applyNumberFormat="1">
      <alignment readingOrder="0" vertical="bottom"/>
    </xf>
    <xf borderId="0" fillId="6" fontId="1" numFmtId="165" xfId="0" applyAlignment="1" applyFont="1" applyNumberFormat="1">
      <alignment vertical="bottom"/>
    </xf>
    <xf borderId="0" fillId="6" fontId="18" numFmtId="165" xfId="0" applyAlignment="1" applyFont="1" applyNumberFormat="1">
      <alignment vertical="bottom"/>
    </xf>
    <xf borderId="0" fillId="6" fontId="1" numFmtId="0" xfId="0" applyAlignment="1" applyFont="1">
      <alignment vertical="bottom"/>
    </xf>
    <xf borderId="0" fillId="6" fontId="1" numFmtId="3" xfId="0" applyAlignment="1" applyFont="1" applyNumberFormat="1">
      <alignment readingOrder="0" vertical="bottom"/>
    </xf>
    <xf borderId="0" fillId="6" fontId="5" numFmtId="0" xfId="0" applyAlignment="1" applyFont="1">
      <alignment readingOrder="0"/>
    </xf>
    <xf borderId="0" fillId="6" fontId="5" numFmtId="165" xfId="0" applyFont="1" applyNumberFormat="1"/>
    <xf borderId="0" fillId="6" fontId="5" numFmtId="0" xfId="0" applyFont="1"/>
    <xf borderId="0" fillId="6" fontId="18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8" numFmtId="0" xfId="0" applyAlignment="1" applyFont="1">
      <alignment vertical="bottom"/>
    </xf>
    <xf borderId="0" fillId="0" fontId="18" numFmtId="165" xfId="0" applyAlignment="1" applyFont="1" applyNumberFormat="1">
      <alignment readingOrder="0" vertical="bottom"/>
    </xf>
    <xf borderId="0" fillId="7" fontId="1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2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165" xfId="0" applyAlignment="1" applyFont="1" applyNumberFormat="1">
      <alignment vertical="bottom"/>
    </xf>
    <xf borderId="0" fillId="8" fontId="4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 vertical="bottom"/>
    </xf>
    <xf borderId="0" fillId="10" fontId="4" numFmtId="0" xfId="0" applyAlignment="1" applyFill="1" applyFont="1">
      <alignment readingOrder="0" vertical="bottom"/>
    </xf>
    <xf borderId="0" fillId="10" fontId="3" numFmtId="165" xfId="0" applyAlignment="1" applyFont="1" applyNumberFormat="1">
      <alignment readingOrder="0" vertical="bottom"/>
    </xf>
    <xf borderId="0" fillId="10" fontId="4" numFmtId="165" xfId="0" applyAlignment="1" applyFont="1" applyNumberFormat="1">
      <alignment readingOrder="0" vertical="bottom"/>
    </xf>
    <xf borderId="0" fillId="10" fontId="3" numFmtId="165" xfId="0" applyAlignment="1" applyFont="1" applyNumberFormat="1">
      <alignment vertical="bottom"/>
    </xf>
    <xf borderId="0" fillId="10" fontId="4" numFmtId="0" xfId="0" applyAlignment="1" applyFont="1">
      <alignment vertical="bottom"/>
    </xf>
    <xf borderId="0" fillId="10" fontId="4" numFmtId="165" xfId="0" applyAlignment="1" applyFont="1" applyNumberFormat="1">
      <alignment vertical="bottom"/>
    </xf>
    <xf borderId="0" fillId="10" fontId="4" numFmtId="3" xfId="0" applyAlignment="1" applyFont="1" applyNumberFormat="1">
      <alignment readingOrder="0" vertical="bottom"/>
    </xf>
    <xf borderId="0" fillId="10" fontId="3" numFmtId="0" xfId="0" applyAlignment="1" applyFont="1">
      <alignment readingOrder="0"/>
    </xf>
    <xf borderId="0" fillId="10" fontId="3" numFmtId="165" xfId="0" applyFont="1" applyNumberFormat="1"/>
    <xf borderId="0" fillId="10" fontId="4" numFmtId="0" xfId="0" applyFont="1"/>
    <xf borderId="0" fillId="10" fontId="3" numFmtId="0" xfId="0" applyAlignment="1" applyFont="1">
      <alignment readingOrder="0" vertical="bottom"/>
    </xf>
    <xf borderId="0" fillId="10" fontId="4" numFmtId="166" xfId="0" applyAlignment="1" applyFont="1" applyNumberFormat="1">
      <alignment readingOrder="0" vertical="bottom"/>
    </xf>
    <xf borderId="0" fillId="10" fontId="4" numFmtId="0" xfId="0" applyAlignment="1" applyFont="1">
      <alignment readingOrder="0"/>
    </xf>
    <xf borderId="0" fillId="10" fontId="4" numFmtId="167" xfId="0" applyAlignment="1" applyFont="1" applyNumberFormat="1">
      <alignment readingOrder="0"/>
    </xf>
    <xf borderId="0" fillId="0" fontId="1" numFmtId="170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0" fontId="1" numFmtId="170" xfId="0" applyAlignment="1" applyFont="1" applyNumberFormat="1">
      <alignment vertical="bottom"/>
    </xf>
    <xf borderId="0" fillId="10" fontId="3" numFmtId="0" xfId="0" applyFont="1"/>
    <xf borderId="0" fillId="11" fontId="18" numFmtId="165" xfId="0" applyAlignment="1" applyFill="1" applyFont="1" applyNumberFormat="1">
      <alignment readingOrder="0" vertical="bottom"/>
    </xf>
    <xf borderId="0" fillId="11" fontId="1" numFmtId="165" xfId="0" applyAlignment="1" applyFont="1" applyNumberFormat="1">
      <alignment vertical="bottom"/>
    </xf>
    <xf borderId="0" fillId="0" fontId="8" numFmtId="0" xfId="0" applyAlignment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4" fontId="5" numFmtId="0" xfId="0" applyAlignment="1" applyFont="1">
      <alignment readingOrder="0"/>
    </xf>
    <xf borderId="0" fillId="4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ill Denk" id="{6bc6e920-7ee3-4558-83e4-d552e612988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7T08:32:23.00" personId="{6bc6e920-7ee3-4558-83e4-d552e612988d}" id="{6e4ecdd3-2a36-413f-9fb7-9526a274d0da}" done="0">
    <x18tc:text xml:space="preserve">This doesn't include a $100 GoodDeed or Shipping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" dT="2026-01-17T08:41:17.00" personId="{6bc6e920-7ee3-4558-83e4-d552e612988d}" id="{6cf2255d-a700-4809-9f90-d83369b8ae54}" done="0">
    <x18tc:text xml:space="preserve">This doesn't include a $100 GoodDeed or Shipping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XSB1A7nUV72LZo19xSDsP1ZVna68u7jQaWMsBPCK7RA/edit?gid=1607681655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>
      <c r="A2" s="4" t="s">
        <v>7</v>
      </c>
      <c r="B2" s="5">
        <v>24.99</v>
      </c>
      <c r="C2" s="5">
        <v>24.99</v>
      </c>
      <c r="D2" s="5">
        <v>24.99</v>
      </c>
      <c r="E2" s="5">
        <v>24.99</v>
      </c>
      <c r="F2" s="5">
        <v>24.99</v>
      </c>
      <c r="G2" s="5">
        <v>24.99</v>
      </c>
      <c r="H2" s="5">
        <v>50.0</v>
      </c>
    </row>
    <row r="3">
      <c r="A3" s="4" t="s">
        <v>8</v>
      </c>
      <c r="B3" s="6">
        <v>4.5</v>
      </c>
      <c r="C3" s="6">
        <v>4.5</v>
      </c>
      <c r="D3" s="6">
        <v>4.5</v>
      </c>
      <c r="E3" s="6">
        <v>4.5</v>
      </c>
      <c r="F3" s="6">
        <v>4.5</v>
      </c>
      <c r="G3" s="6">
        <v>4.5</v>
      </c>
      <c r="H3" s="6">
        <v>4.5</v>
      </c>
    </row>
    <row r="4">
      <c r="A4" s="4" t="s">
        <v>9</v>
      </c>
      <c r="B4" s="5">
        <f t="shared" ref="B4:H4" si="1">B2-B3</f>
        <v>20.49</v>
      </c>
      <c r="C4" s="5">
        <f t="shared" si="1"/>
        <v>20.49</v>
      </c>
      <c r="D4" s="5">
        <f t="shared" si="1"/>
        <v>20.49</v>
      </c>
      <c r="E4" s="5">
        <f t="shared" si="1"/>
        <v>20.49</v>
      </c>
      <c r="F4" s="5">
        <f t="shared" si="1"/>
        <v>20.49</v>
      </c>
      <c r="G4" s="5">
        <f t="shared" si="1"/>
        <v>20.49</v>
      </c>
      <c r="H4" s="5">
        <f t="shared" si="1"/>
        <v>45.5</v>
      </c>
    </row>
    <row r="5">
      <c r="A5" s="7"/>
      <c r="B5" s="8"/>
      <c r="C5" s="8"/>
      <c r="D5" s="8"/>
      <c r="E5" s="8"/>
      <c r="F5" s="8"/>
      <c r="G5" s="8"/>
      <c r="H5" s="8"/>
    </row>
    <row r="6">
      <c r="A6" s="4" t="s">
        <v>10</v>
      </c>
      <c r="B6" s="9">
        <v>377.0</v>
      </c>
      <c r="C6" s="9">
        <v>330.0</v>
      </c>
      <c r="D6" s="9">
        <v>339.0</v>
      </c>
      <c r="E6" s="9">
        <v>374.0</v>
      </c>
      <c r="F6" s="9">
        <v>355.0</v>
      </c>
      <c r="G6" s="9">
        <v>349.0</v>
      </c>
      <c r="H6" s="9">
        <v>380.0</v>
      </c>
      <c r="J6" s="10">
        <f>SUM(B6:H6)</f>
        <v>2504</v>
      </c>
    </row>
    <row r="7">
      <c r="A7" s="4" t="s">
        <v>11</v>
      </c>
      <c r="B7" s="6">
        <f t="shared" ref="B7:H7" si="2">B4*B6</f>
        <v>7724.73</v>
      </c>
      <c r="C7" s="6">
        <f t="shared" si="2"/>
        <v>6761.7</v>
      </c>
      <c r="D7" s="6">
        <f t="shared" si="2"/>
        <v>6946.11</v>
      </c>
      <c r="E7" s="6">
        <f t="shared" si="2"/>
        <v>7663.26</v>
      </c>
      <c r="F7" s="6">
        <f t="shared" si="2"/>
        <v>7273.95</v>
      </c>
      <c r="G7" s="6">
        <f t="shared" si="2"/>
        <v>7151.01</v>
      </c>
      <c r="H7" s="6">
        <f t="shared" si="2"/>
        <v>17290</v>
      </c>
    </row>
    <row r="8">
      <c r="A8" s="11" t="s">
        <v>12</v>
      </c>
      <c r="B8" s="6">
        <v>4235.5</v>
      </c>
      <c r="C8" s="6">
        <v>4235.5</v>
      </c>
      <c r="D8" s="6">
        <v>4235.5</v>
      </c>
      <c r="E8" s="6">
        <v>4235.5</v>
      </c>
      <c r="F8" s="6">
        <v>4235.5</v>
      </c>
      <c r="G8" s="6">
        <v>4235.5</v>
      </c>
      <c r="H8" s="12">
        <v>9905.0</v>
      </c>
    </row>
    <row r="9">
      <c r="A9" s="4" t="s">
        <v>13</v>
      </c>
      <c r="B9" s="6">
        <f t="shared" ref="B9:H9" si="3">(2*0.127)*500</f>
        <v>127</v>
      </c>
      <c r="C9" s="6">
        <f t="shared" si="3"/>
        <v>127</v>
      </c>
      <c r="D9" s="6">
        <f t="shared" si="3"/>
        <v>127</v>
      </c>
      <c r="E9" s="6">
        <f t="shared" si="3"/>
        <v>127</v>
      </c>
      <c r="F9" s="6">
        <f t="shared" si="3"/>
        <v>127</v>
      </c>
      <c r="G9" s="6">
        <f t="shared" si="3"/>
        <v>127</v>
      </c>
      <c r="H9" s="6">
        <f t="shared" si="3"/>
        <v>127</v>
      </c>
    </row>
    <row r="10">
      <c r="A10" s="13" t="s">
        <v>14</v>
      </c>
      <c r="B10" s="14">
        <f t="shared" ref="B10:H10" si="4">B7-B8-B9</f>
        <v>3362.23</v>
      </c>
      <c r="C10" s="14">
        <f t="shared" si="4"/>
        <v>2399.2</v>
      </c>
      <c r="D10" s="14">
        <f t="shared" si="4"/>
        <v>2583.61</v>
      </c>
      <c r="E10" s="14">
        <f t="shared" si="4"/>
        <v>3300.76</v>
      </c>
      <c r="F10" s="14">
        <f t="shared" si="4"/>
        <v>2911.45</v>
      </c>
      <c r="G10" s="14">
        <f t="shared" si="4"/>
        <v>2788.51</v>
      </c>
      <c r="H10" s="14">
        <f t="shared" si="4"/>
        <v>7258</v>
      </c>
    </row>
    <row r="11">
      <c r="A11" s="7"/>
      <c r="B11" s="7"/>
      <c r="C11" s="7"/>
      <c r="D11" s="7"/>
      <c r="E11" s="7"/>
      <c r="F11" s="7"/>
      <c r="G11" s="7"/>
      <c r="H11" s="7"/>
    </row>
    <row r="12">
      <c r="A12" s="15" t="s">
        <v>15</v>
      </c>
      <c r="B12" s="8"/>
      <c r="C12" s="8"/>
      <c r="D12" s="8"/>
      <c r="E12" s="8"/>
      <c r="F12" s="8"/>
      <c r="G12" s="8"/>
      <c r="H12" s="8"/>
    </row>
    <row r="13">
      <c r="A13" s="4" t="s">
        <v>16</v>
      </c>
      <c r="B13" s="6">
        <f t="shared" ref="B13:H13" si="5">70</f>
        <v>70</v>
      </c>
      <c r="C13" s="6">
        <f t="shared" si="5"/>
        <v>70</v>
      </c>
      <c r="D13" s="6">
        <f t="shared" si="5"/>
        <v>70</v>
      </c>
      <c r="E13" s="6">
        <f t="shared" si="5"/>
        <v>70</v>
      </c>
      <c r="F13" s="6">
        <f t="shared" si="5"/>
        <v>70</v>
      </c>
      <c r="G13" s="6">
        <f t="shared" si="5"/>
        <v>70</v>
      </c>
      <c r="H13" s="6">
        <f t="shared" si="5"/>
        <v>70</v>
      </c>
    </row>
    <row r="14">
      <c r="A14" s="4" t="s">
        <v>10</v>
      </c>
      <c r="B14" s="16">
        <v>50.0</v>
      </c>
      <c r="C14" s="16">
        <v>49.0</v>
      </c>
      <c r="D14" s="16">
        <v>47.0</v>
      </c>
      <c r="E14" s="16">
        <v>60.0</v>
      </c>
      <c r="F14" s="16">
        <v>64.0</v>
      </c>
      <c r="G14" s="16">
        <v>95.0</v>
      </c>
      <c r="H14" s="16">
        <v>89.0</v>
      </c>
    </row>
    <row r="15">
      <c r="A15" s="13" t="s">
        <v>17</v>
      </c>
      <c r="B15" s="14">
        <f t="shared" ref="B15:H15" si="6">B13*B14</f>
        <v>3500</v>
      </c>
      <c r="C15" s="14">
        <f t="shared" si="6"/>
        <v>3430</v>
      </c>
      <c r="D15" s="14">
        <f t="shared" si="6"/>
        <v>3290</v>
      </c>
      <c r="E15" s="14">
        <f t="shared" si="6"/>
        <v>4200</v>
      </c>
      <c r="F15" s="14">
        <f t="shared" si="6"/>
        <v>4480</v>
      </c>
      <c r="G15" s="14">
        <f t="shared" si="6"/>
        <v>6650</v>
      </c>
      <c r="H15" s="14">
        <f t="shared" si="6"/>
        <v>6230</v>
      </c>
    </row>
    <row r="16">
      <c r="A16" s="7"/>
      <c r="B16" s="8"/>
      <c r="C16" s="8"/>
      <c r="D16" s="8"/>
      <c r="E16" s="8"/>
      <c r="F16" s="8"/>
      <c r="G16" s="8"/>
      <c r="H16" s="8"/>
    </row>
    <row r="17">
      <c r="A17" s="4" t="s">
        <v>18</v>
      </c>
      <c r="B17" s="5">
        <f t="shared" ref="B17:H17" si="7">B10+B15</f>
        <v>6862.23</v>
      </c>
      <c r="C17" s="5">
        <f t="shared" si="7"/>
        <v>5829.2</v>
      </c>
      <c r="D17" s="5">
        <f t="shared" si="7"/>
        <v>5873.61</v>
      </c>
      <c r="E17" s="5">
        <f t="shared" si="7"/>
        <v>7500.76</v>
      </c>
      <c r="F17" s="5">
        <f t="shared" si="7"/>
        <v>7391.45</v>
      </c>
      <c r="G17" s="5">
        <f t="shared" si="7"/>
        <v>9438.51</v>
      </c>
      <c r="H17" s="5">
        <f t="shared" si="7"/>
        <v>13488</v>
      </c>
    </row>
    <row r="18">
      <c r="A18" s="7"/>
      <c r="B18" s="7"/>
      <c r="C18" s="7"/>
      <c r="D18" s="7"/>
      <c r="E18" s="7"/>
      <c r="F18" s="7"/>
      <c r="G18" s="7"/>
      <c r="H18" s="7"/>
    </row>
    <row r="19">
      <c r="A19" s="4" t="s">
        <v>19</v>
      </c>
      <c r="B19" s="17">
        <v>904.0</v>
      </c>
      <c r="C19" s="17">
        <v>639.71</v>
      </c>
      <c r="D19" s="17">
        <v>627.03</v>
      </c>
      <c r="E19" s="17">
        <v>730.0</v>
      </c>
      <c r="F19" s="17">
        <v>717.95</v>
      </c>
      <c r="G19" s="17">
        <v>788.0</v>
      </c>
      <c r="H19" s="6">
        <v>1378.0</v>
      </c>
    </row>
    <row r="20">
      <c r="A20" s="4"/>
      <c r="B20" s="18"/>
      <c r="C20" s="18"/>
      <c r="D20" s="18"/>
      <c r="E20" s="18"/>
      <c r="F20" s="18"/>
      <c r="G20" s="18"/>
      <c r="H20" s="6"/>
    </row>
    <row r="21">
      <c r="A21" s="19" t="s">
        <v>20</v>
      </c>
      <c r="B21" s="20">
        <f t="shared" ref="B21:H21" si="8">B17-B19-B20</f>
        <v>5958.23</v>
      </c>
      <c r="C21" s="21">
        <f t="shared" si="8"/>
        <v>5189.49</v>
      </c>
      <c r="D21" s="21">
        <f t="shared" si="8"/>
        <v>5246.58</v>
      </c>
      <c r="E21" s="21">
        <f t="shared" si="8"/>
        <v>6770.76</v>
      </c>
      <c r="F21" s="21">
        <f t="shared" si="8"/>
        <v>6673.5</v>
      </c>
      <c r="G21" s="21">
        <f t="shared" si="8"/>
        <v>8650.51</v>
      </c>
      <c r="H21" s="21">
        <f t="shared" si="8"/>
        <v>12110</v>
      </c>
    </row>
    <row r="22" ht="29.25" customHeight="1">
      <c r="A22" s="22" t="s">
        <v>21</v>
      </c>
      <c r="B22" s="7"/>
      <c r="C22" s="7"/>
      <c r="D22" s="7"/>
      <c r="E22" s="7"/>
      <c r="F22" s="7"/>
      <c r="G22" s="7"/>
      <c r="H22" s="7"/>
    </row>
    <row r="23">
      <c r="A23" s="23" t="s">
        <v>22</v>
      </c>
      <c r="B23" s="24">
        <f>sum(B21:H21)</f>
        <v>50599.07</v>
      </c>
      <c r="C23" s="7">
        <f>19.8</f>
        <v>19.8</v>
      </c>
      <c r="D23" s="25">
        <f>B23-C23</f>
        <v>50579.27</v>
      </c>
      <c r="E23" s="7"/>
      <c r="F23" s="7"/>
      <c r="G23" s="7"/>
      <c r="H23" s="26"/>
    </row>
    <row r="25">
      <c r="A25" s="27" t="s">
        <v>23</v>
      </c>
      <c r="B25" s="28"/>
      <c r="C25" s="28"/>
      <c r="D25" s="28"/>
      <c r="E25" s="28"/>
      <c r="F25" s="28"/>
      <c r="G25" s="29"/>
      <c r="H25" s="30"/>
    </row>
    <row r="26">
      <c r="A26" s="31" t="s">
        <v>24</v>
      </c>
      <c r="B26" s="32">
        <f t="shared" ref="B26:G26" si="9">B28+B29</f>
        <v>639</v>
      </c>
      <c r="C26" s="32">
        <f t="shared" si="9"/>
        <v>500</v>
      </c>
      <c r="D26" s="32">
        <f t="shared" si="9"/>
        <v>501</v>
      </c>
      <c r="E26" s="32">
        <f t="shared" si="9"/>
        <v>500</v>
      </c>
      <c r="F26" s="32">
        <f t="shared" si="9"/>
        <v>536</v>
      </c>
      <c r="G26" s="32">
        <f t="shared" si="9"/>
        <v>519</v>
      </c>
      <c r="H26" s="33"/>
    </row>
    <row r="27">
      <c r="A27" s="31" t="s">
        <v>25</v>
      </c>
      <c r="B27" s="7"/>
      <c r="C27" s="32">
        <v>1.0</v>
      </c>
      <c r="D27" s="7"/>
      <c r="E27" s="7"/>
      <c r="F27" s="7"/>
      <c r="G27" s="7"/>
      <c r="H27" s="33"/>
    </row>
    <row r="28">
      <c r="A28" s="31" t="s">
        <v>26</v>
      </c>
      <c r="B28" s="32">
        <v>377.0</v>
      </c>
      <c r="C28" s="32">
        <v>330.0</v>
      </c>
      <c r="D28" s="32">
        <v>339.0</v>
      </c>
      <c r="E28" s="32">
        <v>374.0</v>
      </c>
      <c r="F28" s="32">
        <v>355.0</v>
      </c>
      <c r="G28" s="32">
        <v>349.0</v>
      </c>
      <c r="H28" s="34">
        <v>380.0</v>
      </c>
    </row>
    <row r="29">
      <c r="A29" s="35" t="s">
        <v>27</v>
      </c>
      <c r="B29" s="36">
        <v>262.0</v>
      </c>
      <c r="C29" s="37">
        <v>170.0</v>
      </c>
      <c r="D29" s="36">
        <v>162.0</v>
      </c>
      <c r="E29" s="37">
        <v>126.0</v>
      </c>
      <c r="F29" s="36">
        <v>181.0</v>
      </c>
      <c r="G29" s="36">
        <v>170.0</v>
      </c>
      <c r="H29" s="38"/>
    </row>
    <row r="34">
      <c r="A34" s="39" t="s">
        <v>28</v>
      </c>
    </row>
  </sheetData>
  <hyperlinks>
    <hyperlink r:id="rId4" location="gid=1607681655" ref="A3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9" max="9" width="38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0"/>
      <c r="J1" s="33"/>
    </row>
    <row r="2">
      <c r="A2" s="4" t="s">
        <v>7</v>
      </c>
      <c r="B2" s="5">
        <v>24.99</v>
      </c>
      <c r="C2" s="5">
        <v>24.99</v>
      </c>
      <c r="D2" s="5">
        <v>24.99</v>
      </c>
      <c r="E2" s="5">
        <v>24.99</v>
      </c>
      <c r="F2" s="5">
        <v>24.99</v>
      </c>
      <c r="G2" s="5">
        <v>24.99</v>
      </c>
      <c r="H2" s="5">
        <v>50.0</v>
      </c>
      <c r="I2" s="33"/>
      <c r="J2" s="33"/>
    </row>
    <row r="3">
      <c r="A3" s="4" t="s">
        <v>8</v>
      </c>
      <c r="B3" s="6">
        <v>4.5</v>
      </c>
      <c r="C3" s="6">
        <v>4.5</v>
      </c>
      <c r="D3" s="6">
        <v>4.5</v>
      </c>
      <c r="E3" s="6">
        <v>4.5</v>
      </c>
      <c r="F3" s="6">
        <v>4.5</v>
      </c>
      <c r="G3" s="6">
        <v>4.5</v>
      </c>
      <c r="H3" s="6">
        <v>4.5</v>
      </c>
      <c r="I3" s="33"/>
      <c r="J3" s="33"/>
    </row>
    <row r="4">
      <c r="A4" s="4" t="s">
        <v>9</v>
      </c>
      <c r="B4" s="5">
        <f t="shared" ref="B4:H4" si="1">B2-B3</f>
        <v>20.49</v>
      </c>
      <c r="C4" s="5">
        <f t="shared" si="1"/>
        <v>20.49</v>
      </c>
      <c r="D4" s="5">
        <f t="shared" si="1"/>
        <v>20.49</v>
      </c>
      <c r="E4" s="5">
        <f t="shared" si="1"/>
        <v>20.49</v>
      </c>
      <c r="F4" s="5">
        <f t="shared" si="1"/>
        <v>20.49</v>
      </c>
      <c r="G4" s="5">
        <f t="shared" si="1"/>
        <v>20.49</v>
      </c>
      <c r="H4" s="5">
        <f t="shared" si="1"/>
        <v>45.5</v>
      </c>
      <c r="I4" s="33"/>
      <c r="J4" s="33"/>
    </row>
    <row r="5">
      <c r="A5" s="7"/>
      <c r="B5" s="8"/>
      <c r="C5" s="8"/>
      <c r="D5" s="8"/>
      <c r="E5" s="8"/>
      <c r="F5" s="8"/>
      <c r="G5" s="8"/>
      <c r="H5" s="8"/>
      <c r="I5" s="33"/>
      <c r="J5" s="33"/>
    </row>
    <row r="6">
      <c r="A6" s="4" t="s">
        <v>10</v>
      </c>
      <c r="B6" s="9">
        <v>377.0</v>
      </c>
      <c r="C6" s="9">
        <v>330.0</v>
      </c>
      <c r="D6" s="9">
        <v>339.0</v>
      </c>
      <c r="E6" s="9">
        <v>374.0</v>
      </c>
      <c r="F6" s="9">
        <v>355.0</v>
      </c>
      <c r="G6" s="9">
        <v>349.0</v>
      </c>
      <c r="H6" s="9">
        <v>380.0</v>
      </c>
      <c r="I6" s="33"/>
      <c r="J6" s="33"/>
    </row>
    <row r="7">
      <c r="A7" s="4" t="s">
        <v>11</v>
      </c>
      <c r="B7" s="6">
        <f t="shared" ref="B7:H7" si="2">B4*B6</f>
        <v>7724.73</v>
      </c>
      <c r="C7" s="6">
        <f t="shared" si="2"/>
        <v>6761.7</v>
      </c>
      <c r="D7" s="6">
        <f t="shared" si="2"/>
        <v>6946.11</v>
      </c>
      <c r="E7" s="6">
        <f t="shared" si="2"/>
        <v>7663.26</v>
      </c>
      <c r="F7" s="6">
        <f t="shared" si="2"/>
        <v>7273.95</v>
      </c>
      <c r="G7" s="6">
        <f t="shared" si="2"/>
        <v>7151.01</v>
      </c>
      <c r="H7" s="6">
        <f t="shared" si="2"/>
        <v>17290</v>
      </c>
      <c r="I7" s="33"/>
      <c r="J7" s="33"/>
    </row>
    <row r="8">
      <c r="A8" s="11" t="s">
        <v>12</v>
      </c>
      <c r="B8" s="6">
        <v>4235.5</v>
      </c>
      <c r="C8" s="6">
        <v>4235.5</v>
      </c>
      <c r="D8" s="6">
        <v>4235.5</v>
      </c>
      <c r="E8" s="6">
        <v>4235.5</v>
      </c>
      <c r="F8" s="6">
        <v>4235.5</v>
      </c>
      <c r="G8" s="6">
        <v>4235.5</v>
      </c>
      <c r="H8" s="12">
        <v>9905.0</v>
      </c>
      <c r="I8" s="33"/>
      <c r="J8" s="33"/>
    </row>
    <row r="9">
      <c r="A9" s="4" t="s">
        <v>13</v>
      </c>
      <c r="B9" s="6">
        <f t="shared" ref="B9:H9" si="3">(2*0.127)*500</f>
        <v>127</v>
      </c>
      <c r="C9" s="6">
        <f t="shared" si="3"/>
        <v>127</v>
      </c>
      <c r="D9" s="6">
        <f t="shared" si="3"/>
        <v>127</v>
      </c>
      <c r="E9" s="6">
        <f t="shared" si="3"/>
        <v>127</v>
      </c>
      <c r="F9" s="6">
        <f t="shared" si="3"/>
        <v>127</v>
      </c>
      <c r="G9" s="6">
        <f t="shared" si="3"/>
        <v>127</v>
      </c>
      <c r="H9" s="6">
        <f t="shared" si="3"/>
        <v>127</v>
      </c>
      <c r="I9" s="33"/>
      <c r="J9" s="33"/>
    </row>
    <row r="10">
      <c r="A10" s="13" t="s">
        <v>14</v>
      </c>
      <c r="B10" s="14">
        <f t="shared" ref="B10:H10" si="4">B7-B8-B9</f>
        <v>3362.23</v>
      </c>
      <c r="C10" s="14">
        <f t="shared" si="4"/>
        <v>2399.2</v>
      </c>
      <c r="D10" s="14">
        <f t="shared" si="4"/>
        <v>2583.61</v>
      </c>
      <c r="E10" s="14">
        <f t="shared" si="4"/>
        <v>3300.76</v>
      </c>
      <c r="F10" s="14">
        <f t="shared" si="4"/>
        <v>2911.45</v>
      </c>
      <c r="G10" s="14">
        <f t="shared" si="4"/>
        <v>2788.51</v>
      </c>
      <c r="H10" s="14">
        <f t="shared" si="4"/>
        <v>7258</v>
      </c>
      <c r="I10" s="33"/>
      <c r="J10" s="33"/>
    </row>
    <row r="11">
      <c r="A11" s="7"/>
      <c r="B11" s="7"/>
      <c r="C11" s="7"/>
      <c r="D11" s="7"/>
      <c r="E11" s="7"/>
      <c r="F11" s="7"/>
      <c r="G11" s="7"/>
      <c r="H11" s="7"/>
      <c r="I11" s="33"/>
      <c r="J11" s="33"/>
    </row>
    <row r="12">
      <c r="A12" s="15" t="s">
        <v>15</v>
      </c>
      <c r="B12" s="8"/>
      <c r="C12" s="8"/>
      <c r="D12" s="8"/>
      <c r="E12" s="8"/>
      <c r="F12" s="8"/>
      <c r="G12" s="8"/>
      <c r="H12" s="8"/>
      <c r="I12" s="33"/>
      <c r="J12" s="33"/>
    </row>
    <row r="13">
      <c r="A13" s="4" t="s">
        <v>16</v>
      </c>
      <c r="B13" s="6">
        <f t="shared" ref="B13:H13" si="5">70</f>
        <v>70</v>
      </c>
      <c r="C13" s="6">
        <f t="shared" si="5"/>
        <v>70</v>
      </c>
      <c r="D13" s="6">
        <f t="shared" si="5"/>
        <v>70</v>
      </c>
      <c r="E13" s="6">
        <f t="shared" si="5"/>
        <v>70</v>
      </c>
      <c r="F13" s="6">
        <f t="shared" si="5"/>
        <v>70</v>
      </c>
      <c r="G13" s="6">
        <f t="shared" si="5"/>
        <v>70</v>
      </c>
      <c r="H13" s="6">
        <f t="shared" si="5"/>
        <v>70</v>
      </c>
      <c r="I13" s="33"/>
      <c r="J13" s="33"/>
    </row>
    <row r="14">
      <c r="A14" s="4" t="s">
        <v>10</v>
      </c>
      <c r="B14" s="16">
        <v>50.0</v>
      </c>
      <c r="C14" s="16">
        <v>49.0</v>
      </c>
      <c r="D14" s="16">
        <v>47.0</v>
      </c>
      <c r="E14" s="16">
        <v>60.0</v>
      </c>
      <c r="F14" s="16">
        <v>64.0</v>
      </c>
      <c r="G14" s="16">
        <v>95.0</v>
      </c>
      <c r="H14" s="16">
        <v>89.0</v>
      </c>
      <c r="I14" s="33"/>
      <c r="J14" s="33"/>
    </row>
    <row r="15">
      <c r="A15" s="13" t="s">
        <v>17</v>
      </c>
      <c r="B15" s="14">
        <f t="shared" ref="B15:H15" si="6">B13*B14</f>
        <v>3500</v>
      </c>
      <c r="C15" s="14">
        <f t="shared" si="6"/>
        <v>3430</v>
      </c>
      <c r="D15" s="14">
        <f t="shared" si="6"/>
        <v>3290</v>
      </c>
      <c r="E15" s="14">
        <f t="shared" si="6"/>
        <v>4200</v>
      </c>
      <c r="F15" s="14">
        <f t="shared" si="6"/>
        <v>4480</v>
      </c>
      <c r="G15" s="14">
        <f t="shared" si="6"/>
        <v>6650</v>
      </c>
      <c r="H15" s="14">
        <f t="shared" si="6"/>
        <v>6230</v>
      </c>
      <c r="I15" s="33"/>
      <c r="J15" s="33"/>
    </row>
    <row r="16">
      <c r="A16" s="7"/>
      <c r="B16" s="8"/>
      <c r="C16" s="8"/>
      <c r="D16" s="8"/>
      <c r="E16" s="8"/>
      <c r="F16" s="8"/>
      <c r="G16" s="8"/>
      <c r="H16" s="8"/>
      <c r="I16" s="33"/>
      <c r="J16" s="33"/>
    </row>
    <row r="17">
      <c r="A17" s="4" t="s">
        <v>18</v>
      </c>
      <c r="B17" s="5">
        <f t="shared" ref="B17:H17" si="7">B10+B15</f>
        <v>6862.23</v>
      </c>
      <c r="C17" s="5">
        <f t="shared" si="7"/>
        <v>5829.2</v>
      </c>
      <c r="D17" s="5">
        <f t="shared" si="7"/>
        <v>5873.61</v>
      </c>
      <c r="E17" s="5">
        <f t="shared" si="7"/>
        <v>7500.76</v>
      </c>
      <c r="F17" s="5">
        <f t="shared" si="7"/>
        <v>7391.45</v>
      </c>
      <c r="G17" s="5">
        <f t="shared" si="7"/>
        <v>9438.51</v>
      </c>
      <c r="H17" s="5">
        <f t="shared" si="7"/>
        <v>13488</v>
      </c>
      <c r="I17" s="33"/>
      <c r="J17" s="33"/>
    </row>
    <row r="18">
      <c r="A18" s="7"/>
      <c r="B18" s="7"/>
      <c r="C18" s="7"/>
      <c r="D18" s="7"/>
      <c r="E18" s="7"/>
      <c r="F18" s="7"/>
      <c r="G18" s="7"/>
      <c r="H18" s="7"/>
      <c r="I18" s="33"/>
      <c r="J18" s="33"/>
    </row>
    <row r="19">
      <c r="A19" s="4" t="s">
        <v>19</v>
      </c>
      <c r="B19" s="17">
        <v>904.0</v>
      </c>
      <c r="C19" s="17">
        <v>639.71</v>
      </c>
      <c r="D19" s="17">
        <v>627.03</v>
      </c>
      <c r="E19" s="17">
        <v>730.0</v>
      </c>
      <c r="F19" s="17">
        <v>717.95</v>
      </c>
      <c r="G19" s="17">
        <v>788.0</v>
      </c>
      <c r="H19" s="6">
        <v>1378.0</v>
      </c>
      <c r="I19" s="33"/>
      <c r="J19" s="33"/>
    </row>
    <row r="20">
      <c r="A20" s="4"/>
      <c r="B20" s="18"/>
      <c r="C20" s="18"/>
      <c r="D20" s="18"/>
      <c r="E20" s="18"/>
      <c r="F20" s="18"/>
      <c r="G20" s="18"/>
      <c r="H20" s="6"/>
      <c r="I20" s="34"/>
      <c r="J20" s="33"/>
    </row>
    <row r="21">
      <c r="A21" s="19" t="s">
        <v>20</v>
      </c>
      <c r="B21" s="20">
        <f t="shared" ref="B21:H21" si="8">B17-B19-B20</f>
        <v>5958.23</v>
      </c>
      <c r="C21" s="21">
        <f t="shared" si="8"/>
        <v>5189.49</v>
      </c>
      <c r="D21" s="21">
        <f t="shared" si="8"/>
        <v>5246.58</v>
      </c>
      <c r="E21" s="21">
        <f t="shared" si="8"/>
        <v>6770.76</v>
      </c>
      <c r="F21" s="21">
        <f t="shared" si="8"/>
        <v>6673.5</v>
      </c>
      <c r="G21" s="21">
        <f t="shared" si="8"/>
        <v>8650.51</v>
      </c>
      <c r="H21" s="21">
        <f t="shared" si="8"/>
        <v>12110</v>
      </c>
      <c r="I21" s="33"/>
      <c r="J21" s="33"/>
    </row>
    <row r="22" ht="29.25" customHeight="1">
      <c r="A22" s="22" t="s">
        <v>21</v>
      </c>
      <c r="B22" s="7"/>
      <c r="C22" s="7"/>
      <c r="D22" s="7"/>
      <c r="E22" s="7"/>
      <c r="F22" s="7"/>
      <c r="G22" s="7"/>
      <c r="H22" s="7"/>
    </row>
    <row r="23">
      <c r="A23" s="23" t="s">
        <v>22</v>
      </c>
      <c r="B23" s="24">
        <f>sum(B21:H21)</f>
        <v>50599.07</v>
      </c>
      <c r="C23" s="7"/>
      <c r="D23" s="7"/>
      <c r="E23" s="7"/>
      <c r="F23" s="7"/>
      <c r="G23" s="7"/>
      <c r="H23" s="7"/>
      <c r="I23" s="7"/>
    </row>
    <row r="25">
      <c r="A25" s="27" t="s">
        <v>23</v>
      </c>
      <c r="B25" s="28"/>
      <c r="C25" s="28"/>
      <c r="D25" s="28"/>
      <c r="E25" s="28"/>
      <c r="F25" s="28"/>
      <c r="G25" s="29"/>
      <c r="H25" s="28"/>
    </row>
    <row r="26">
      <c r="A26" s="31" t="s">
        <v>24</v>
      </c>
      <c r="B26" s="41">
        <v>500.0</v>
      </c>
      <c r="C26" s="41">
        <v>500.0</v>
      </c>
      <c r="D26" s="41">
        <v>500.0</v>
      </c>
      <c r="E26" s="41">
        <v>500.0</v>
      </c>
      <c r="F26" s="41">
        <v>500.0</v>
      </c>
      <c r="G26" s="41">
        <v>500.0</v>
      </c>
    </row>
    <row r="27">
      <c r="A27" s="31" t="s">
        <v>25</v>
      </c>
      <c r="B27" s="7"/>
      <c r="C27" s="32">
        <v>1.0</v>
      </c>
      <c r="D27" s="7"/>
      <c r="E27" s="7"/>
      <c r="F27" s="7"/>
      <c r="G27" s="7"/>
    </row>
    <row r="28">
      <c r="A28" s="31" t="s">
        <v>26</v>
      </c>
      <c r="B28" s="32">
        <v>377.0</v>
      </c>
      <c r="C28" s="32">
        <v>330.0</v>
      </c>
      <c r="D28" s="32">
        <v>339.0</v>
      </c>
      <c r="E28" s="32">
        <v>374.0</v>
      </c>
      <c r="F28" s="32">
        <v>355.0</v>
      </c>
      <c r="G28" s="32">
        <v>349.0</v>
      </c>
    </row>
    <row r="29">
      <c r="A29" s="35" t="s">
        <v>27</v>
      </c>
      <c r="B29" s="36">
        <f t="shared" ref="B29:G29" si="9">B26-B28</f>
        <v>123</v>
      </c>
      <c r="C29" s="36">
        <f t="shared" si="9"/>
        <v>170</v>
      </c>
      <c r="D29" s="36">
        <f t="shared" si="9"/>
        <v>161</v>
      </c>
      <c r="E29" s="36">
        <f t="shared" si="9"/>
        <v>126</v>
      </c>
      <c r="F29" s="36">
        <f t="shared" si="9"/>
        <v>145</v>
      </c>
      <c r="G29" s="36">
        <f t="shared" si="9"/>
        <v>151</v>
      </c>
      <c r="H29" s="3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29.38"/>
    <col customWidth="1" min="4" max="4" width="21.5"/>
    <col customWidth="1" min="5" max="5" width="18.63"/>
    <col customWidth="1" min="14" max="14" width="22.13"/>
  </cols>
  <sheetData>
    <row r="1">
      <c r="A1" s="42" t="s">
        <v>29</v>
      </c>
      <c r="B1" s="42" t="s">
        <v>30</v>
      </c>
      <c r="C1" s="42" t="s">
        <v>31</v>
      </c>
      <c r="D1" s="42" t="s">
        <v>32</v>
      </c>
      <c r="E1" s="42" t="s">
        <v>33</v>
      </c>
      <c r="F1" s="42" t="s">
        <v>34</v>
      </c>
      <c r="G1" s="42" t="s">
        <v>35</v>
      </c>
      <c r="H1" s="42" t="s">
        <v>36</v>
      </c>
      <c r="I1" s="42" t="s">
        <v>37</v>
      </c>
      <c r="J1" s="42" t="s">
        <v>38</v>
      </c>
      <c r="K1" s="42" t="s">
        <v>39</v>
      </c>
      <c r="L1" s="42" t="s">
        <v>40</v>
      </c>
      <c r="M1" s="42" t="s">
        <v>41</v>
      </c>
      <c r="N1" s="42" t="s">
        <v>42</v>
      </c>
      <c r="O1" s="42" t="s">
        <v>43</v>
      </c>
      <c r="P1" s="42" t="s">
        <v>44</v>
      </c>
      <c r="Q1" s="42" t="s">
        <v>45</v>
      </c>
    </row>
    <row r="2">
      <c r="A2" s="43">
        <v>45899.10791666667</v>
      </c>
      <c r="B2" s="42">
        <v>124.99</v>
      </c>
      <c r="C2" s="42" t="s">
        <v>46</v>
      </c>
      <c r="D2" s="42" t="s">
        <v>47</v>
      </c>
      <c r="E2" s="42" t="s">
        <v>48</v>
      </c>
      <c r="G2" s="42" t="s">
        <v>49</v>
      </c>
      <c r="H2" s="42" t="s">
        <v>50</v>
      </c>
      <c r="I2" s="42" t="s">
        <v>51</v>
      </c>
      <c r="J2" s="42">
        <v>2150.0</v>
      </c>
      <c r="K2" s="42">
        <v>124.99</v>
      </c>
      <c r="L2" s="43">
        <v>45975.0391087963</v>
      </c>
      <c r="M2" s="43">
        <v>45990.99998842592</v>
      </c>
      <c r="N2" s="42" t="s">
        <v>52</v>
      </c>
      <c r="O2" s="42" t="s">
        <v>53</v>
      </c>
      <c r="P2" s="42" t="s">
        <v>54</v>
      </c>
      <c r="Q2" s="42">
        <v>3812.0</v>
      </c>
    </row>
    <row r="3">
      <c r="A3" s="43">
        <v>45887.07493055556</v>
      </c>
      <c r="B3" s="42">
        <v>24.99</v>
      </c>
      <c r="C3" s="42" t="s">
        <v>46</v>
      </c>
      <c r="D3" s="42" t="s">
        <v>47</v>
      </c>
      <c r="E3" s="42" t="s">
        <v>55</v>
      </c>
      <c r="G3" s="42" t="s">
        <v>49</v>
      </c>
      <c r="H3" s="42" t="s">
        <v>50</v>
      </c>
      <c r="I3" s="42" t="s">
        <v>51</v>
      </c>
      <c r="J3" s="42">
        <v>2150.0</v>
      </c>
      <c r="K3" s="42">
        <v>24.99</v>
      </c>
      <c r="L3" s="43">
        <v>45974.989375</v>
      </c>
      <c r="M3" s="43">
        <v>45990.99998842592</v>
      </c>
      <c r="N3" s="42" t="s">
        <v>52</v>
      </c>
      <c r="O3" s="42" t="s">
        <v>53</v>
      </c>
      <c r="P3" s="42" t="s">
        <v>56</v>
      </c>
      <c r="Q3" s="42">
        <v>3315.0</v>
      </c>
    </row>
    <row r="4">
      <c r="A4" s="43">
        <v>45858.61791666667</v>
      </c>
      <c r="B4" s="42">
        <v>24.99</v>
      </c>
      <c r="C4" s="42" t="s">
        <v>46</v>
      </c>
      <c r="D4" s="42" t="s">
        <v>47</v>
      </c>
      <c r="E4" s="42" t="s">
        <v>55</v>
      </c>
      <c r="F4" s="42">
        <v>9.0</v>
      </c>
      <c r="G4" s="42" t="s">
        <v>49</v>
      </c>
      <c r="H4" s="42" t="s">
        <v>50</v>
      </c>
      <c r="I4" s="42" t="s">
        <v>51</v>
      </c>
      <c r="J4" s="42">
        <v>2150.0</v>
      </c>
      <c r="K4" s="42">
        <v>24.99</v>
      </c>
      <c r="L4" s="43">
        <v>45974.96776620371</v>
      </c>
      <c r="M4" s="43">
        <v>45990.99998842592</v>
      </c>
      <c r="N4" s="42" t="s">
        <v>52</v>
      </c>
      <c r="O4" s="42" t="s">
        <v>53</v>
      </c>
      <c r="P4" s="42" t="s">
        <v>57</v>
      </c>
      <c r="Q4" s="42">
        <v>2240.0</v>
      </c>
    </row>
    <row r="5">
      <c r="A5" s="43">
        <v>45855.45775462963</v>
      </c>
      <c r="B5" s="42">
        <v>51.11</v>
      </c>
      <c r="C5" s="42" t="s">
        <v>46</v>
      </c>
      <c r="D5" s="42" t="s">
        <v>47</v>
      </c>
      <c r="E5" s="42" t="s">
        <v>48</v>
      </c>
      <c r="F5" s="42">
        <v>9.0</v>
      </c>
      <c r="G5" s="42" t="s">
        <v>49</v>
      </c>
      <c r="H5" s="42" t="s">
        <v>50</v>
      </c>
      <c r="I5" s="42" t="s">
        <v>51</v>
      </c>
      <c r="J5" s="42">
        <v>2150.0</v>
      </c>
      <c r="K5" s="42">
        <v>51.11</v>
      </c>
      <c r="L5" s="43">
        <v>45975.18329861111</v>
      </c>
      <c r="M5" s="43">
        <v>45990.99998842592</v>
      </c>
      <c r="N5" s="42" t="s">
        <v>52</v>
      </c>
      <c r="O5" s="42" t="s">
        <v>53</v>
      </c>
      <c r="P5" s="42" t="s">
        <v>58</v>
      </c>
      <c r="Q5" s="42">
        <v>1825.0</v>
      </c>
    </row>
    <row r="8">
      <c r="C8" s="44" t="s">
        <v>59</v>
      </c>
    </row>
    <row r="13">
      <c r="A13" s="45">
        <v>45835.77462962963</v>
      </c>
      <c r="B13" s="42">
        <v>34.5</v>
      </c>
      <c r="C13" s="7" t="s">
        <v>60</v>
      </c>
      <c r="D13" s="7" t="s">
        <v>61</v>
      </c>
      <c r="E13" s="46"/>
      <c r="F13" s="47"/>
      <c r="G13" s="47"/>
      <c r="H13" s="7"/>
      <c r="I13" s="47"/>
      <c r="J13" s="8"/>
      <c r="K13" s="47">
        <v>34.5</v>
      </c>
      <c r="L13" s="45">
        <v>45858.50611111111</v>
      </c>
      <c r="M13" s="45">
        <v>45874.99998842592</v>
      </c>
      <c r="N13" s="7" t="s">
        <v>52</v>
      </c>
      <c r="O13" s="7" t="s">
        <v>62</v>
      </c>
    </row>
    <row r="14">
      <c r="A14" s="45">
        <v>45857.00666666667</v>
      </c>
      <c r="B14" s="42">
        <v>24.99</v>
      </c>
      <c r="C14" s="7" t="s">
        <v>63</v>
      </c>
      <c r="D14" s="7" t="s">
        <v>64</v>
      </c>
      <c r="E14" s="46"/>
      <c r="F14" s="47"/>
      <c r="G14" s="47"/>
      <c r="H14" s="7"/>
      <c r="I14" s="47"/>
      <c r="K14" s="47">
        <v>24.99</v>
      </c>
      <c r="L14" s="45">
        <v>45973.08931712963</v>
      </c>
      <c r="M14" s="45">
        <v>45988.99998842592</v>
      </c>
      <c r="N14" s="7" t="s">
        <v>52</v>
      </c>
      <c r="O14" s="7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4" max="4" width="17.5"/>
  </cols>
  <sheetData>
    <row r="1">
      <c r="A1" s="48" t="s">
        <v>65</v>
      </c>
      <c r="B1" s="49" t="s">
        <v>0</v>
      </c>
      <c r="C1" s="49" t="s">
        <v>1</v>
      </c>
      <c r="D1" s="49" t="s">
        <v>66</v>
      </c>
      <c r="E1" s="49" t="s">
        <v>3</v>
      </c>
      <c r="F1" s="49" t="s">
        <v>4</v>
      </c>
      <c r="G1" s="49" t="s">
        <v>5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48" t="s">
        <v>67</v>
      </c>
      <c r="B2" s="51"/>
      <c r="C2" s="51"/>
      <c r="D2" s="51"/>
      <c r="E2" s="51"/>
      <c r="F2" s="51"/>
      <c r="G2" s="51"/>
    </row>
    <row r="3">
      <c r="A3" s="42" t="s">
        <v>68</v>
      </c>
      <c r="B3" s="51">
        <v>24.99</v>
      </c>
      <c r="C3" s="51">
        <v>24.95</v>
      </c>
      <c r="D3" s="51">
        <v>24.95</v>
      </c>
      <c r="E3" s="51">
        <v>24.95</v>
      </c>
      <c r="F3" s="51">
        <v>24.95</v>
      </c>
      <c r="G3" s="51">
        <v>24.95</v>
      </c>
    </row>
    <row r="4">
      <c r="A4" s="42" t="s">
        <v>69</v>
      </c>
      <c r="B4" s="52">
        <v>377.0</v>
      </c>
      <c r="C4" s="52">
        <v>360.0</v>
      </c>
      <c r="D4" s="52">
        <v>358.0</v>
      </c>
      <c r="E4" s="52">
        <v>395.0</v>
      </c>
      <c r="F4" s="52">
        <v>373.0</v>
      </c>
      <c r="G4" s="52">
        <v>364.0</v>
      </c>
    </row>
    <row r="5">
      <c r="A5" s="42" t="s">
        <v>11</v>
      </c>
      <c r="B5" s="53">
        <f t="shared" ref="B5:G5" si="1">B3*B4</f>
        <v>9421.23</v>
      </c>
      <c r="C5" s="53">
        <f t="shared" si="1"/>
        <v>8982</v>
      </c>
      <c r="D5" s="53">
        <f t="shared" si="1"/>
        <v>8932.1</v>
      </c>
      <c r="E5" s="53">
        <f t="shared" si="1"/>
        <v>9855.25</v>
      </c>
      <c r="F5" s="53">
        <f t="shared" si="1"/>
        <v>9306.35</v>
      </c>
      <c r="G5" s="53">
        <f t="shared" si="1"/>
        <v>9081.8</v>
      </c>
    </row>
    <row r="6">
      <c r="B6" s="53"/>
      <c r="C6" s="53"/>
      <c r="D6" s="53"/>
      <c r="E6" s="53"/>
      <c r="F6" s="53"/>
      <c r="G6" s="53"/>
    </row>
    <row r="7">
      <c r="A7" s="48" t="s">
        <v>70</v>
      </c>
      <c r="B7" s="53"/>
      <c r="C7" s="53"/>
      <c r="D7" s="53"/>
      <c r="E7" s="53"/>
      <c r="F7" s="53"/>
      <c r="G7" s="53"/>
    </row>
    <row r="8">
      <c r="A8" s="42" t="s">
        <v>71</v>
      </c>
      <c r="B8" s="51">
        <v>8.47</v>
      </c>
      <c r="C8" s="51">
        <v>8.47</v>
      </c>
      <c r="D8" s="51">
        <v>8.47</v>
      </c>
      <c r="E8" s="51">
        <v>8.47</v>
      </c>
      <c r="F8" s="51">
        <v>8.47</v>
      </c>
      <c r="G8" s="51">
        <v>8.47</v>
      </c>
    </row>
    <row r="9">
      <c r="A9" s="42" t="s">
        <v>72</v>
      </c>
      <c r="B9" s="53"/>
      <c r="C9" s="53"/>
      <c r="D9" s="53"/>
      <c r="E9" s="53"/>
      <c r="F9" s="53"/>
      <c r="G9" s="53"/>
    </row>
    <row r="10">
      <c r="A10" s="42" t="s">
        <v>73</v>
      </c>
      <c r="B10" s="51">
        <v>0.127</v>
      </c>
      <c r="C10" s="51">
        <v>0.127</v>
      </c>
      <c r="D10" s="51">
        <v>0.127</v>
      </c>
      <c r="E10" s="51">
        <v>0.127</v>
      </c>
      <c r="F10" s="51">
        <v>0.127</v>
      </c>
      <c r="G10" s="51">
        <v>0.127</v>
      </c>
    </row>
    <row r="11">
      <c r="A11" s="42" t="s">
        <v>74</v>
      </c>
      <c r="B11" s="51">
        <v>0.127</v>
      </c>
      <c r="C11" s="51">
        <v>0.127</v>
      </c>
      <c r="D11" s="51">
        <v>0.127</v>
      </c>
      <c r="E11" s="51">
        <v>0.127</v>
      </c>
      <c r="F11" s="51">
        <v>0.127</v>
      </c>
      <c r="G11" s="51">
        <v>0.127</v>
      </c>
    </row>
    <row r="12">
      <c r="A12" s="42" t="s">
        <v>75</v>
      </c>
      <c r="B12" s="53">
        <f t="shared" ref="B12:G12" si="2">(24.95*0.029)+0.3</f>
        <v>1.02355</v>
      </c>
      <c r="C12" s="53">
        <f t="shared" si="2"/>
        <v>1.02355</v>
      </c>
      <c r="D12" s="53">
        <f t="shared" si="2"/>
        <v>1.02355</v>
      </c>
      <c r="E12" s="53">
        <f t="shared" si="2"/>
        <v>1.02355</v>
      </c>
      <c r="F12" s="53">
        <f t="shared" si="2"/>
        <v>1.02355</v>
      </c>
      <c r="G12" s="53">
        <f t="shared" si="2"/>
        <v>1.02355</v>
      </c>
    </row>
    <row r="13">
      <c r="A13" s="42" t="s">
        <v>76</v>
      </c>
      <c r="B13" s="51">
        <v>4.5</v>
      </c>
      <c r="C13" s="51">
        <v>4.5</v>
      </c>
      <c r="D13" s="51">
        <v>4.5</v>
      </c>
      <c r="E13" s="51">
        <v>4.5</v>
      </c>
      <c r="F13" s="51">
        <v>4.5</v>
      </c>
      <c r="G13" s="51">
        <v>4.5</v>
      </c>
    </row>
    <row r="14">
      <c r="A14" s="48" t="s">
        <v>77</v>
      </c>
      <c r="B14" s="54">
        <f t="shared" ref="B14:G14" si="3">SUM(B8:B13)</f>
        <v>14.24755</v>
      </c>
      <c r="C14" s="53">
        <f t="shared" si="3"/>
        <v>14.24755</v>
      </c>
      <c r="D14" s="53">
        <f t="shared" si="3"/>
        <v>14.24755</v>
      </c>
      <c r="E14" s="53">
        <f t="shared" si="3"/>
        <v>14.24755</v>
      </c>
      <c r="F14" s="53">
        <f t="shared" si="3"/>
        <v>14.24755</v>
      </c>
      <c r="G14" s="53">
        <f t="shared" si="3"/>
        <v>14.24755</v>
      </c>
    </row>
    <row r="15">
      <c r="A15" s="42" t="s">
        <v>69</v>
      </c>
      <c r="B15" s="10">
        <f t="shared" ref="B15:G15" si="4">B4</f>
        <v>377</v>
      </c>
      <c r="C15" s="10">
        <f t="shared" si="4"/>
        <v>360</v>
      </c>
      <c r="D15" s="10">
        <f t="shared" si="4"/>
        <v>358</v>
      </c>
      <c r="E15" s="10">
        <f t="shared" si="4"/>
        <v>395</v>
      </c>
      <c r="F15" s="10">
        <f t="shared" si="4"/>
        <v>373</v>
      </c>
      <c r="G15" s="10">
        <f t="shared" si="4"/>
        <v>364</v>
      </c>
    </row>
    <row r="16">
      <c r="A16" s="42" t="s">
        <v>78</v>
      </c>
      <c r="B16" s="53">
        <f t="shared" ref="B16:G16" si="5">B14*B15</f>
        <v>5371.32635</v>
      </c>
      <c r="C16" s="53">
        <f t="shared" si="5"/>
        <v>5129.118</v>
      </c>
      <c r="D16" s="53">
        <f t="shared" si="5"/>
        <v>5100.6229</v>
      </c>
      <c r="E16" s="53">
        <f t="shared" si="5"/>
        <v>5627.78225</v>
      </c>
      <c r="F16" s="53">
        <f t="shared" si="5"/>
        <v>5314.33615</v>
      </c>
      <c r="G16" s="53">
        <f t="shared" si="5"/>
        <v>5186.1082</v>
      </c>
    </row>
    <row r="17">
      <c r="B17" s="53"/>
      <c r="C17" s="53"/>
      <c r="D17" s="53"/>
      <c r="E17" s="53"/>
      <c r="F17" s="53"/>
      <c r="G17" s="53"/>
    </row>
    <row r="18">
      <c r="A18" s="48" t="s">
        <v>79</v>
      </c>
      <c r="B18" s="54">
        <f t="shared" ref="B18:G18" si="6">B5-B16</f>
        <v>4049.90365</v>
      </c>
      <c r="C18" s="54">
        <f t="shared" si="6"/>
        <v>3852.882</v>
      </c>
      <c r="D18" s="54">
        <f t="shared" si="6"/>
        <v>3831.4771</v>
      </c>
      <c r="E18" s="54">
        <f t="shared" si="6"/>
        <v>4227.46775</v>
      </c>
      <c r="F18" s="54">
        <f t="shared" si="6"/>
        <v>3992.01385</v>
      </c>
      <c r="G18" s="54">
        <f t="shared" si="6"/>
        <v>3895.6918</v>
      </c>
      <c r="H18" s="54">
        <f>SUM(B18:G18)</f>
        <v>23849.43615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B19" s="53"/>
      <c r="C19" s="53"/>
      <c r="D19" s="53"/>
      <c r="E19" s="53"/>
      <c r="F19" s="53"/>
      <c r="G19" s="53"/>
    </row>
    <row r="20">
      <c r="B20" s="53"/>
      <c r="C20" s="53"/>
      <c r="D20" s="53"/>
      <c r="E20" s="53"/>
      <c r="F20" s="53"/>
      <c r="G20" s="53"/>
    </row>
    <row r="21">
      <c r="A21" s="48" t="s">
        <v>15</v>
      </c>
      <c r="B21" s="53"/>
      <c r="C21" s="53"/>
      <c r="D21" s="53"/>
      <c r="E21" s="53"/>
      <c r="F21" s="53"/>
      <c r="G21" s="53"/>
    </row>
    <row r="22">
      <c r="A22" s="42" t="s">
        <v>80</v>
      </c>
      <c r="B22" s="53"/>
      <c r="C22" s="53"/>
      <c r="D22" s="53"/>
      <c r="E22" s="53"/>
      <c r="F22" s="53"/>
      <c r="G22" s="53"/>
    </row>
    <row r="23">
      <c r="A23" s="48" t="s">
        <v>7</v>
      </c>
      <c r="B23" s="55">
        <v>100.0</v>
      </c>
      <c r="C23" s="55">
        <v>100.0</v>
      </c>
      <c r="D23" s="55">
        <v>100.0</v>
      </c>
      <c r="E23" s="55">
        <v>100.0</v>
      </c>
      <c r="F23" s="55">
        <v>100.0</v>
      </c>
      <c r="G23" s="55">
        <v>100.0</v>
      </c>
    </row>
    <row r="24">
      <c r="A24" s="42" t="s">
        <v>10</v>
      </c>
      <c r="B24" s="42">
        <v>61.0</v>
      </c>
      <c r="C24" s="42">
        <v>58.0</v>
      </c>
      <c r="D24" s="42">
        <v>53.0</v>
      </c>
      <c r="E24" s="42">
        <v>65.0</v>
      </c>
      <c r="F24" s="42">
        <v>71.0</v>
      </c>
      <c r="G24" s="42">
        <v>109.0</v>
      </c>
    </row>
    <row r="25">
      <c r="A25" s="42" t="s">
        <v>11</v>
      </c>
      <c r="B25" s="56">
        <f t="shared" ref="B25:G25" si="7">B23*B24</f>
        <v>6100</v>
      </c>
      <c r="C25" s="56">
        <f t="shared" si="7"/>
        <v>5800</v>
      </c>
      <c r="D25" s="56">
        <f t="shared" si="7"/>
        <v>5300</v>
      </c>
      <c r="E25" s="56">
        <f t="shared" si="7"/>
        <v>6500</v>
      </c>
      <c r="F25" s="56">
        <f t="shared" si="7"/>
        <v>7100</v>
      </c>
      <c r="G25" s="56">
        <f t="shared" si="7"/>
        <v>10900</v>
      </c>
    </row>
    <row r="26">
      <c r="B26" s="53"/>
      <c r="C26" s="53"/>
      <c r="D26" s="53"/>
      <c r="E26" s="53"/>
      <c r="F26" s="53"/>
      <c r="G26" s="53"/>
    </row>
    <row r="27">
      <c r="A27" s="42" t="s">
        <v>81</v>
      </c>
      <c r="B27" s="53"/>
      <c r="C27" s="53"/>
      <c r="D27" s="53"/>
      <c r="E27" s="53"/>
      <c r="F27" s="53"/>
      <c r="G27" s="53"/>
    </row>
    <row r="28">
      <c r="B28" s="51">
        <v>30.0</v>
      </c>
      <c r="C28" s="51">
        <v>30.0</v>
      </c>
      <c r="D28" s="51">
        <v>30.0</v>
      </c>
      <c r="E28" s="51">
        <v>30.0</v>
      </c>
      <c r="F28" s="51">
        <v>30.0</v>
      </c>
      <c r="G28" s="51">
        <v>30.0</v>
      </c>
    </row>
    <row r="29">
      <c r="A29" s="42" t="s">
        <v>69</v>
      </c>
      <c r="B29" s="57">
        <f t="shared" ref="B29:G29" si="8">B24</f>
        <v>61</v>
      </c>
      <c r="C29" s="57">
        <f t="shared" si="8"/>
        <v>58</v>
      </c>
      <c r="D29" s="57">
        <f t="shared" si="8"/>
        <v>53</v>
      </c>
      <c r="E29" s="57">
        <f t="shared" si="8"/>
        <v>65</v>
      </c>
      <c r="F29" s="57">
        <f t="shared" si="8"/>
        <v>71</v>
      </c>
      <c r="G29" s="57">
        <f t="shared" si="8"/>
        <v>109</v>
      </c>
    </row>
    <row r="30">
      <c r="B30" s="56">
        <f t="shared" ref="B30:G30" si="9">B28*B29</f>
        <v>1830</v>
      </c>
      <c r="C30" s="56">
        <f t="shared" si="9"/>
        <v>1740</v>
      </c>
      <c r="D30" s="56">
        <f t="shared" si="9"/>
        <v>1590</v>
      </c>
      <c r="E30" s="56">
        <f t="shared" si="9"/>
        <v>1950</v>
      </c>
      <c r="F30" s="56">
        <f t="shared" si="9"/>
        <v>2130</v>
      </c>
      <c r="G30" s="56">
        <f t="shared" si="9"/>
        <v>3270</v>
      </c>
    </row>
    <row r="31">
      <c r="B31" s="53"/>
      <c r="C31" s="53"/>
      <c r="D31" s="53"/>
      <c r="E31" s="53"/>
      <c r="F31" s="53"/>
      <c r="G31" s="53"/>
    </row>
    <row r="32">
      <c r="A32" s="48" t="s">
        <v>79</v>
      </c>
      <c r="B32" s="54">
        <f t="shared" ref="B32:G32" si="10">B25-B30</f>
        <v>4270</v>
      </c>
      <c r="C32" s="54">
        <f t="shared" si="10"/>
        <v>4060</v>
      </c>
      <c r="D32" s="54">
        <f t="shared" si="10"/>
        <v>3710</v>
      </c>
      <c r="E32" s="54">
        <f t="shared" si="10"/>
        <v>4550</v>
      </c>
      <c r="F32" s="54">
        <f t="shared" si="10"/>
        <v>4970</v>
      </c>
      <c r="G32" s="54">
        <f t="shared" si="10"/>
        <v>7630</v>
      </c>
    </row>
    <row r="33">
      <c r="B33" s="53"/>
      <c r="C33" s="53"/>
      <c r="D33" s="53"/>
      <c r="E33" s="53"/>
      <c r="F33" s="53"/>
      <c r="G33" s="53"/>
    </row>
    <row r="34">
      <c r="B34" s="53"/>
      <c r="C34" s="53"/>
      <c r="D34" s="53"/>
      <c r="E34" s="53"/>
      <c r="F34" s="53"/>
      <c r="G34" s="53"/>
    </row>
    <row r="35">
      <c r="A35" s="48" t="s">
        <v>82</v>
      </c>
      <c r="B35" s="54">
        <f t="shared" ref="B35:G35" si="11">B18+B32</f>
        <v>8319.90365</v>
      </c>
      <c r="C35" s="54">
        <f t="shared" si="11"/>
        <v>7912.882</v>
      </c>
      <c r="D35" s="54">
        <f t="shared" si="11"/>
        <v>7541.4771</v>
      </c>
      <c r="E35" s="54">
        <f t="shared" si="11"/>
        <v>8777.46775</v>
      </c>
      <c r="F35" s="54">
        <f t="shared" si="11"/>
        <v>8962.01385</v>
      </c>
      <c r="G35" s="54">
        <f t="shared" si="11"/>
        <v>11525.6918</v>
      </c>
      <c r="H35" s="54">
        <f>SUM(B35:G35)</f>
        <v>53039.43615</v>
      </c>
    </row>
    <row r="36">
      <c r="A36" s="48" t="s">
        <v>83</v>
      </c>
      <c r="B36" s="53"/>
      <c r="C36" s="53"/>
      <c r="D36" s="53"/>
      <c r="E36" s="53"/>
      <c r="F36" s="53"/>
      <c r="G36" s="53"/>
      <c r="H36" s="54">
        <f>H18+H35</f>
        <v>76888.8723</v>
      </c>
    </row>
    <row r="37">
      <c r="B37" s="53"/>
      <c r="C37" s="53"/>
      <c r="D37" s="53"/>
      <c r="E37" s="53"/>
      <c r="F37" s="53"/>
      <c r="G37" s="53"/>
    </row>
    <row r="38">
      <c r="B38" s="53"/>
      <c r="C38" s="53"/>
      <c r="D38" s="53"/>
      <c r="E38" s="53"/>
      <c r="F38" s="53"/>
      <c r="G38" s="53"/>
    </row>
    <row r="39">
      <c r="B39" s="53"/>
      <c r="C39" s="53"/>
      <c r="D39" s="53"/>
      <c r="E39" s="53"/>
      <c r="F39" s="53"/>
      <c r="G39" s="53"/>
    </row>
    <row r="40">
      <c r="B40" s="53"/>
      <c r="C40" s="53"/>
      <c r="D40" s="53"/>
      <c r="E40" s="53"/>
      <c r="F40" s="53"/>
      <c r="G40" s="53"/>
    </row>
    <row r="41">
      <c r="B41" s="53"/>
      <c r="C41" s="53"/>
      <c r="D41" s="53"/>
      <c r="E41" s="53"/>
      <c r="F41" s="53"/>
      <c r="G41" s="53"/>
    </row>
    <row r="42">
      <c r="B42" s="53"/>
      <c r="C42" s="53"/>
      <c r="D42" s="53"/>
      <c r="E42" s="53"/>
      <c r="F42" s="53"/>
      <c r="G42" s="53"/>
    </row>
    <row r="43">
      <c r="B43" s="53"/>
      <c r="C43" s="53"/>
      <c r="D43" s="53"/>
      <c r="E43" s="53"/>
      <c r="F43" s="53"/>
      <c r="G43" s="53"/>
    </row>
    <row r="44">
      <c r="B44" s="53"/>
      <c r="C44" s="53"/>
      <c r="D44" s="53"/>
      <c r="E44" s="53"/>
      <c r="F44" s="53"/>
      <c r="G44" s="53"/>
    </row>
    <row r="45">
      <c r="B45" s="53"/>
      <c r="C45" s="53"/>
      <c r="D45" s="53"/>
      <c r="E45" s="53"/>
      <c r="F45" s="53"/>
      <c r="G45" s="53"/>
    </row>
    <row r="46">
      <c r="B46" s="53"/>
      <c r="C46" s="53"/>
      <c r="D46" s="53"/>
      <c r="E46" s="53"/>
      <c r="F46" s="53"/>
      <c r="G46" s="53"/>
    </row>
    <row r="47">
      <c r="B47" s="53"/>
      <c r="C47" s="53"/>
      <c r="D47" s="53"/>
      <c r="E47" s="53"/>
      <c r="F47" s="53"/>
      <c r="G47" s="53"/>
    </row>
    <row r="48">
      <c r="B48" s="53"/>
      <c r="C48" s="53"/>
      <c r="D48" s="53"/>
      <c r="E48" s="53"/>
      <c r="F48" s="53"/>
      <c r="G48" s="53"/>
    </row>
    <row r="49">
      <c r="B49" s="53"/>
      <c r="C49" s="53"/>
      <c r="D49" s="53"/>
      <c r="E49" s="53"/>
      <c r="F49" s="53"/>
      <c r="G49" s="53"/>
    </row>
    <row r="50">
      <c r="B50" s="53"/>
      <c r="C50" s="53"/>
      <c r="D50" s="53"/>
      <c r="E50" s="53"/>
      <c r="F50" s="53"/>
      <c r="G50" s="53"/>
    </row>
    <row r="51">
      <c r="B51" s="53"/>
      <c r="C51" s="53"/>
      <c r="D51" s="53"/>
      <c r="E51" s="53"/>
      <c r="F51" s="53"/>
      <c r="G51" s="53"/>
    </row>
    <row r="52">
      <c r="B52" s="53"/>
      <c r="C52" s="53"/>
      <c r="D52" s="53"/>
      <c r="E52" s="53"/>
      <c r="F52" s="53"/>
      <c r="G52" s="53"/>
    </row>
    <row r="53">
      <c r="B53" s="53"/>
      <c r="C53" s="53"/>
      <c r="D53" s="53"/>
      <c r="E53" s="53"/>
      <c r="F53" s="53"/>
      <c r="G53" s="53"/>
    </row>
    <row r="54">
      <c r="B54" s="53"/>
      <c r="C54" s="53"/>
      <c r="D54" s="53"/>
      <c r="E54" s="53"/>
      <c r="F54" s="53"/>
      <c r="G54" s="53"/>
    </row>
    <row r="55">
      <c r="B55" s="53"/>
      <c r="C55" s="53"/>
      <c r="D55" s="53"/>
      <c r="E55" s="53"/>
      <c r="F55" s="53"/>
      <c r="G55" s="53"/>
    </row>
    <row r="56">
      <c r="B56" s="53"/>
      <c r="C56" s="53"/>
      <c r="D56" s="53"/>
      <c r="E56" s="53"/>
      <c r="F56" s="53"/>
      <c r="G56" s="53"/>
    </row>
    <row r="57">
      <c r="B57" s="53"/>
      <c r="C57" s="53"/>
      <c r="D57" s="53"/>
      <c r="E57" s="53"/>
      <c r="F57" s="53"/>
      <c r="G57" s="53"/>
    </row>
    <row r="58">
      <c r="B58" s="53"/>
      <c r="C58" s="53"/>
      <c r="D58" s="53"/>
      <c r="E58" s="53"/>
      <c r="F58" s="53"/>
      <c r="G58" s="53"/>
    </row>
    <row r="59">
      <c r="B59" s="53"/>
      <c r="C59" s="53"/>
      <c r="D59" s="53"/>
      <c r="E59" s="53"/>
      <c r="F59" s="53"/>
      <c r="G59" s="53"/>
    </row>
    <row r="60">
      <c r="B60" s="53"/>
      <c r="C60" s="53"/>
      <c r="D60" s="53"/>
      <c r="E60" s="53"/>
      <c r="F60" s="53"/>
      <c r="G60" s="53"/>
    </row>
    <row r="61">
      <c r="B61" s="53"/>
      <c r="C61" s="53"/>
      <c r="D61" s="53"/>
      <c r="E61" s="53"/>
      <c r="F61" s="53"/>
      <c r="G61" s="53"/>
    </row>
    <row r="62">
      <c r="B62" s="53"/>
      <c r="C62" s="53"/>
      <c r="D62" s="53"/>
      <c r="E62" s="53"/>
      <c r="F62" s="53"/>
      <c r="G62" s="53"/>
    </row>
    <row r="63">
      <c r="B63" s="53"/>
      <c r="C63" s="53"/>
      <c r="D63" s="53"/>
      <c r="E63" s="53"/>
      <c r="F63" s="53"/>
      <c r="G63" s="53"/>
    </row>
    <row r="64">
      <c r="B64" s="53"/>
      <c r="C64" s="53"/>
      <c r="D64" s="53"/>
      <c r="E64" s="53"/>
      <c r="F64" s="53"/>
      <c r="G64" s="53"/>
    </row>
    <row r="65">
      <c r="B65" s="53"/>
      <c r="C65" s="53"/>
      <c r="D65" s="53"/>
      <c r="E65" s="53"/>
      <c r="F65" s="53"/>
      <c r="G65" s="53"/>
    </row>
    <row r="66">
      <c r="B66" s="53"/>
      <c r="C66" s="53"/>
      <c r="D66" s="53"/>
      <c r="E66" s="53"/>
      <c r="F66" s="53"/>
      <c r="G66" s="53"/>
    </row>
    <row r="67">
      <c r="B67" s="53"/>
      <c r="C67" s="53"/>
      <c r="D67" s="53"/>
      <c r="E67" s="53"/>
      <c r="F67" s="53"/>
      <c r="G67" s="53"/>
    </row>
    <row r="68">
      <c r="B68" s="53"/>
      <c r="C68" s="53"/>
      <c r="D68" s="53"/>
      <c r="E68" s="53"/>
      <c r="F68" s="53"/>
      <c r="G68" s="53"/>
    </row>
    <row r="69">
      <c r="B69" s="53"/>
      <c r="C69" s="53"/>
      <c r="D69" s="53"/>
      <c r="E69" s="53"/>
      <c r="F69" s="53"/>
      <c r="G69" s="53"/>
    </row>
    <row r="70">
      <c r="B70" s="53"/>
      <c r="C70" s="53"/>
      <c r="D70" s="53"/>
      <c r="E70" s="53"/>
      <c r="F70" s="53"/>
      <c r="G70" s="53"/>
    </row>
    <row r="71">
      <c r="B71" s="53"/>
      <c r="C71" s="53"/>
      <c r="D71" s="53"/>
      <c r="E71" s="53"/>
      <c r="F71" s="53"/>
      <c r="G71" s="53"/>
    </row>
    <row r="72">
      <c r="B72" s="53"/>
      <c r="C72" s="53"/>
      <c r="D72" s="53"/>
      <c r="E72" s="53"/>
      <c r="F72" s="53"/>
      <c r="G72" s="53"/>
    </row>
    <row r="73">
      <c r="B73" s="53"/>
      <c r="C73" s="53"/>
      <c r="D73" s="53"/>
      <c r="E73" s="53"/>
      <c r="F73" s="53"/>
      <c r="G73" s="53"/>
    </row>
    <row r="74">
      <c r="B74" s="53"/>
      <c r="C74" s="53"/>
      <c r="D74" s="53"/>
      <c r="E74" s="53"/>
      <c r="F74" s="53"/>
      <c r="G74" s="53"/>
    </row>
    <row r="75">
      <c r="B75" s="53"/>
      <c r="C75" s="53"/>
      <c r="D75" s="53"/>
      <c r="E75" s="53"/>
      <c r="F75" s="53"/>
      <c r="G75" s="53"/>
    </row>
    <row r="76">
      <c r="B76" s="53"/>
      <c r="C76" s="53"/>
      <c r="D76" s="53"/>
      <c r="E76" s="53"/>
      <c r="F76" s="53"/>
      <c r="G76" s="53"/>
    </row>
    <row r="77">
      <c r="B77" s="53"/>
      <c r="C77" s="53"/>
      <c r="D77" s="53"/>
      <c r="E77" s="53"/>
      <c r="F77" s="53"/>
      <c r="G77" s="53"/>
    </row>
    <row r="78">
      <c r="B78" s="53"/>
      <c r="C78" s="53"/>
      <c r="D78" s="53"/>
      <c r="E78" s="53"/>
      <c r="F78" s="53"/>
      <c r="G78" s="53"/>
    </row>
    <row r="79">
      <c r="B79" s="53"/>
      <c r="C79" s="53"/>
      <c r="D79" s="53"/>
      <c r="E79" s="53"/>
      <c r="F79" s="53"/>
      <c r="G79" s="53"/>
    </row>
    <row r="80">
      <c r="B80" s="53"/>
      <c r="C80" s="53"/>
      <c r="D80" s="53"/>
      <c r="E80" s="53"/>
      <c r="F80" s="53"/>
      <c r="G80" s="53"/>
    </row>
    <row r="81">
      <c r="B81" s="53"/>
      <c r="C81" s="53"/>
      <c r="D81" s="53"/>
      <c r="E81" s="53"/>
      <c r="F81" s="53"/>
      <c r="G81" s="53"/>
    </row>
    <row r="82">
      <c r="B82" s="53"/>
      <c r="C82" s="53"/>
      <c r="D82" s="53"/>
      <c r="E82" s="53"/>
      <c r="F82" s="53"/>
      <c r="G82" s="53"/>
    </row>
    <row r="83">
      <c r="B83" s="53"/>
      <c r="C83" s="53"/>
      <c r="D83" s="53"/>
      <c r="E83" s="53"/>
      <c r="F83" s="53"/>
      <c r="G83" s="53"/>
    </row>
    <row r="84">
      <c r="B84" s="53"/>
      <c r="C84" s="53"/>
      <c r="D84" s="53"/>
      <c r="E84" s="53"/>
      <c r="F84" s="53"/>
      <c r="G84" s="53"/>
    </row>
    <row r="85">
      <c r="B85" s="53"/>
      <c r="C85" s="53"/>
      <c r="D85" s="53"/>
      <c r="E85" s="53"/>
      <c r="F85" s="53"/>
      <c r="G85" s="53"/>
    </row>
    <row r="86">
      <c r="B86" s="53"/>
      <c r="C86" s="53"/>
      <c r="D86" s="53"/>
      <c r="E86" s="53"/>
      <c r="F86" s="53"/>
      <c r="G86" s="53"/>
    </row>
    <row r="87">
      <c r="B87" s="53"/>
      <c r="C87" s="53"/>
      <c r="D87" s="53"/>
      <c r="E87" s="53"/>
      <c r="F87" s="53"/>
      <c r="G87" s="53"/>
    </row>
    <row r="88">
      <c r="B88" s="53"/>
      <c r="C88" s="53"/>
      <c r="D88" s="53"/>
      <c r="E88" s="53"/>
      <c r="F88" s="53"/>
      <c r="G88" s="53"/>
    </row>
    <row r="89">
      <c r="B89" s="53"/>
      <c r="C89" s="53"/>
      <c r="D89" s="53"/>
      <c r="E89" s="53"/>
      <c r="F89" s="53"/>
      <c r="G89" s="53"/>
    </row>
    <row r="90">
      <c r="B90" s="53"/>
      <c r="C90" s="53"/>
      <c r="D90" s="53"/>
      <c r="E90" s="53"/>
      <c r="F90" s="53"/>
      <c r="G90" s="53"/>
    </row>
    <row r="91">
      <c r="B91" s="53"/>
      <c r="C91" s="53"/>
      <c r="D91" s="53"/>
      <c r="E91" s="53"/>
      <c r="F91" s="53"/>
      <c r="G91" s="53"/>
    </row>
    <row r="92">
      <c r="B92" s="53"/>
      <c r="C92" s="53"/>
      <c r="D92" s="53"/>
      <c r="E92" s="53"/>
      <c r="F92" s="53"/>
      <c r="G92" s="53"/>
    </row>
    <row r="93">
      <c r="B93" s="53"/>
      <c r="C93" s="53"/>
      <c r="D93" s="53"/>
      <c r="E93" s="53"/>
      <c r="F93" s="53"/>
      <c r="G93" s="53"/>
    </row>
    <row r="94">
      <c r="B94" s="53"/>
      <c r="C94" s="53"/>
      <c r="D94" s="53"/>
      <c r="E94" s="53"/>
      <c r="F94" s="53"/>
      <c r="G94" s="53"/>
    </row>
    <row r="95">
      <c r="B95" s="53"/>
      <c r="C95" s="53"/>
      <c r="D95" s="53"/>
      <c r="E95" s="53"/>
      <c r="F95" s="53"/>
      <c r="G95" s="53"/>
    </row>
    <row r="96">
      <c r="B96" s="53"/>
      <c r="C96" s="53"/>
      <c r="D96" s="53"/>
      <c r="E96" s="53"/>
      <c r="F96" s="53"/>
      <c r="G96" s="53"/>
    </row>
    <row r="97">
      <c r="B97" s="53"/>
      <c r="C97" s="53"/>
      <c r="D97" s="53"/>
      <c r="E97" s="53"/>
      <c r="F97" s="53"/>
      <c r="G97" s="53"/>
    </row>
    <row r="98">
      <c r="B98" s="53"/>
      <c r="C98" s="53"/>
      <c r="D98" s="53"/>
      <c r="E98" s="53"/>
      <c r="F98" s="53"/>
      <c r="G98" s="53"/>
    </row>
    <row r="99">
      <c r="B99" s="53"/>
      <c r="C99" s="53"/>
      <c r="D99" s="53"/>
      <c r="E99" s="53"/>
      <c r="F99" s="53"/>
      <c r="G99" s="53"/>
    </row>
    <row r="100">
      <c r="B100" s="53"/>
      <c r="C100" s="53"/>
      <c r="D100" s="53"/>
      <c r="E100" s="53"/>
      <c r="F100" s="53"/>
      <c r="G100" s="53"/>
    </row>
    <row r="101">
      <c r="B101" s="53"/>
      <c r="C101" s="53"/>
      <c r="D101" s="53"/>
      <c r="E101" s="53"/>
      <c r="F101" s="53"/>
      <c r="G101" s="53"/>
    </row>
    <row r="102">
      <c r="B102" s="53"/>
      <c r="C102" s="53"/>
      <c r="D102" s="53"/>
      <c r="E102" s="53"/>
      <c r="F102" s="53"/>
      <c r="G102" s="53"/>
    </row>
    <row r="103">
      <c r="B103" s="53"/>
      <c r="C103" s="53"/>
      <c r="D103" s="53"/>
      <c r="E103" s="53"/>
      <c r="F103" s="53"/>
      <c r="G103" s="53"/>
    </row>
    <row r="104">
      <c r="B104" s="53"/>
      <c r="C104" s="53"/>
      <c r="D104" s="53"/>
      <c r="E104" s="53"/>
      <c r="F104" s="53"/>
      <c r="G104" s="53"/>
    </row>
    <row r="105">
      <c r="B105" s="53"/>
      <c r="C105" s="53"/>
      <c r="D105" s="53"/>
      <c r="E105" s="53"/>
      <c r="F105" s="53"/>
      <c r="G105" s="53"/>
    </row>
    <row r="106">
      <c r="B106" s="53"/>
      <c r="C106" s="53"/>
      <c r="D106" s="53"/>
      <c r="E106" s="53"/>
      <c r="F106" s="53"/>
      <c r="G106" s="53"/>
    </row>
    <row r="107">
      <c r="B107" s="53"/>
      <c r="C107" s="53"/>
      <c r="D107" s="53"/>
      <c r="E107" s="53"/>
      <c r="F107" s="53"/>
      <c r="G107" s="53"/>
    </row>
    <row r="108">
      <c r="B108" s="53"/>
      <c r="C108" s="53"/>
      <c r="D108" s="53"/>
      <c r="E108" s="53"/>
      <c r="F108" s="53"/>
      <c r="G108" s="53"/>
    </row>
    <row r="109">
      <c r="B109" s="53"/>
      <c r="C109" s="53"/>
      <c r="D109" s="53"/>
      <c r="E109" s="53"/>
      <c r="F109" s="53"/>
      <c r="G109" s="53"/>
    </row>
    <row r="110">
      <c r="B110" s="53"/>
      <c r="C110" s="53"/>
      <c r="D110" s="53"/>
      <c r="E110" s="53"/>
      <c r="F110" s="53"/>
      <c r="G110" s="53"/>
    </row>
    <row r="111">
      <c r="B111" s="53"/>
      <c r="C111" s="53"/>
      <c r="D111" s="53"/>
      <c r="E111" s="53"/>
      <c r="F111" s="53"/>
      <c r="G111" s="53"/>
    </row>
    <row r="112">
      <c r="B112" s="53"/>
      <c r="C112" s="53"/>
      <c r="D112" s="53"/>
      <c r="E112" s="53"/>
      <c r="F112" s="53"/>
      <c r="G112" s="53"/>
    </row>
    <row r="113">
      <c r="B113" s="53"/>
      <c r="C113" s="53"/>
      <c r="D113" s="53"/>
      <c r="E113" s="53"/>
      <c r="F113" s="53"/>
      <c r="G113" s="53"/>
    </row>
    <row r="114">
      <c r="B114" s="53"/>
      <c r="C114" s="53"/>
      <c r="D114" s="53"/>
      <c r="E114" s="53"/>
      <c r="F114" s="53"/>
      <c r="G114" s="53"/>
    </row>
    <row r="115">
      <c r="B115" s="53"/>
      <c r="C115" s="53"/>
      <c r="D115" s="53"/>
      <c r="E115" s="53"/>
      <c r="F115" s="53"/>
      <c r="G115" s="53"/>
    </row>
    <row r="116">
      <c r="B116" s="53"/>
      <c r="C116" s="53"/>
      <c r="D116" s="53"/>
      <c r="E116" s="53"/>
      <c r="F116" s="53"/>
      <c r="G116" s="53"/>
    </row>
    <row r="117">
      <c r="B117" s="53"/>
      <c r="C117" s="53"/>
      <c r="D117" s="53"/>
      <c r="E117" s="53"/>
      <c r="F117" s="53"/>
      <c r="G117" s="53"/>
    </row>
    <row r="118">
      <c r="B118" s="53"/>
      <c r="C118" s="53"/>
      <c r="D118" s="53"/>
      <c r="E118" s="53"/>
      <c r="F118" s="53"/>
      <c r="G118" s="53"/>
    </row>
    <row r="119">
      <c r="B119" s="53"/>
      <c r="C119" s="53"/>
      <c r="D119" s="53"/>
      <c r="E119" s="53"/>
      <c r="F119" s="53"/>
      <c r="G119" s="53"/>
    </row>
    <row r="120">
      <c r="B120" s="53"/>
      <c r="C120" s="53"/>
      <c r="D120" s="53"/>
      <c r="E120" s="53"/>
      <c r="F120" s="53"/>
      <c r="G120" s="53"/>
    </row>
    <row r="121">
      <c r="B121" s="53"/>
      <c r="C121" s="53"/>
      <c r="D121" s="53"/>
      <c r="E121" s="53"/>
      <c r="F121" s="53"/>
      <c r="G121" s="53"/>
    </row>
    <row r="122">
      <c r="B122" s="53"/>
      <c r="C122" s="53"/>
      <c r="D122" s="53"/>
      <c r="E122" s="53"/>
      <c r="F122" s="53"/>
      <c r="G122" s="53"/>
    </row>
    <row r="123">
      <c r="B123" s="53"/>
      <c r="C123" s="53"/>
      <c r="D123" s="53"/>
      <c r="E123" s="53"/>
      <c r="F123" s="53"/>
      <c r="G123" s="53"/>
    </row>
    <row r="124">
      <c r="B124" s="53"/>
      <c r="C124" s="53"/>
      <c r="D124" s="53"/>
      <c r="E124" s="53"/>
      <c r="F124" s="53"/>
      <c r="G124" s="53"/>
    </row>
    <row r="125">
      <c r="B125" s="53"/>
      <c r="C125" s="53"/>
      <c r="D125" s="53"/>
      <c r="E125" s="53"/>
      <c r="F125" s="53"/>
      <c r="G125" s="53"/>
    </row>
    <row r="126">
      <c r="B126" s="53"/>
      <c r="C126" s="53"/>
      <c r="D126" s="53"/>
      <c r="E126" s="53"/>
      <c r="F126" s="53"/>
      <c r="G126" s="53"/>
    </row>
    <row r="127">
      <c r="B127" s="53"/>
      <c r="C127" s="53"/>
      <c r="D127" s="53"/>
      <c r="E127" s="53"/>
      <c r="F127" s="53"/>
      <c r="G127" s="53"/>
    </row>
    <row r="128">
      <c r="B128" s="53"/>
      <c r="C128" s="53"/>
      <c r="D128" s="53"/>
      <c r="E128" s="53"/>
      <c r="F128" s="53"/>
      <c r="G128" s="53"/>
    </row>
    <row r="129">
      <c r="B129" s="53"/>
      <c r="C129" s="53"/>
      <c r="D129" s="53"/>
      <c r="E129" s="53"/>
      <c r="F129" s="53"/>
      <c r="G129" s="53"/>
    </row>
    <row r="130">
      <c r="B130" s="53"/>
      <c r="C130" s="53"/>
      <c r="D130" s="53"/>
      <c r="E130" s="53"/>
      <c r="F130" s="53"/>
      <c r="G130" s="53"/>
    </row>
    <row r="131">
      <c r="B131" s="53"/>
      <c r="C131" s="53"/>
      <c r="D131" s="53"/>
      <c r="E131" s="53"/>
      <c r="F131" s="53"/>
      <c r="G131" s="53"/>
    </row>
    <row r="132">
      <c r="B132" s="53"/>
      <c r="C132" s="53"/>
      <c r="D132" s="53"/>
      <c r="E132" s="53"/>
      <c r="F132" s="53"/>
      <c r="G132" s="53"/>
    </row>
    <row r="133">
      <c r="B133" s="53"/>
      <c r="C133" s="53"/>
      <c r="D133" s="53"/>
      <c r="E133" s="53"/>
      <c r="F133" s="53"/>
      <c r="G133" s="53"/>
    </row>
    <row r="134">
      <c r="B134" s="53"/>
      <c r="C134" s="53"/>
      <c r="D134" s="53"/>
      <c r="E134" s="53"/>
      <c r="F134" s="53"/>
      <c r="G134" s="53"/>
    </row>
    <row r="135">
      <c r="B135" s="53"/>
      <c r="C135" s="53"/>
      <c r="D135" s="53"/>
      <c r="E135" s="53"/>
      <c r="F135" s="53"/>
      <c r="G135" s="53"/>
    </row>
    <row r="136">
      <c r="B136" s="53"/>
      <c r="C136" s="53"/>
      <c r="D136" s="53"/>
      <c r="E136" s="53"/>
      <c r="F136" s="53"/>
      <c r="G136" s="53"/>
    </row>
    <row r="137">
      <c r="B137" s="53"/>
      <c r="C137" s="53"/>
      <c r="D137" s="53"/>
      <c r="E137" s="53"/>
      <c r="F137" s="53"/>
      <c r="G137" s="53"/>
    </row>
    <row r="138">
      <c r="B138" s="53"/>
      <c r="C138" s="53"/>
      <c r="D138" s="53"/>
      <c r="E138" s="53"/>
      <c r="F138" s="53"/>
      <c r="G138" s="53"/>
    </row>
    <row r="139">
      <c r="B139" s="53"/>
      <c r="C139" s="53"/>
      <c r="D139" s="53"/>
      <c r="E139" s="53"/>
      <c r="F139" s="53"/>
      <c r="G139" s="53"/>
    </row>
    <row r="140">
      <c r="B140" s="53"/>
      <c r="C140" s="53"/>
      <c r="D140" s="53"/>
      <c r="E140" s="53"/>
      <c r="F140" s="53"/>
      <c r="G140" s="53"/>
    </row>
    <row r="141">
      <c r="B141" s="53"/>
      <c r="C141" s="53"/>
      <c r="D141" s="53"/>
      <c r="E141" s="53"/>
      <c r="F141" s="53"/>
      <c r="G141" s="53"/>
    </row>
    <row r="142">
      <c r="B142" s="53"/>
      <c r="C142" s="53"/>
      <c r="D142" s="53"/>
      <c r="E142" s="53"/>
      <c r="F142" s="53"/>
      <c r="G142" s="53"/>
    </row>
    <row r="143">
      <c r="B143" s="53"/>
      <c r="C143" s="53"/>
      <c r="D143" s="53"/>
      <c r="E143" s="53"/>
      <c r="F143" s="53"/>
      <c r="G143" s="53"/>
    </row>
    <row r="144">
      <c r="B144" s="53"/>
      <c r="C144" s="53"/>
      <c r="D144" s="53"/>
      <c r="E144" s="53"/>
      <c r="F144" s="53"/>
      <c r="G144" s="53"/>
    </row>
    <row r="145">
      <c r="B145" s="53"/>
      <c r="C145" s="53"/>
      <c r="D145" s="53"/>
      <c r="E145" s="53"/>
      <c r="F145" s="53"/>
      <c r="G145" s="53"/>
    </row>
    <row r="146">
      <c r="B146" s="53"/>
      <c r="C146" s="53"/>
      <c r="D146" s="53"/>
      <c r="E146" s="53"/>
      <c r="F146" s="53"/>
      <c r="G146" s="53"/>
    </row>
    <row r="147">
      <c r="B147" s="53"/>
      <c r="C147" s="53"/>
      <c r="D147" s="53"/>
      <c r="E147" s="53"/>
      <c r="F147" s="53"/>
      <c r="G147" s="53"/>
    </row>
    <row r="148">
      <c r="B148" s="53"/>
      <c r="C148" s="53"/>
      <c r="D148" s="53"/>
      <c r="E148" s="53"/>
      <c r="F148" s="53"/>
      <c r="G148" s="53"/>
    </row>
    <row r="149">
      <c r="B149" s="53"/>
      <c r="C149" s="53"/>
      <c r="D149" s="53"/>
      <c r="E149" s="53"/>
      <c r="F149" s="53"/>
      <c r="G149" s="53"/>
    </row>
    <row r="150">
      <c r="B150" s="53"/>
      <c r="C150" s="53"/>
      <c r="D150" s="53"/>
      <c r="E150" s="53"/>
      <c r="F150" s="53"/>
      <c r="G150" s="53"/>
    </row>
    <row r="151">
      <c r="B151" s="53"/>
      <c r="C151" s="53"/>
      <c r="D151" s="53"/>
      <c r="E151" s="53"/>
      <c r="F151" s="53"/>
      <c r="G151" s="53"/>
    </row>
    <row r="152">
      <c r="B152" s="53"/>
      <c r="C152" s="53"/>
      <c r="D152" s="53"/>
      <c r="E152" s="53"/>
      <c r="F152" s="53"/>
      <c r="G152" s="53"/>
    </row>
    <row r="153">
      <c r="B153" s="53"/>
      <c r="C153" s="53"/>
      <c r="D153" s="53"/>
      <c r="E153" s="53"/>
      <c r="F153" s="53"/>
      <c r="G153" s="53"/>
    </row>
    <row r="154">
      <c r="B154" s="53"/>
      <c r="C154" s="53"/>
      <c r="D154" s="53"/>
      <c r="E154" s="53"/>
      <c r="F154" s="53"/>
      <c r="G154" s="53"/>
    </row>
    <row r="155">
      <c r="B155" s="53"/>
      <c r="C155" s="53"/>
      <c r="D155" s="53"/>
      <c r="E155" s="53"/>
      <c r="F155" s="53"/>
      <c r="G155" s="53"/>
    </row>
    <row r="156">
      <c r="B156" s="53"/>
      <c r="C156" s="53"/>
      <c r="D156" s="53"/>
      <c r="E156" s="53"/>
      <c r="F156" s="53"/>
      <c r="G156" s="53"/>
    </row>
    <row r="157">
      <c r="B157" s="53"/>
      <c r="C157" s="53"/>
      <c r="D157" s="53"/>
      <c r="E157" s="53"/>
      <c r="F157" s="53"/>
      <c r="G157" s="53"/>
    </row>
    <row r="158">
      <c r="B158" s="53"/>
      <c r="C158" s="53"/>
      <c r="D158" s="53"/>
      <c r="E158" s="53"/>
      <c r="F158" s="53"/>
      <c r="G158" s="53"/>
    </row>
    <row r="159">
      <c r="B159" s="53"/>
      <c r="C159" s="53"/>
      <c r="D159" s="53"/>
      <c r="E159" s="53"/>
      <c r="F159" s="53"/>
      <c r="G159" s="53"/>
    </row>
    <row r="160">
      <c r="B160" s="53"/>
      <c r="C160" s="53"/>
      <c r="D160" s="53"/>
      <c r="E160" s="53"/>
      <c r="F160" s="53"/>
      <c r="G160" s="53"/>
    </row>
    <row r="161">
      <c r="B161" s="53"/>
      <c r="C161" s="53"/>
      <c r="D161" s="53"/>
      <c r="E161" s="53"/>
      <c r="F161" s="53"/>
      <c r="G161" s="53"/>
    </row>
    <row r="162">
      <c r="B162" s="53"/>
      <c r="C162" s="53"/>
      <c r="D162" s="53"/>
      <c r="E162" s="53"/>
      <c r="F162" s="53"/>
      <c r="G162" s="53"/>
    </row>
    <row r="163">
      <c r="B163" s="53"/>
      <c r="C163" s="53"/>
      <c r="D163" s="53"/>
      <c r="E163" s="53"/>
      <c r="F163" s="53"/>
      <c r="G163" s="53"/>
    </row>
    <row r="164">
      <c r="B164" s="53"/>
      <c r="C164" s="53"/>
      <c r="D164" s="53"/>
      <c r="E164" s="53"/>
      <c r="F164" s="53"/>
      <c r="G164" s="53"/>
    </row>
    <row r="165">
      <c r="B165" s="53"/>
      <c r="C165" s="53"/>
      <c r="D165" s="53"/>
      <c r="E165" s="53"/>
      <c r="F165" s="53"/>
      <c r="G165" s="53"/>
    </row>
    <row r="166">
      <c r="B166" s="53"/>
      <c r="C166" s="53"/>
      <c r="D166" s="53"/>
      <c r="E166" s="53"/>
      <c r="F166" s="53"/>
      <c r="G166" s="53"/>
    </row>
    <row r="167">
      <c r="B167" s="53"/>
      <c r="C167" s="53"/>
      <c r="D167" s="53"/>
      <c r="E167" s="53"/>
      <c r="F167" s="53"/>
      <c r="G167" s="53"/>
    </row>
    <row r="168">
      <c r="B168" s="53"/>
      <c r="C168" s="53"/>
      <c r="D168" s="53"/>
      <c r="E168" s="53"/>
      <c r="F168" s="53"/>
      <c r="G168" s="53"/>
    </row>
    <row r="169">
      <c r="B169" s="53"/>
      <c r="C169" s="53"/>
      <c r="D169" s="53"/>
      <c r="E169" s="53"/>
      <c r="F169" s="53"/>
      <c r="G169" s="53"/>
    </row>
    <row r="170">
      <c r="B170" s="53"/>
      <c r="C170" s="53"/>
      <c r="D170" s="53"/>
      <c r="E170" s="53"/>
      <c r="F170" s="53"/>
      <c r="G170" s="53"/>
    </row>
    <row r="171">
      <c r="B171" s="53"/>
      <c r="C171" s="53"/>
      <c r="D171" s="53"/>
      <c r="E171" s="53"/>
      <c r="F171" s="53"/>
      <c r="G171" s="53"/>
    </row>
    <row r="172">
      <c r="B172" s="53"/>
      <c r="C172" s="53"/>
      <c r="D172" s="53"/>
      <c r="E172" s="53"/>
      <c r="F172" s="53"/>
      <c r="G172" s="53"/>
    </row>
    <row r="173">
      <c r="B173" s="53"/>
      <c r="C173" s="53"/>
      <c r="D173" s="53"/>
      <c r="E173" s="53"/>
      <c r="F173" s="53"/>
      <c r="G173" s="53"/>
    </row>
    <row r="174">
      <c r="B174" s="53"/>
      <c r="C174" s="53"/>
      <c r="D174" s="53"/>
      <c r="E174" s="53"/>
      <c r="F174" s="53"/>
      <c r="G174" s="53"/>
    </row>
    <row r="175">
      <c r="B175" s="53"/>
      <c r="C175" s="53"/>
      <c r="D175" s="53"/>
      <c r="E175" s="53"/>
      <c r="F175" s="53"/>
      <c r="G175" s="53"/>
    </row>
    <row r="176">
      <c r="B176" s="53"/>
      <c r="C176" s="53"/>
      <c r="D176" s="53"/>
      <c r="E176" s="53"/>
      <c r="F176" s="53"/>
      <c r="G176" s="53"/>
    </row>
    <row r="177">
      <c r="B177" s="53"/>
      <c r="C177" s="53"/>
      <c r="D177" s="53"/>
      <c r="E177" s="53"/>
      <c r="F177" s="53"/>
      <c r="G177" s="53"/>
    </row>
    <row r="178">
      <c r="B178" s="53"/>
      <c r="C178" s="53"/>
      <c r="D178" s="53"/>
      <c r="E178" s="53"/>
      <c r="F178" s="53"/>
      <c r="G178" s="53"/>
    </row>
    <row r="179">
      <c r="B179" s="53"/>
      <c r="C179" s="53"/>
      <c r="D179" s="53"/>
      <c r="E179" s="53"/>
      <c r="F179" s="53"/>
      <c r="G179" s="53"/>
    </row>
    <row r="180">
      <c r="B180" s="53"/>
      <c r="C180" s="53"/>
      <c r="D180" s="53"/>
      <c r="E180" s="53"/>
      <c r="F180" s="53"/>
      <c r="G180" s="53"/>
    </row>
    <row r="181">
      <c r="B181" s="53"/>
      <c r="C181" s="53"/>
      <c r="D181" s="53"/>
      <c r="E181" s="53"/>
      <c r="F181" s="53"/>
      <c r="G181" s="53"/>
    </row>
    <row r="182">
      <c r="B182" s="53"/>
      <c r="C182" s="53"/>
      <c r="D182" s="53"/>
      <c r="E182" s="53"/>
      <c r="F182" s="53"/>
      <c r="G182" s="53"/>
    </row>
    <row r="183">
      <c r="B183" s="53"/>
      <c r="C183" s="53"/>
      <c r="D183" s="53"/>
      <c r="E183" s="53"/>
      <c r="F183" s="53"/>
      <c r="G183" s="53"/>
    </row>
    <row r="184">
      <c r="B184" s="53"/>
      <c r="C184" s="53"/>
      <c r="D184" s="53"/>
      <c r="E184" s="53"/>
      <c r="F184" s="53"/>
      <c r="G184" s="53"/>
    </row>
    <row r="185">
      <c r="B185" s="53"/>
      <c r="C185" s="53"/>
      <c r="D185" s="53"/>
      <c r="E185" s="53"/>
      <c r="F185" s="53"/>
      <c r="G185" s="53"/>
    </row>
    <row r="186">
      <c r="B186" s="53"/>
      <c r="C186" s="53"/>
      <c r="D186" s="53"/>
      <c r="E186" s="53"/>
      <c r="F186" s="53"/>
      <c r="G186" s="53"/>
    </row>
    <row r="187">
      <c r="B187" s="53"/>
      <c r="C187" s="53"/>
      <c r="D187" s="53"/>
      <c r="E187" s="53"/>
      <c r="F187" s="53"/>
      <c r="G187" s="53"/>
    </row>
    <row r="188">
      <c r="B188" s="53"/>
      <c r="C188" s="53"/>
      <c r="D188" s="53"/>
      <c r="E188" s="53"/>
      <c r="F188" s="53"/>
      <c r="G188" s="53"/>
    </row>
    <row r="189">
      <c r="B189" s="53"/>
      <c r="C189" s="53"/>
      <c r="D189" s="53"/>
      <c r="E189" s="53"/>
      <c r="F189" s="53"/>
      <c r="G189" s="53"/>
    </row>
    <row r="190">
      <c r="B190" s="53"/>
      <c r="C190" s="53"/>
      <c r="D190" s="53"/>
      <c r="E190" s="53"/>
      <c r="F190" s="53"/>
      <c r="G190" s="53"/>
    </row>
    <row r="191">
      <c r="B191" s="53"/>
      <c r="C191" s="53"/>
      <c r="D191" s="53"/>
      <c r="E191" s="53"/>
      <c r="F191" s="53"/>
      <c r="G191" s="53"/>
    </row>
    <row r="192">
      <c r="B192" s="53"/>
      <c r="C192" s="53"/>
      <c r="D192" s="53"/>
      <c r="E192" s="53"/>
      <c r="F192" s="53"/>
      <c r="G192" s="53"/>
    </row>
    <row r="193">
      <c r="B193" s="53"/>
      <c r="C193" s="53"/>
      <c r="D193" s="53"/>
      <c r="E193" s="53"/>
      <c r="F193" s="53"/>
      <c r="G193" s="53"/>
    </row>
    <row r="194">
      <c r="B194" s="53"/>
      <c r="C194" s="53"/>
      <c r="D194" s="53"/>
      <c r="E194" s="53"/>
      <c r="F194" s="53"/>
      <c r="G194" s="53"/>
    </row>
    <row r="195">
      <c r="B195" s="53"/>
      <c r="C195" s="53"/>
      <c r="D195" s="53"/>
      <c r="E195" s="53"/>
      <c r="F195" s="53"/>
      <c r="G195" s="53"/>
    </row>
    <row r="196">
      <c r="B196" s="53"/>
      <c r="C196" s="53"/>
      <c r="D196" s="53"/>
      <c r="E196" s="53"/>
      <c r="F196" s="53"/>
      <c r="G196" s="53"/>
    </row>
    <row r="197">
      <c r="B197" s="53"/>
      <c r="C197" s="53"/>
      <c r="D197" s="53"/>
      <c r="E197" s="53"/>
      <c r="F197" s="53"/>
      <c r="G197" s="53"/>
    </row>
    <row r="198">
      <c r="B198" s="53"/>
      <c r="C198" s="53"/>
      <c r="D198" s="53"/>
      <c r="E198" s="53"/>
      <c r="F198" s="53"/>
      <c r="G198" s="53"/>
    </row>
    <row r="199">
      <c r="B199" s="53"/>
      <c r="C199" s="53"/>
      <c r="D199" s="53"/>
      <c r="E199" s="53"/>
      <c r="F199" s="53"/>
      <c r="G199" s="53"/>
    </row>
    <row r="200">
      <c r="B200" s="53"/>
      <c r="C200" s="53"/>
      <c r="D200" s="53"/>
      <c r="E200" s="53"/>
      <c r="F200" s="53"/>
      <c r="G200" s="53"/>
    </row>
    <row r="201">
      <c r="B201" s="53"/>
      <c r="C201" s="53"/>
      <c r="D201" s="53"/>
      <c r="E201" s="53"/>
      <c r="F201" s="53"/>
      <c r="G201" s="53"/>
    </row>
    <row r="202">
      <c r="B202" s="53"/>
      <c r="C202" s="53"/>
      <c r="D202" s="53"/>
      <c r="E202" s="53"/>
      <c r="F202" s="53"/>
      <c r="G202" s="53"/>
    </row>
    <row r="203">
      <c r="B203" s="53"/>
      <c r="C203" s="53"/>
      <c r="D203" s="53"/>
      <c r="E203" s="53"/>
      <c r="F203" s="53"/>
      <c r="G203" s="53"/>
    </row>
    <row r="204">
      <c r="B204" s="53"/>
      <c r="C204" s="53"/>
      <c r="D204" s="53"/>
      <c r="E204" s="53"/>
      <c r="F204" s="53"/>
      <c r="G204" s="53"/>
    </row>
    <row r="205">
      <c r="B205" s="53"/>
      <c r="C205" s="53"/>
      <c r="D205" s="53"/>
      <c r="E205" s="53"/>
      <c r="F205" s="53"/>
      <c r="G205" s="53"/>
    </row>
    <row r="206">
      <c r="B206" s="53"/>
      <c r="C206" s="53"/>
      <c r="D206" s="53"/>
      <c r="E206" s="53"/>
      <c r="F206" s="53"/>
      <c r="G206" s="53"/>
    </row>
    <row r="207">
      <c r="B207" s="53"/>
      <c r="C207" s="53"/>
      <c r="D207" s="53"/>
      <c r="E207" s="53"/>
      <c r="F207" s="53"/>
      <c r="G207" s="53"/>
    </row>
    <row r="208">
      <c r="B208" s="53"/>
      <c r="C208" s="53"/>
      <c r="D208" s="53"/>
      <c r="E208" s="53"/>
      <c r="F208" s="53"/>
      <c r="G208" s="53"/>
    </row>
    <row r="209">
      <c r="B209" s="53"/>
      <c r="C209" s="53"/>
      <c r="D209" s="53"/>
      <c r="E209" s="53"/>
      <c r="F209" s="53"/>
      <c r="G209" s="53"/>
    </row>
    <row r="210">
      <c r="B210" s="53"/>
      <c r="C210" s="53"/>
      <c r="D210" s="53"/>
      <c r="E210" s="53"/>
      <c r="F210" s="53"/>
      <c r="G210" s="53"/>
    </row>
    <row r="211">
      <c r="B211" s="53"/>
      <c r="C211" s="53"/>
      <c r="D211" s="53"/>
      <c r="E211" s="53"/>
      <c r="F211" s="53"/>
      <c r="G211" s="53"/>
    </row>
    <row r="212">
      <c r="B212" s="53"/>
      <c r="C212" s="53"/>
      <c r="D212" s="53"/>
      <c r="E212" s="53"/>
      <c r="F212" s="53"/>
      <c r="G212" s="53"/>
    </row>
    <row r="213">
      <c r="B213" s="53"/>
      <c r="C213" s="53"/>
      <c r="D213" s="53"/>
      <c r="E213" s="53"/>
      <c r="F213" s="53"/>
      <c r="G213" s="53"/>
    </row>
    <row r="214">
      <c r="B214" s="53"/>
      <c r="C214" s="53"/>
      <c r="D214" s="53"/>
      <c r="E214" s="53"/>
      <c r="F214" s="53"/>
      <c r="G214" s="53"/>
    </row>
    <row r="215">
      <c r="B215" s="53"/>
      <c r="C215" s="53"/>
      <c r="D215" s="53"/>
      <c r="E215" s="53"/>
      <c r="F215" s="53"/>
      <c r="G215" s="53"/>
    </row>
    <row r="216">
      <c r="B216" s="53"/>
      <c r="C216" s="53"/>
      <c r="D216" s="53"/>
      <c r="E216" s="53"/>
      <c r="F216" s="53"/>
      <c r="G216" s="53"/>
    </row>
    <row r="217">
      <c r="B217" s="53"/>
      <c r="C217" s="53"/>
      <c r="D217" s="53"/>
      <c r="E217" s="53"/>
      <c r="F217" s="53"/>
      <c r="G217" s="53"/>
    </row>
    <row r="218">
      <c r="B218" s="53"/>
      <c r="C218" s="53"/>
      <c r="D218" s="53"/>
      <c r="E218" s="53"/>
      <c r="F218" s="53"/>
      <c r="G218" s="53"/>
    </row>
    <row r="219">
      <c r="B219" s="53"/>
      <c r="C219" s="53"/>
      <c r="D219" s="53"/>
      <c r="E219" s="53"/>
      <c r="F219" s="53"/>
      <c r="G219" s="53"/>
    </row>
    <row r="220">
      <c r="B220" s="53"/>
      <c r="C220" s="53"/>
      <c r="D220" s="53"/>
      <c r="E220" s="53"/>
      <c r="F220" s="53"/>
      <c r="G220" s="53"/>
    </row>
    <row r="221">
      <c r="B221" s="53"/>
      <c r="C221" s="53"/>
      <c r="D221" s="53"/>
      <c r="E221" s="53"/>
      <c r="F221" s="53"/>
      <c r="G221" s="53"/>
    </row>
    <row r="222">
      <c r="B222" s="53"/>
      <c r="C222" s="53"/>
      <c r="D222" s="53"/>
      <c r="E222" s="53"/>
      <c r="F222" s="53"/>
      <c r="G222" s="53"/>
    </row>
    <row r="223">
      <c r="B223" s="53"/>
      <c r="C223" s="53"/>
      <c r="D223" s="53"/>
      <c r="E223" s="53"/>
      <c r="F223" s="53"/>
      <c r="G223" s="53"/>
    </row>
    <row r="224">
      <c r="B224" s="53"/>
      <c r="C224" s="53"/>
      <c r="D224" s="53"/>
      <c r="E224" s="53"/>
      <c r="F224" s="53"/>
      <c r="G224" s="53"/>
    </row>
    <row r="225">
      <c r="B225" s="53"/>
      <c r="C225" s="53"/>
      <c r="D225" s="53"/>
      <c r="E225" s="53"/>
      <c r="F225" s="53"/>
      <c r="G225" s="53"/>
    </row>
    <row r="226">
      <c r="B226" s="53"/>
      <c r="C226" s="53"/>
      <c r="D226" s="53"/>
      <c r="E226" s="53"/>
      <c r="F226" s="53"/>
      <c r="G226" s="53"/>
    </row>
    <row r="227">
      <c r="B227" s="53"/>
      <c r="C227" s="53"/>
      <c r="D227" s="53"/>
      <c r="E227" s="53"/>
      <c r="F227" s="53"/>
      <c r="G227" s="53"/>
    </row>
    <row r="228">
      <c r="B228" s="53"/>
      <c r="C228" s="53"/>
      <c r="D228" s="53"/>
      <c r="E228" s="53"/>
      <c r="F228" s="53"/>
      <c r="G228" s="53"/>
    </row>
    <row r="229">
      <c r="B229" s="53"/>
      <c r="C229" s="53"/>
      <c r="D229" s="53"/>
      <c r="E229" s="53"/>
      <c r="F229" s="53"/>
      <c r="G229" s="53"/>
    </row>
    <row r="230">
      <c r="B230" s="53"/>
      <c r="C230" s="53"/>
      <c r="D230" s="53"/>
      <c r="E230" s="53"/>
      <c r="F230" s="53"/>
      <c r="G230" s="53"/>
    </row>
    <row r="231">
      <c r="B231" s="53"/>
      <c r="C231" s="53"/>
      <c r="D231" s="53"/>
      <c r="E231" s="53"/>
      <c r="F231" s="53"/>
      <c r="G231" s="53"/>
    </row>
    <row r="232">
      <c r="B232" s="53"/>
      <c r="C232" s="53"/>
      <c r="D232" s="53"/>
      <c r="E232" s="53"/>
      <c r="F232" s="53"/>
      <c r="G232" s="53"/>
    </row>
    <row r="233">
      <c r="B233" s="53"/>
      <c r="C233" s="53"/>
      <c r="D233" s="53"/>
      <c r="E233" s="53"/>
      <c r="F233" s="53"/>
      <c r="G233" s="53"/>
    </row>
    <row r="234">
      <c r="B234" s="53"/>
      <c r="C234" s="53"/>
      <c r="D234" s="53"/>
      <c r="E234" s="53"/>
      <c r="F234" s="53"/>
      <c r="G234" s="53"/>
    </row>
    <row r="235">
      <c r="B235" s="53"/>
      <c r="C235" s="53"/>
      <c r="D235" s="53"/>
      <c r="E235" s="53"/>
      <c r="F235" s="53"/>
      <c r="G235" s="53"/>
    </row>
    <row r="236">
      <c r="B236" s="53"/>
      <c r="C236" s="53"/>
      <c r="D236" s="53"/>
      <c r="E236" s="53"/>
      <c r="F236" s="53"/>
      <c r="G236" s="53"/>
    </row>
    <row r="237">
      <c r="B237" s="53"/>
      <c r="C237" s="53"/>
      <c r="D237" s="53"/>
      <c r="E237" s="53"/>
      <c r="F237" s="53"/>
      <c r="G237" s="53"/>
    </row>
    <row r="238">
      <c r="B238" s="53"/>
      <c r="C238" s="53"/>
      <c r="D238" s="53"/>
      <c r="E238" s="53"/>
      <c r="F238" s="53"/>
      <c r="G238" s="53"/>
    </row>
    <row r="239">
      <c r="B239" s="53"/>
      <c r="C239" s="53"/>
      <c r="D239" s="53"/>
      <c r="E239" s="53"/>
      <c r="F239" s="53"/>
      <c r="G239" s="53"/>
    </row>
    <row r="240">
      <c r="B240" s="53"/>
      <c r="C240" s="53"/>
      <c r="D240" s="53"/>
      <c r="E240" s="53"/>
      <c r="F240" s="53"/>
      <c r="G240" s="53"/>
    </row>
    <row r="241">
      <c r="B241" s="53"/>
      <c r="C241" s="53"/>
      <c r="D241" s="53"/>
      <c r="E241" s="53"/>
      <c r="F241" s="53"/>
      <c r="G241" s="53"/>
    </row>
    <row r="242">
      <c r="B242" s="53"/>
      <c r="C242" s="53"/>
      <c r="D242" s="53"/>
      <c r="E242" s="53"/>
      <c r="F242" s="53"/>
      <c r="G242" s="53"/>
    </row>
    <row r="243">
      <c r="B243" s="53"/>
      <c r="C243" s="53"/>
      <c r="D243" s="53"/>
      <c r="E243" s="53"/>
      <c r="F243" s="53"/>
      <c r="G243" s="53"/>
    </row>
    <row r="244">
      <c r="B244" s="53"/>
      <c r="C244" s="53"/>
      <c r="D244" s="53"/>
      <c r="E244" s="53"/>
      <c r="F244" s="53"/>
      <c r="G244" s="53"/>
    </row>
    <row r="245">
      <c r="B245" s="53"/>
      <c r="C245" s="53"/>
      <c r="D245" s="53"/>
      <c r="E245" s="53"/>
      <c r="F245" s="53"/>
      <c r="G245" s="53"/>
    </row>
    <row r="246">
      <c r="B246" s="53"/>
      <c r="C246" s="53"/>
      <c r="D246" s="53"/>
      <c r="E246" s="53"/>
      <c r="F246" s="53"/>
      <c r="G246" s="53"/>
    </row>
    <row r="247">
      <c r="B247" s="53"/>
      <c r="C247" s="53"/>
      <c r="D247" s="53"/>
      <c r="E247" s="53"/>
      <c r="F247" s="53"/>
      <c r="G247" s="53"/>
    </row>
    <row r="248">
      <c r="B248" s="53"/>
      <c r="C248" s="53"/>
      <c r="D248" s="53"/>
      <c r="E248" s="53"/>
      <c r="F248" s="53"/>
      <c r="G248" s="53"/>
    </row>
    <row r="249">
      <c r="B249" s="53"/>
      <c r="C249" s="53"/>
      <c r="D249" s="53"/>
      <c r="E249" s="53"/>
      <c r="F249" s="53"/>
      <c r="G249" s="53"/>
    </row>
    <row r="250">
      <c r="B250" s="53"/>
      <c r="C250" s="53"/>
      <c r="D250" s="53"/>
      <c r="E250" s="53"/>
      <c r="F250" s="53"/>
      <c r="G250" s="53"/>
    </row>
    <row r="251">
      <c r="B251" s="53"/>
      <c r="C251" s="53"/>
      <c r="D251" s="53"/>
      <c r="E251" s="53"/>
      <c r="F251" s="53"/>
      <c r="G251" s="53"/>
    </row>
    <row r="252">
      <c r="B252" s="53"/>
      <c r="C252" s="53"/>
      <c r="D252" s="53"/>
      <c r="E252" s="53"/>
      <c r="F252" s="53"/>
      <c r="G252" s="53"/>
    </row>
    <row r="253">
      <c r="B253" s="53"/>
      <c r="C253" s="53"/>
      <c r="D253" s="53"/>
      <c r="E253" s="53"/>
      <c r="F253" s="53"/>
      <c r="G253" s="53"/>
    </row>
    <row r="254">
      <c r="B254" s="53"/>
      <c r="C254" s="53"/>
      <c r="D254" s="53"/>
      <c r="E254" s="53"/>
      <c r="F254" s="53"/>
      <c r="G254" s="53"/>
    </row>
    <row r="255">
      <c r="B255" s="53"/>
      <c r="C255" s="53"/>
      <c r="D255" s="53"/>
      <c r="E255" s="53"/>
      <c r="F255" s="53"/>
      <c r="G255" s="53"/>
    </row>
    <row r="256">
      <c r="B256" s="53"/>
      <c r="C256" s="53"/>
      <c r="D256" s="53"/>
      <c r="E256" s="53"/>
      <c r="F256" s="53"/>
      <c r="G256" s="53"/>
    </row>
    <row r="257">
      <c r="B257" s="53"/>
      <c r="C257" s="53"/>
      <c r="D257" s="53"/>
      <c r="E257" s="53"/>
      <c r="F257" s="53"/>
      <c r="G257" s="53"/>
    </row>
    <row r="258">
      <c r="B258" s="53"/>
      <c r="C258" s="53"/>
      <c r="D258" s="53"/>
      <c r="E258" s="53"/>
      <c r="F258" s="53"/>
      <c r="G258" s="53"/>
    </row>
    <row r="259">
      <c r="B259" s="53"/>
      <c r="C259" s="53"/>
      <c r="D259" s="53"/>
      <c r="E259" s="53"/>
      <c r="F259" s="53"/>
      <c r="G259" s="53"/>
    </row>
    <row r="260">
      <c r="B260" s="53"/>
      <c r="C260" s="53"/>
      <c r="D260" s="53"/>
      <c r="E260" s="53"/>
      <c r="F260" s="53"/>
      <c r="G260" s="53"/>
    </row>
    <row r="261">
      <c r="B261" s="53"/>
      <c r="C261" s="53"/>
      <c r="D261" s="53"/>
      <c r="E261" s="53"/>
      <c r="F261" s="53"/>
      <c r="G261" s="53"/>
    </row>
    <row r="262">
      <c r="B262" s="53"/>
      <c r="C262" s="53"/>
      <c r="D262" s="53"/>
      <c r="E262" s="53"/>
      <c r="F262" s="53"/>
      <c r="G262" s="53"/>
    </row>
    <row r="263">
      <c r="B263" s="53"/>
      <c r="C263" s="53"/>
      <c r="D263" s="53"/>
      <c r="E263" s="53"/>
      <c r="F263" s="53"/>
      <c r="G263" s="53"/>
    </row>
    <row r="264">
      <c r="B264" s="53"/>
      <c r="C264" s="53"/>
      <c r="D264" s="53"/>
      <c r="E264" s="53"/>
      <c r="F264" s="53"/>
      <c r="G264" s="53"/>
    </row>
    <row r="265">
      <c r="B265" s="53"/>
      <c r="C265" s="53"/>
      <c r="D265" s="53"/>
      <c r="E265" s="53"/>
      <c r="F265" s="53"/>
      <c r="G265" s="53"/>
    </row>
    <row r="266">
      <c r="B266" s="53"/>
      <c r="C266" s="53"/>
      <c r="D266" s="53"/>
      <c r="E266" s="53"/>
      <c r="F266" s="53"/>
      <c r="G266" s="53"/>
    </row>
    <row r="267">
      <c r="B267" s="53"/>
      <c r="C267" s="53"/>
      <c r="D267" s="53"/>
      <c r="E267" s="53"/>
      <c r="F267" s="53"/>
      <c r="G267" s="53"/>
    </row>
    <row r="268">
      <c r="B268" s="53"/>
      <c r="C268" s="53"/>
      <c r="D268" s="53"/>
      <c r="E268" s="53"/>
      <c r="F268" s="53"/>
      <c r="G268" s="53"/>
    </row>
    <row r="269">
      <c r="B269" s="53"/>
      <c r="C269" s="53"/>
      <c r="D269" s="53"/>
      <c r="E269" s="53"/>
      <c r="F269" s="53"/>
      <c r="G269" s="53"/>
    </row>
    <row r="270">
      <c r="B270" s="53"/>
      <c r="C270" s="53"/>
      <c r="D270" s="53"/>
      <c r="E270" s="53"/>
      <c r="F270" s="53"/>
      <c r="G270" s="53"/>
    </row>
    <row r="271">
      <c r="B271" s="53"/>
      <c r="C271" s="53"/>
      <c r="D271" s="53"/>
      <c r="E271" s="53"/>
      <c r="F271" s="53"/>
      <c r="G271" s="53"/>
    </row>
    <row r="272">
      <c r="B272" s="53"/>
      <c r="C272" s="53"/>
      <c r="D272" s="53"/>
      <c r="E272" s="53"/>
      <c r="F272" s="53"/>
      <c r="G272" s="53"/>
    </row>
    <row r="273">
      <c r="B273" s="53"/>
      <c r="C273" s="53"/>
      <c r="D273" s="53"/>
      <c r="E273" s="53"/>
      <c r="F273" s="53"/>
      <c r="G273" s="53"/>
    </row>
    <row r="274">
      <c r="B274" s="53"/>
      <c r="C274" s="53"/>
      <c r="D274" s="53"/>
      <c r="E274" s="53"/>
      <c r="F274" s="53"/>
      <c r="G274" s="53"/>
    </row>
    <row r="275">
      <c r="B275" s="53"/>
      <c r="C275" s="53"/>
      <c r="D275" s="53"/>
      <c r="E275" s="53"/>
      <c r="F275" s="53"/>
      <c r="G275" s="53"/>
    </row>
    <row r="276">
      <c r="B276" s="53"/>
      <c r="C276" s="53"/>
      <c r="D276" s="53"/>
      <c r="E276" s="53"/>
      <c r="F276" s="53"/>
      <c r="G276" s="53"/>
    </row>
    <row r="277">
      <c r="B277" s="53"/>
      <c r="C277" s="53"/>
      <c r="D277" s="53"/>
      <c r="E277" s="53"/>
      <c r="F277" s="53"/>
      <c r="G277" s="53"/>
    </row>
    <row r="278">
      <c r="B278" s="53"/>
      <c r="C278" s="53"/>
      <c r="D278" s="53"/>
      <c r="E278" s="53"/>
      <c r="F278" s="53"/>
      <c r="G278" s="53"/>
    </row>
    <row r="279">
      <c r="B279" s="53"/>
      <c r="C279" s="53"/>
      <c r="D279" s="53"/>
      <c r="E279" s="53"/>
      <c r="F279" s="53"/>
      <c r="G279" s="53"/>
    </row>
    <row r="280">
      <c r="B280" s="53"/>
      <c r="C280" s="53"/>
      <c r="D280" s="53"/>
      <c r="E280" s="53"/>
      <c r="F280" s="53"/>
      <c r="G280" s="53"/>
    </row>
    <row r="281">
      <c r="B281" s="53"/>
      <c r="C281" s="53"/>
      <c r="D281" s="53"/>
      <c r="E281" s="53"/>
      <c r="F281" s="53"/>
      <c r="G281" s="53"/>
    </row>
    <row r="282">
      <c r="B282" s="53"/>
      <c r="C282" s="53"/>
      <c r="D282" s="53"/>
      <c r="E282" s="53"/>
      <c r="F282" s="53"/>
      <c r="G282" s="53"/>
    </row>
    <row r="283">
      <c r="B283" s="53"/>
      <c r="C283" s="53"/>
      <c r="D283" s="53"/>
      <c r="E283" s="53"/>
      <c r="F283" s="53"/>
      <c r="G283" s="53"/>
    </row>
    <row r="284">
      <c r="B284" s="53"/>
      <c r="C284" s="53"/>
      <c r="D284" s="53"/>
      <c r="E284" s="53"/>
      <c r="F284" s="53"/>
      <c r="G284" s="53"/>
    </row>
    <row r="285">
      <c r="B285" s="53"/>
      <c r="C285" s="53"/>
      <c r="D285" s="53"/>
      <c r="E285" s="53"/>
      <c r="F285" s="53"/>
      <c r="G285" s="53"/>
    </row>
    <row r="286">
      <c r="B286" s="53"/>
      <c r="C286" s="53"/>
      <c r="D286" s="53"/>
      <c r="E286" s="53"/>
      <c r="F286" s="53"/>
      <c r="G286" s="53"/>
    </row>
    <row r="287">
      <c r="B287" s="53"/>
      <c r="C287" s="53"/>
      <c r="D287" s="53"/>
      <c r="E287" s="53"/>
      <c r="F287" s="53"/>
      <c r="G287" s="53"/>
    </row>
    <row r="288">
      <c r="B288" s="53"/>
      <c r="C288" s="53"/>
      <c r="D288" s="53"/>
      <c r="E288" s="53"/>
      <c r="F288" s="53"/>
      <c r="G288" s="53"/>
    </row>
    <row r="289">
      <c r="B289" s="53"/>
      <c r="C289" s="53"/>
      <c r="D289" s="53"/>
      <c r="E289" s="53"/>
      <c r="F289" s="53"/>
      <c r="G289" s="53"/>
    </row>
    <row r="290">
      <c r="B290" s="53"/>
      <c r="C290" s="53"/>
      <c r="D290" s="53"/>
      <c r="E290" s="53"/>
      <c r="F290" s="53"/>
      <c r="G290" s="53"/>
    </row>
    <row r="291">
      <c r="B291" s="53"/>
      <c r="C291" s="53"/>
      <c r="D291" s="53"/>
      <c r="E291" s="53"/>
      <c r="F291" s="53"/>
      <c r="G291" s="53"/>
    </row>
    <row r="292">
      <c r="B292" s="53"/>
      <c r="C292" s="53"/>
      <c r="D292" s="53"/>
      <c r="E292" s="53"/>
      <c r="F292" s="53"/>
      <c r="G292" s="53"/>
    </row>
    <row r="293">
      <c r="B293" s="53"/>
      <c r="C293" s="53"/>
      <c r="D293" s="53"/>
      <c r="E293" s="53"/>
      <c r="F293" s="53"/>
      <c r="G293" s="53"/>
    </row>
    <row r="294">
      <c r="B294" s="53"/>
      <c r="C294" s="53"/>
      <c r="D294" s="53"/>
      <c r="E294" s="53"/>
      <c r="F294" s="53"/>
      <c r="G294" s="53"/>
    </row>
    <row r="295">
      <c r="B295" s="53"/>
      <c r="C295" s="53"/>
      <c r="D295" s="53"/>
      <c r="E295" s="53"/>
      <c r="F295" s="53"/>
      <c r="G295" s="53"/>
    </row>
    <row r="296">
      <c r="B296" s="53"/>
      <c r="C296" s="53"/>
      <c r="D296" s="53"/>
      <c r="E296" s="53"/>
      <c r="F296" s="53"/>
      <c r="G296" s="53"/>
    </row>
    <row r="297">
      <c r="B297" s="53"/>
      <c r="C297" s="53"/>
      <c r="D297" s="53"/>
      <c r="E297" s="53"/>
      <c r="F297" s="53"/>
      <c r="G297" s="53"/>
    </row>
    <row r="298">
      <c r="B298" s="53"/>
      <c r="C298" s="53"/>
      <c r="D298" s="53"/>
      <c r="E298" s="53"/>
      <c r="F298" s="53"/>
      <c r="G298" s="53"/>
    </row>
    <row r="299">
      <c r="B299" s="53"/>
      <c r="C299" s="53"/>
      <c r="D299" s="53"/>
      <c r="E299" s="53"/>
      <c r="F299" s="53"/>
      <c r="G299" s="53"/>
    </row>
    <row r="300">
      <c r="B300" s="53"/>
      <c r="C300" s="53"/>
      <c r="D300" s="53"/>
      <c r="E300" s="53"/>
      <c r="F300" s="53"/>
      <c r="G300" s="53"/>
    </row>
    <row r="301">
      <c r="B301" s="53"/>
      <c r="C301" s="53"/>
      <c r="D301" s="53"/>
      <c r="E301" s="53"/>
      <c r="F301" s="53"/>
      <c r="G301" s="53"/>
    </row>
    <row r="302">
      <c r="B302" s="53"/>
      <c r="C302" s="53"/>
      <c r="D302" s="53"/>
      <c r="E302" s="53"/>
      <c r="F302" s="53"/>
      <c r="G302" s="53"/>
    </row>
    <row r="303">
      <c r="B303" s="53"/>
      <c r="C303" s="53"/>
      <c r="D303" s="53"/>
      <c r="E303" s="53"/>
      <c r="F303" s="53"/>
      <c r="G303" s="53"/>
    </row>
    <row r="304">
      <c r="B304" s="53"/>
      <c r="C304" s="53"/>
      <c r="D304" s="53"/>
      <c r="E304" s="53"/>
      <c r="F304" s="53"/>
      <c r="G304" s="53"/>
    </row>
    <row r="305">
      <c r="B305" s="53"/>
      <c r="C305" s="53"/>
      <c r="D305" s="53"/>
      <c r="E305" s="53"/>
      <c r="F305" s="53"/>
      <c r="G305" s="53"/>
    </row>
    <row r="306">
      <c r="B306" s="53"/>
      <c r="C306" s="53"/>
      <c r="D306" s="53"/>
      <c r="E306" s="53"/>
      <c r="F306" s="53"/>
      <c r="G306" s="53"/>
    </row>
    <row r="307">
      <c r="B307" s="53"/>
      <c r="C307" s="53"/>
      <c r="D307" s="53"/>
      <c r="E307" s="53"/>
      <c r="F307" s="53"/>
      <c r="G307" s="53"/>
    </row>
    <row r="308">
      <c r="B308" s="53"/>
      <c r="C308" s="53"/>
      <c r="D308" s="53"/>
      <c r="E308" s="53"/>
      <c r="F308" s="53"/>
      <c r="G308" s="53"/>
    </row>
    <row r="309">
      <c r="B309" s="53"/>
      <c r="C309" s="53"/>
      <c r="D309" s="53"/>
      <c r="E309" s="53"/>
      <c r="F309" s="53"/>
      <c r="G309" s="53"/>
    </row>
    <row r="310">
      <c r="B310" s="53"/>
      <c r="C310" s="53"/>
      <c r="D310" s="53"/>
      <c r="E310" s="53"/>
      <c r="F310" s="53"/>
      <c r="G310" s="53"/>
    </row>
    <row r="311">
      <c r="B311" s="53"/>
      <c r="C311" s="53"/>
      <c r="D311" s="53"/>
      <c r="E311" s="53"/>
      <c r="F311" s="53"/>
      <c r="G311" s="53"/>
    </row>
    <row r="312">
      <c r="B312" s="53"/>
      <c r="C312" s="53"/>
      <c r="D312" s="53"/>
      <c r="E312" s="53"/>
      <c r="F312" s="53"/>
      <c r="G312" s="53"/>
    </row>
    <row r="313">
      <c r="B313" s="53"/>
      <c r="C313" s="53"/>
      <c r="D313" s="53"/>
      <c r="E313" s="53"/>
      <c r="F313" s="53"/>
      <c r="G313" s="53"/>
    </row>
    <row r="314">
      <c r="B314" s="53"/>
      <c r="C314" s="53"/>
      <c r="D314" s="53"/>
      <c r="E314" s="53"/>
      <c r="F314" s="53"/>
      <c r="G314" s="53"/>
    </row>
    <row r="315">
      <c r="B315" s="53"/>
      <c r="C315" s="53"/>
      <c r="D315" s="53"/>
      <c r="E315" s="53"/>
      <c r="F315" s="53"/>
      <c r="G315" s="53"/>
    </row>
    <row r="316">
      <c r="B316" s="53"/>
      <c r="C316" s="53"/>
      <c r="D316" s="53"/>
      <c r="E316" s="53"/>
      <c r="F316" s="53"/>
      <c r="G316" s="53"/>
    </row>
    <row r="317">
      <c r="B317" s="53"/>
      <c r="C317" s="53"/>
      <c r="D317" s="53"/>
      <c r="E317" s="53"/>
      <c r="F317" s="53"/>
      <c r="G317" s="53"/>
    </row>
    <row r="318">
      <c r="B318" s="53"/>
      <c r="C318" s="53"/>
      <c r="D318" s="53"/>
      <c r="E318" s="53"/>
      <c r="F318" s="53"/>
      <c r="G318" s="53"/>
    </row>
    <row r="319">
      <c r="B319" s="53"/>
      <c r="C319" s="53"/>
      <c r="D319" s="53"/>
      <c r="E319" s="53"/>
      <c r="F319" s="53"/>
      <c r="G319" s="53"/>
    </row>
    <row r="320">
      <c r="B320" s="53"/>
      <c r="C320" s="53"/>
      <c r="D320" s="53"/>
      <c r="E320" s="53"/>
      <c r="F320" s="53"/>
      <c r="G320" s="53"/>
    </row>
    <row r="321">
      <c r="B321" s="53"/>
      <c r="C321" s="53"/>
      <c r="D321" s="53"/>
      <c r="E321" s="53"/>
      <c r="F321" s="53"/>
      <c r="G321" s="53"/>
    </row>
    <row r="322">
      <c r="B322" s="53"/>
      <c r="C322" s="53"/>
      <c r="D322" s="53"/>
      <c r="E322" s="53"/>
      <c r="F322" s="53"/>
      <c r="G322" s="53"/>
    </row>
    <row r="323">
      <c r="B323" s="53"/>
      <c r="C323" s="53"/>
      <c r="D323" s="53"/>
      <c r="E323" s="53"/>
      <c r="F323" s="53"/>
      <c r="G323" s="53"/>
    </row>
    <row r="324">
      <c r="B324" s="53"/>
      <c r="C324" s="53"/>
      <c r="D324" s="53"/>
      <c r="E324" s="53"/>
      <c r="F324" s="53"/>
      <c r="G324" s="53"/>
    </row>
    <row r="325">
      <c r="B325" s="53"/>
      <c r="C325" s="53"/>
      <c r="D325" s="53"/>
      <c r="E325" s="53"/>
      <c r="F325" s="53"/>
      <c r="G325" s="53"/>
    </row>
    <row r="326">
      <c r="B326" s="53"/>
      <c r="C326" s="53"/>
      <c r="D326" s="53"/>
      <c r="E326" s="53"/>
      <c r="F326" s="53"/>
      <c r="G326" s="53"/>
    </row>
    <row r="327">
      <c r="B327" s="53"/>
      <c r="C327" s="53"/>
      <c r="D327" s="53"/>
      <c r="E327" s="53"/>
      <c r="F327" s="53"/>
      <c r="G327" s="53"/>
    </row>
    <row r="328">
      <c r="B328" s="53"/>
      <c r="C328" s="53"/>
      <c r="D328" s="53"/>
      <c r="E328" s="53"/>
      <c r="F328" s="53"/>
      <c r="G328" s="53"/>
    </row>
    <row r="329">
      <c r="B329" s="53"/>
      <c r="C329" s="53"/>
      <c r="D329" s="53"/>
      <c r="E329" s="53"/>
      <c r="F329" s="53"/>
      <c r="G329" s="53"/>
    </row>
    <row r="330">
      <c r="B330" s="53"/>
      <c r="C330" s="53"/>
      <c r="D330" s="53"/>
      <c r="E330" s="53"/>
      <c r="F330" s="53"/>
      <c r="G330" s="53"/>
    </row>
    <row r="331">
      <c r="B331" s="53"/>
      <c r="C331" s="53"/>
      <c r="D331" s="53"/>
      <c r="E331" s="53"/>
      <c r="F331" s="53"/>
      <c r="G331" s="53"/>
    </row>
    <row r="332">
      <c r="B332" s="53"/>
      <c r="C332" s="53"/>
      <c r="D332" s="53"/>
      <c r="E332" s="53"/>
      <c r="F332" s="53"/>
      <c r="G332" s="53"/>
    </row>
    <row r="333">
      <c r="B333" s="53"/>
      <c r="C333" s="53"/>
      <c r="D333" s="53"/>
      <c r="E333" s="53"/>
      <c r="F333" s="53"/>
      <c r="G333" s="53"/>
    </row>
    <row r="334">
      <c r="B334" s="53"/>
      <c r="C334" s="53"/>
      <c r="D334" s="53"/>
      <c r="E334" s="53"/>
      <c r="F334" s="53"/>
      <c r="G334" s="53"/>
    </row>
    <row r="335">
      <c r="B335" s="53"/>
      <c r="C335" s="53"/>
      <c r="D335" s="53"/>
      <c r="E335" s="53"/>
      <c r="F335" s="53"/>
      <c r="G335" s="53"/>
    </row>
    <row r="336">
      <c r="B336" s="53"/>
      <c r="C336" s="53"/>
      <c r="D336" s="53"/>
      <c r="E336" s="53"/>
      <c r="F336" s="53"/>
      <c r="G336" s="53"/>
    </row>
    <row r="337">
      <c r="B337" s="53"/>
      <c r="C337" s="53"/>
      <c r="D337" s="53"/>
      <c r="E337" s="53"/>
      <c r="F337" s="53"/>
      <c r="G337" s="53"/>
    </row>
    <row r="338">
      <c r="B338" s="53"/>
      <c r="C338" s="53"/>
      <c r="D338" s="53"/>
      <c r="E338" s="53"/>
      <c r="F338" s="53"/>
      <c r="G338" s="53"/>
    </row>
    <row r="339">
      <c r="B339" s="53"/>
      <c r="C339" s="53"/>
      <c r="D339" s="53"/>
      <c r="E339" s="53"/>
      <c r="F339" s="53"/>
      <c r="G339" s="53"/>
    </row>
    <row r="340">
      <c r="B340" s="53"/>
      <c r="C340" s="53"/>
      <c r="D340" s="53"/>
      <c r="E340" s="53"/>
      <c r="F340" s="53"/>
      <c r="G340" s="53"/>
    </row>
    <row r="341">
      <c r="B341" s="53"/>
      <c r="C341" s="53"/>
      <c r="D341" s="53"/>
      <c r="E341" s="53"/>
      <c r="F341" s="53"/>
      <c r="G341" s="53"/>
    </row>
    <row r="342">
      <c r="B342" s="53"/>
      <c r="C342" s="53"/>
      <c r="D342" s="53"/>
      <c r="E342" s="53"/>
      <c r="F342" s="53"/>
      <c r="G342" s="53"/>
    </row>
    <row r="343">
      <c r="B343" s="53"/>
      <c r="C343" s="53"/>
      <c r="D343" s="53"/>
      <c r="E343" s="53"/>
      <c r="F343" s="53"/>
      <c r="G343" s="53"/>
    </row>
    <row r="344">
      <c r="B344" s="53"/>
      <c r="C344" s="53"/>
      <c r="D344" s="53"/>
      <c r="E344" s="53"/>
      <c r="F344" s="53"/>
      <c r="G344" s="53"/>
    </row>
    <row r="345">
      <c r="B345" s="53"/>
      <c r="C345" s="53"/>
      <c r="D345" s="53"/>
      <c r="E345" s="53"/>
      <c r="F345" s="53"/>
      <c r="G345" s="53"/>
    </row>
    <row r="346">
      <c r="B346" s="53"/>
      <c r="C346" s="53"/>
      <c r="D346" s="53"/>
      <c r="E346" s="53"/>
      <c r="F346" s="53"/>
      <c r="G346" s="53"/>
    </row>
    <row r="347">
      <c r="B347" s="53"/>
      <c r="C347" s="53"/>
      <c r="D347" s="53"/>
      <c r="E347" s="53"/>
      <c r="F347" s="53"/>
      <c r="G347" s="53"/>
    </row>
    <row r="348">
      <c r="B348" s="53"/>
      <c r="C348" s="53"/>
      <c r="D348" s="53"/>
      <c r="E348" s="53"/>
      <c r="F348" s="53"/>
      <c r="G348" s="53"/>
    </row>
    <row r="349">
      <c r="B349" s="53"/>
      <c r="C349" s="53"/>
      <c r="D349" s="53"/>
      <c r="E349" s="53"/>
      <c r="F349" s="53"/>
      <c r="G349" s="53"/>
    </row>
    <row r="350">
      <c r="B350" s="53"/>
      <c r="C350" s="53"/>
      <c r="D350" s="53"/>
      <c r="E350" s="53"/>
      <c r="F350" s="53"/>
      <c r="G350" s="53"/>
    </row>
    <row r="351">
      <c r="B351" s="53"/>
      <c r="C351" s="53"/>
      <c r="D351" s="53"/>
      <c r="E351" s="53"/>
      <c r="F351" s="53"/>
      <c r="G351" s="53"/>
    </row>
    <row r="352">
      <c r="B352" s="53"/>
      <c r="C352" s="53"/>
      <c r="D352" s="53"/>
      <c r="E352" s="53"/>
      <c r="F352" s="53"/>
      <c r="G352" s="53"/>
    </row>
    <row r="353">
      <c r="B353" s="53"/>
      <c r="C353" s="53"/>
      <c r="D353" s="53"/>
      <c r="E353" s="53"/>
      <c r="F353" s="53"/>
      <c r="G353" s="53"/>
    </row>
    <row r="354">
      <c r="B354" s="53"/>
      <c r="C354" s="53"/>
      <c r="D354" s="53"/>
      <c r="E354" s="53"/>
      <c r="F354" s="53"/>
      <c r="G354" s="53"/>
    </row>
    <row r="355">
      <c r="B355" s="53"/>
      <c r="C355" s="53"/>
      <c r="D355" s="53"/>
      <c r="E355" s="53"/>
      <c r="F355" s="53"/>
      <c r="G355" s="53"/>
    </row>
    <row r="356">
      <c r="B356" s="53"/>
      <c r="C356" s="53"/>
      <c r="D356" s="53"/>
      <c r="E356" s="53"/>
      <c r="F356" s="53"/>
      <c r="G356" s="53"/>
    </row>
    <row r="357">
      <c r="B357" s="53"/>
      <c r="C357" s="53"/>
      <c r="D357" s="53"/>
      <c r="E357" s="53"/>
      <c r="F357" s="53"/>
      <c r="G357" s="53"/>
    </row>
    <row r="358">
      <c r="B358" s="53"/>
      <c r="C358" s="53"/>
      <c r="D358" s="53"/>
      <c r="E358" s="53"/>
      <c r="F358" s="53"/>
      <c r="G358" s="53"/>
    </row>
    <row r="359">
      <c r="B359" s="53"/>
      <c r="C359" s="53"/>
      <c r="D359" s="53"/>
      <c r="E359" s="53"/>
      <c r="F359" s="53"/>
      <c r="G359" s="53"/>
    </row>
    <row r="360">
      <c r="B360" s="53"/>
      <c r="C360" s="53"/>
      <c r="D360" s="53"/>
      <c r="E360" s="53"/>
      <c r="F360" s="53"/>
      <c r="G360" s="53"/>
    </row>
    <row r="361">
      <c r="B361" s="53"/>
      <c r="C361" s="53"/>
      <c r="D361" s="53"/>
      <c r="E361" s="53"/>
      <c r="F361" s="53"/>
      <c r="G361" s="53"/>
    </row>
    <row r="362">
      <c r="B362" s="53"/>
      <c r="C362" s="53"/>
      <c r="D362" s="53"/>
      <c r="E362" s="53"/>
      <c r="F362" s="53"/>
      <c r="G362" s="53"/>
    </row>
    <row r="363">
      <c r="B363" s="53"/>
      <c r="C363" s="53"/>
      <c r="D363" s="53"/>
      <c r="E363" s="53"/>
      <c r="F363" s="53"/>
      <c r="G363" s="53"/>
    </row>
    <row r="364">
      <c r="B364" s="53"/>
      <c r="C364" s="53"/>
      <c r="D364" s="53"/>
      <c r="E364" s="53"/>
      <c r="F364" s="53"/>
      <c r="G364" s="53"/>
    </row>
    <row r="365">
      <c r="B365" s="53"/>
      <c r="C365" s="53"/>
      <c r="D365" s="53"/>
      <c r="E365" s="53"/>
      <c r="F365" s="53"/>
      <c r="G365" s="53"/>
    </row>
    <row r="366">
      <c r="B366" s="53"/>
      <c r="C366" s="53"/>
      <c r="D366" s="53"/>
      <c r="E366" s="53"/>
      <c r="F366" s="53"/>
      <c r="G366" s="53"/>
    </row>
    <row r="367">
      <c r="B367" s="53"/>
      <c r="C367" s="53"/>
      <c r="D367" s="53"/>
      <c r="E367" s="53"/>
      <c r="F367" s="53"/>
      <c r="G367" s="53"/>
    </row>
    <row r="368">
      <c r="B368" s="53"/>
      <c r="C368" s="53"/>
      <c r="D368" s="53"/>
      <c r="E368" s="53"/>
      <c r="F368" s="53"/>
      <c r="G368" s="53"/>
    </row>
    <row r="369">
      <c r="B369" s="53"/>
      <c r="C369" s="53"/>
      <c r="D369" s="53"/>
      <c r="E369" s="53"/>
      <c r="F369" s="53"/>
      <c r="G369" s="53"/>
    </row>
    <row r="370">
      <c r="B370" s="53"/>
      <c r="C370" s="53"/>
      <c r="D370" s="53"/>
      <c r="E370" s="53"/>
      <c r="F370" s="53"/>
      <c r="G370" s="53"/>
    </row>
    <row r="371">
      <c r="B371" s="53"/>
      <c r="C371" s="53"/>
      <c r="D371" s="53"/>
      <c r="E371" s="53"/>
      <c r="F371" s="53"/>
      <c r="G371" s="53"/>
    </row>
    <row r="372">
      <c r="B372" s="53"/>
      <c r="C372" s="53"/>
      <c r="D372" s="53"/>
      <c r="E372" s="53"/>
      <c r="F372" s="53"/>
      <c r="G372" s="53"/>
    </row>
    <row r="373">
      <c r="B373" s="53"/>
      <c r="C373" s="53"/>
      <c r="D373" s="53"/>
      <c r="E373" s="53"/>
      <c r="F373" s="53"/>
      <c r="G373" s="53"/>
    </row>
    <row r="374">
      <c r="B374" s="53"/>
      <c r="C374" s="53"/>
      <c r="D374" s="53"/>
      <c r="E374" s="53"/>
      <c r="F374" s="53"/>
      <c r="G374" s="53"/>
    </row>
    <row r="375">
      <c r="B375" s="53"/>
      <c r="C375" s="53"/>
      <c r="D375" s="53"/>
      <c r="E375" s="53"/>
      <c r="F375" s="53"/>
      <c r="G375" s="53"/>
    </row>
    <row r="376">
      <c r="B376" s="53"/>
      <c r="C376" s="53"/>
      <c r="D376" s="53"/>
      <c r="E376" s="53"/>
      <c r="F376" s="53"/>
      <c r="G376" s="53"/>
    </row>
    <row r="377">
      <c r="B377" s="53"/>
      <c r="C377" s="53"/>
      <c r="D377" s="53"/>
      <c r="E377" s="53"/>
      <c r="F377" s="53"/>
      <c r="G377" s="53"/>
    </row>
    <row r="378">
      <c r="B378" s="53"/>
      <c r="C378" s="53"/>
      <c r="D378" s="53"/>
      <c r="E378" s="53"/>
      <c r="F378" s="53"/>
      <c r="G378" s="53"/>
    </row>
    <row r="379">
      <c r="B379" s="53"/>
      <c r="C379" s="53"/>
      <c r="D379" s="53"/>
      <c r="E379" s="53"/>
      <c r="F379" s="53"/>
      <c r="G379" s="53"/>
    </row>
    <row r="380">
      <c r="B380" s="53"/>
      <c r="C380" s="53"/>
      <c r="D380" s="53"/>
      <c r="E380" s="53"/>
      <c r="F380" s="53"/>
      <c r="G380" s="53"/>
    </row>
    <row r="381">
      <c r="B381" s="53"/>
      <c r="C381" s="53"/>
      <c r="D381" s="53"/>
      <c r="E381" s="53"/>
      <c r="F381" s="53"/>
      <c r="G381" s="53"/>
    </row>
    <row r="382">
      <c r="B382" s="53"/>
      <c r="C382" s="53"/>
      <c r="D382" s="53"/>
      <c r="E382" s="53"/>
      <c r="F382" s="53"/>
      <c r="G382" s="53"/>
    </row>
    <row r="383">
      <c r="B383" s="53"/>
      <c r="C383" s="53"/>
      <c r="D383" s="53"/>
      <c r="E383" s="53"/>
      <c r="F383" s="53"/>
      <c r="G383" s="53"/>
    </row>
    <row r="384">
      <c r="B384" s="53"/>
      <c r="C384" s="53"/>
      <c r="D384" s="53"/>
      <c r="E384" s="53"/>
      <c r="F384" s="53"/>
      <c r="G384" s="53"/>
    </row>
    <row r="385">
      <c r="B385" s="53"/>
      <c r="C385" s="53"/>
      <c r="D385" s="53"/>
      <c r="E385" s="53"/>
      <c r="F385" s="53"/>
      <c r="G385" s="53"/>
    </row>
    <row r="386">
      <c r="B386" s="53"/>
      <c r="C386" s="53"/>
      <c r="D386" s="53"/>
      <c r="E386" s="53"/>
      <c r="F386" s="53"/>
      <c r="G386" s="53"/>
    </row>
    <row r="387">
      <c r="B387" s="53"/>
      <c r="C387" s="53"/>
      <c r="D387" s="53"/>
      <c r="E387" s="53"/>
      <c r="F387" s="53"/>
      <c r="G387" s="53"/>
    </row>
    <row r="388">
      <c r="B388" s="53"/>
      <c r="C388" s="53"/>
      <c r="D388" s="53"/>
      <c r="E388" s="53"/>
      <c r="F388" s="53"/>
      <c r="G388" s="53"/>
    </row>
    <row r="389">
      <c r="B389" s="53"/>
      <c r="C389" s="53"/>
      <c r="D389" s="53"/>
      <c r="E389" s="53"/>
      <c r="F389" s="53"/>
      <c r="G389" s="53"/>
    </row>
    <row r="390">
      <c r="B390" s="53"/>
      <c r="C390" s="53"/>
      <c r="D390" s="53"/>
      <c r="E390" s="53"/>
      <c r="F390" s="53"/>
      <c r="G390" s="53"/>
    </row>
    <row r="391">
      <c r="B391" s="53"/>
      <c r="C391" s="53"/>
      <c r="D391" s="53"/>
      <c r="E391" s="53"/>
      <c r="F391" s="53"/>
      <c r="G391" s="53"/>
    </row>
    <row r="392">
      <c r="B392" s="53"/>
      <c r="C392" s="53"/>
      <c r="D392" s="53"/>
      <c r="E392" s="53"/>
      <c r="F392" s="53"/>
      <c r="G392" s="53"/>
    </row>
    <row r="393">
      <c r="B393" s="53"/>
      <c r="C393" s="53"/>
      <c r="D393" s="53"/>
      <c r="E393" s="53"/>
      <c r="F393" s="53"/>
      <c r="G393" s="53"/>
    </row>
    <row r="394">
      <c r="B394" s="53"/>
      <c r="C394" s="53"/>
      <c r="D394" s="53"/>
      <c r="E394" s="53"/>
      <c r="F394" s="53"/>
      <c r="G394" s="53"/>
    </row>
    <row r="395">
      <c r="B395" s="53"/>
      <c r="C395" s="53"/>
      <c r="D395" s="53"/>
      <c r="E395" s="53"/>
      <c r="F395" s="53"/>
      <c r="G395" s="53"/>
    </row>
    <row r="396">
      <c r="B396" s="53"/>
      <c r="C396" s="53"/>
      <c r="D396" s="53"/>
      <c r="E396" s="53"/>
      <c r="F396" s="53"/>
      <c r="G396" s="53"/>
    </row>
    <row r="397">
      <c r="B397" s="53"/>
      <c r="C397" s="53"/>
      <c r="D397" s="53"/>
      <c r="E397" s="53"/>
      <c r="F397" s="53"/>
      <c r="G397" s="53"/>
    </row>
    <row r="398">
      <c r="B398" s="53"/>
      <c r="C398" s="53"/>
      <c r="D398" s="53"/>
      <c r="E398" s="53"/>
      <c r="F398" s="53"/>
      <c r="G398" s="53"/>
    </row>
    <row r="399">
      <c r="B399" s="53"/>
      <c r="C399" s="53"/>
      <c r="D399" s="53"/>
      <c r="E399" s="53"/>
      <c r="F399" s="53"/>
      <c r="G399" s="53"/>
    </row>
    <row r="400">
      <c r="B400" s="53"/>
      <c r="C400" s="53"/>
      <c r="D400" s="53"/>
      <c r="E400" s="53"/>
      <c r="F400" s="53"/>
      <c r="G400" s="53"/>
    </row>
    <row r="401">
      <c r="B401" s="53"/>
      <c r="C401" s="53"/>
      <c r="D401" s="53"/>
      <c r="E401" s="53"/>
      <c r="F401" s="53"/>
      <c r="G401" s="53"/>
    </row>
    <row r="402">
      <c r="B402" s="53"/>
      <c r="C402" s="53"/>
      <c r="D402" s="53"/>
      <c r="E402" s="53"/>
      <c r="F402" s="53"/>
      <c r="G402" s="53"/>
    </row>
    <row r="403">
      <c r="B403" s="53"/>
      <c r="C403" s="53"/>
      <c r="D403" s="53"/>
      <c r="E403" s="53"/>
      <c r="F403" s="53"/>
      <c r="G403" s="53"/>
    </row>
    <row r="404">
      <c r="B404" s="53"/>
      <c r="C404" s="53"/>
      <c r="D404" s="53"/>
      <c r="E404" s="53"/>
      <c r="F404" s="53"/>
      <c r="G404" s="53"/>
    </row>
    <row r="405">
      <c r="B405" s="53"/>
      <c r="C405" s="53"/>
      <c r="D405" s="53"/>
      <c r="E405" s="53"/>
      <c r="F405" s="53"/>
      <c r="G405" s="53"/>
    </row>
    <row r="406">
      <c r="B406" s="53"/>
      <c r="C406" s="53"/>
      <c r="D406" s="53"/>
      <c r="E406" s="53"/>
      <c r="F406" s="53"/>
      <c r="G406" s="53"/>
    </row>
    <row r="407">
      <c r="B407" s="53"/>
      <c r="C407" s="53"/>
      <c r="D407" s="53"/>
      <c r="E407" s="53"/>
      <c r="F407" s="53"/>
      <c r="G407" s="53"/>
    </row>
    <row r="408">
      <c r="B408" s="53"/>
      <c r="C408" s="53"/>
      <c r="D408" s="53"/>
      <c r="E408" s="53"/>
      <c r="F408" s="53"/>
      <c r="G408" s="53"/>
    </row>
    <row r="409">
      <c r="B409" s="53"/>
      <c r="C409" s="53"/>
      <c r="D409" s="53"/>
      <c r="E409" s="53"/>
      <c r="F409" s="53"/>
      <c r="G409" s="53"/>
    </row>
    <row r="410">
      <c r="B410" s="53"/>
      <c r="C410" s="53"/>
      <c r="D410" s="53"/>
      <c r="E410" s="53"/>
      <c r="F410" s="53"/>
      <c r="G410" s="53"/>
    </row>
    <row r="411">
      <c r="B411" s="53"/>
      <c r="C411" s="53"/>
      <c r="D411" s="53"/>
      <c r="E411" s="53"/>
      <c r="F411" s="53"/>
      <c r="G411" s="53"/>
    </row>
    <row r="412">
      <c r="B412" s="53"/>
      <c r="C412" s="53"/>
      <c r="D412" s="53"/>
      <c r="E412" s="53"/>
      <c r="F412" s="53"/>
      <c r="G412" s="53"/>
    </row>
    <row r="413">
      <c r="B413" s="53"/>
      <c r="C413" s="53"/>
      <c r="D413" s="53"/>
      <c r="E413" s="53"/>
      <c r="F413" s="53"/>
      <c r="G413" s="53"/>
    </row>
    <row r="414">
      <c r="B414" s="53"/>
      <c r="C414" s="53"/>
      <c r="D414" s="53"/>
      <c r="E414" s="53"/>
      <c r="F414" s="53"/>
      <c r="G414" s="53"/>
    </row>
    <row r="415">
      <c r="B415" s="53"/>
      <c r="C415" s="53"/>
      <c r="D415" s="53"/>
      <c r="E415" s="53"/>
      <c r="F415" s="53"/>
      <c r="G415" s="53"/>
    </row>
    <row r="416">
      <c r="B416" s="53"/>
      <c r="C416" s="53"/>
      <c r="D416" s="53"/>
      <c r="E416" s="53"/>
      <c r="F416" s="53"/>
      <c r="G416" s="53"/>
    </row>
    <row r="417">
      <c r="B417" s="53"/>
      <c r="C417" s="53"/>
      <c r="D417" s="53"/>
      <c r="E417" s="53"/>
      <c r="F417" s="53"/>
      <c r="G417" s="53"/>
    </row>
    <row r="418">
      <c r="B418" s="53"/>
      <c r="C418" s="53"/>
      <c r="D418" s="53"/>
      <c r="E418" s="53"/>
      <c r="F418" s="53"/>
      <c r="G418" s="53"/>
    </row>
    <row r="419">
      <c r="B419" s="53"/>
      <c r="C419" s="53"/>
      <c r="D419" s="53"/>
      <c r="E419" s="53"/>
      <c r="F419" s="53"/>
      <c r="G419" s="53"/>
    </row>
    <row r="420">
      <c r="B420" s="53"/>
      <c r="C420" s="53"/>
      <c r="D420" s="53"/>
      <c r="E420" s="53"/>
      <c r="F420" s="53"/>
      <c r="G420" s="53"/>
    </row>
    <row r="421">
      <c r="B421" s="53"/>
      <c r="C421" s="53"/>
      <c r="D421" s="53"/>
      <c r="E421" s="53"/>
      <c r="F421" s="53"/>
      <c r="G421" s="53"/>
    </row>
    <row r="422">
      <c r="B422" s="53"/>
      <c r="C422" s="53"/>
      <c r="D422" s="53"/>
      <c r="E422" s="53"/>
      <c r="F422" s="53"/>
      <c r="G422" s="53"/>
    </row>
    <row r="423">
      <c r="B423" s="53"/>
      <c r="C423" s="53"/>
      <c r="D423" s="53"/>
      <c r="E423" s="53"/>
      <c r="F423" s="53"/>
      <c r="G423" s="53"/>
    </row>
    <row r="424">
      <c r="B424" s="53"/>
      <c r="C424" s="53"/>
      <c r="D424" s="53"/>
      <c r="E424" s="53"/>
      <c r="F424" s="53"/>
      <c r="G424" s="53"/>
    </row>
    <row r="425">
      <c r="B425" s="53"/>
      <c r="C425" s="53"/>
      <c r="D425" s="53"/>
      <c r="E425" s="53"/>
      <c r="F425" s="53"/>
      <c r="G425" s="53"/>
    </row>
    <row r="426">
      <c r="B426" s="53"/>
      <c r="C426" s="53"/>
      <c r="D426" s="53"/>
      <c r="E426" s="53"/>
      <c r="F426" s="53"/>
      <c r="G426" s="53"/>
    </row>
    <row r="427">
      <c r="B427" s="53"/>
      <c r="C427" s="53"/>
      <c r="D427" s="53"/>
      <c r="E427" s="53"/>
      <c r="F427" s="53"/>
      <c r="G427" s="53"/>
    </row>
    <row r="428">
      <c r="B428" s="53"/>
      <c r="C428" s="53"/>
      <c r="D428" s="53"/>
      <c r="E428" s="53"/>
      <c r="F428" s="53"/>
      <c r="G428" s="53"/>
    </row>
    <row r="429">
      <c r="B429" s="53"/>
      <c r="C429" s="53"/>
      <c r="D429" s="53"/>
      <c r="E429" s="53"/>
      <c r="F429" s="53"/>
      <c r="G429" s="53"/>
    </row>
    <row r="430">
      <c r="B430" s="53"/>
      <c r="C430" s="53"/>
      <c r="D430" s="53"/>
      <c r="E430" s="53"/>
      <c r="F430" s="53"/>
      <c r="G430" s="53"/>
    </row>
    <row r="431">
      <c r="B431" s="53"/>
      <c r="C431" s="53"/>
      <c r="D431" s="53"/>
      <c r="E431" s="53"/>
      <c r="F431" s="53"/>
      <c r="G431" s="53"/>
    </row>
    <row r="432">
      <c r="B432" s="53"/>
      <c r="C432" s="53"/>
      <c r="D432" s="53"/>
      <c r="E432" s="53"/>
      <c r="F432" s="53"/>
      <c r="G432" s="53"/>
    </row>
    <row r="433">
      <c r="B433" s="53"/>
      <c r="C433" s="53"/>
      <c r="D433" s="53"/>
      <c r="E433" s="53"/>
      <c r="F433" s="53"/>
      <c r="G433" s="53"/>
    </row>
    <row r="434">
      <c r="B434" s="53"/>
      <c r="C434" s="53"/>
      <c r="D434" s="53"/>
      <c r="E434" s="53"/>
      <c r="F434" s="53"/>
      <c r="G434" s="53"/>
    </row>
    <row r="435">
      <c r="B435" s="53"/>
      <c r="C435" s="53"/>
      <c r="D435" s="53"/>
      <c r="E435" s="53"/>
      <c r="F435" s="53"/>
      <c r="G435" s="53"/>
    </row>
    <row r="436">
      <c r="B436" s="53"/>
      <c r="C436" s="53"/>
      <c r="D436" s="53"/>
      <c r="E436" s="53"/>
      <c r="F436" s="53"/>
      <c r="G436" s="53"/>
    </row>
    <row r="437">
      <c r="B437" s="53"/>
      <c r="C437" s="53"/>
      <c r="D437" s="53"/>
      <c r="E437" s="53"/>
      <c r="F437" s="53"/>
      <c r="G437" s="53"/>
    </row>
    <row r="438">
      <c r="B438" s="53"/>
      <c r="C438" s="53"/>
      <c r="D438" s="53"/>
      <c r="E438" s="53"/>
      <c r="F438" s="53"/>
      <c r="G438" s="53"/>
    </row>
    <row r="439">
      <c r="B439" s="53"/>
      <c r="C439" s="53"/>
      <c r="D439" s="53"/>
      <c r="E439" s="53"/>
      <c r="F439" s="53"/>
      <c r="G439" s="53"/>
    </row>
    <row r="440">
      <c r="B440" s="53"/>
      <c r="C440" s="53"/>
      <c r="D440" s="53"/>
      <c r="E440" s="53"/>
      <c r="F440" s="53"/>
      <c r="G440" s="53"/>
    </row>
    <row r="441">
      <c r="B441" s="53"/>
      <c r="C441" s="53"/>
      <c r="D441" s="53"/>
      <c r="E441" s="53"/>
      <c r="F441" s="53"/>
      <c r="G441" s="53"/>
    </row>
    <row r="442">
      <c r="B442" s="53"/>
      <c r="C442" s="53"/>
      <c r="D442" s="53"/>
      <c r="E442" s="53"/>
      <c r="F442" s="53"/>
      <c r="G442" s="53"/>
    </row>
    <row r="443">
      <c r="B443" s="53"/>
      <c r="C443" s="53"/>
      <c r="D443" s="53"/>
      <c r="E443" s="53"/>
      <c r="F443" s="53"/>
      <c r="G443" s="53"/>
    </row>
    <row r="444">
      <c r="B444" s="53"/>
      <c r="C444" s="53"/>
      <c r="D444" s="53"/>
      <c r="E444" s="53"/>
      <c r="F444" s="53"/>
      <c r="G444" s="53"/>
    </row>
    <row r="445">
      <c r="B445" s="53"/>
      <c r="C445" s="53"/>
      <c r="D445" s="53"/>
      <c r="E445" s="53"/>
      <c r="F445" s="53"/>
      <c r="G445" s="53"/>
    </row>
    <row r="446">
      <c r="B446" s="53"/>
      <c r="C446" s="53"/>
      <c r="D446" s="53"/>
      <c r="E446" s="53"/>
      <c r="F446" s="53"/>
      <c r="G446" s="53"/>
    </row>
    <row r="447">
      <c r="B447" s="53"/>
      <c r="C447" s="53"/>
      <c r="D447" s="53"/>
      <c r="E447" s="53"/>
      <c r="F447" s="53"/>
      <c r="G447" s="53"/>
    </row>
    <row r="448">
      <c r="B448" s="53"/>
      <c r="C448" s="53"/>
      <c r="D448" s="53"/>
      <c r="E448" s="53"/>
      <c r="F448" s="53"/>
      <c r="G448" s="53"/>
    </row>
    <row r="449">
      <c r="B449" s="53"/>
      <c r="C449" s="53"/>
      <c r="D449" s="53"/>
      <c r="E449" s="53"/>
      <c r="F449" s="53"/>
      <c r="G449" s="53"/>
    </row>
    <row r="450">
      <c r="B450" s="53"/>
      <c r="C450" s="53"/>
      <c r="D450" s="53"/>
      <c r="E450" s="53"/>
      <c r="F450" s="53"/>
      <c r="G450" s="53"/>
    </row>
    <row r="451">
      <c r="B451" s="53"/>
      <c r="C451" s="53"/>
      <c r="D451" s="53"/>
      <c r="E451" s="53"/>
      <c r="F451" s="53"/>
      <c r="G451" s="53"/>
    </row>
    <row r="452">
      <c r="B452" s="53"/>
      <c r="C452" s="53"/>
      <c r="D452" s="53"/>
      <c r="E452" s="53"/>
      <c r="F452" s="53"/>
      <c r="G452" s="53"/>
    </row>
    <row r="453">
      <c r="B453" s="53"/>
      <c r="C453" s="53"/>
      <c r="D453" s="53"/>
      <c r="E453" s="53"/>
      <c r="F453" s="53"/>
      <c r="G453" s="53"/>
    </row>
    <row r="454">
      <c r="B454" s="53"/>
      <c r="C454" s="53"/>
      <c r="D454" s="53"/>
      <c r="E454" s="53"/>
      <c r="F454" s="53"/>
      <c r="G454" s="53"/>
    </row>
    <row r="455">
      <c r="B455" s="53"/>
      <c r="C455" s="53"/>
      <c r="D455" s="53"/>
      <c r="E455" s="53"/>
      <c r="F455" s="53"/>
      <c r="G455" s="53"/>
    </row>
    <row r="456">
      <c r="B456" s="53"/>
      <c r="C456" s="53"/>
      <c r="D456" s="53"/>
      <c r="E456" s="53"/>
      <c r="F456" s="53"/>
      <c r="G456" s="53"/>
    </row>
    <row r="457">
      <c r="B457" s="53"/>
      <c r="C457" s="53"/>
      <c r="D457" s="53"/>
      <c r="E457" s="53"/>
      <c r="F457" s="53"/>
      <c r="G457" s="53"/>
    </row>
    <row r="458">
      <c r="B458" s="53"/>
      <c r="C458" s="53"/>
      <c r="D458" s="53"/>
      <c r="E458" s="53"/>
      <c r="F458" s="53"/>
      <c r="G458" s="53"/>
    </row>
    <row r="459">
      <c r="B459" s="53"/>
      <c r="C459" s="53"/>
      <c r="D459" s="53"/>
      <c r="E459" s="53"/>
      <c r="F459" s="53"/>
      <c r="G459" s="53"/>
    </row>
    <row r="460">
      <c r="B460" s="53"/>
      <c r="C460" s="53"/>
      <c r="D460" s="53"/>
      <c r="E460" s="53"/>
      <c r="F460" s="53"/>
      <c r="G460" s="53"/>
    </row>
    <row r="461">
      <c r="B461" s="53"/>
      <c r="C461" s="53"/>
      <c r="D461" s="53"/>
      <c r="E461" s="53"/>
      <c r="F461" s="53"/>
      <c r="G461" s="53"/>
    </row>
    <row r="462">
      <c r="B462" s="53"/>
      <c r="C462" s="53"/>
      <c r="D462" s="53"/>
      <c r="E462" s="53"/>
      <c r="F462" s="53"/>
      <c r="G462" s="53"/>
    </row>
    <row r="463">
      <c r="B463" s="53"/>
      <c r="C463" s="53"/>
      <c r="D463" s="53"/>
      <c r="E463" s="53"/>
      <c r="F463" s="53"/>
      <c r="G463" s="53"/>
    </row>
    <row r="464">
      <c r="B464" s="53"/>
      <c r="C464" s="53"/>
      <c r="D464" s="53"/>
      <c r="E464" s="53"/>
      <c r="F464" s="53"/>
      <c r="G464" s="53"/>
    </row>
    <row r="465">
      <c r="B465" s="53"/>
      <c r="C465" s="53"/>
      <c r="D465" s="53"/>
      <c r="E465" s="53"/>
      <c r="F465" s="53"/>
      <c r="G465" s="53"/>
    </row>
    <row r="466">
      <c r="B466" s="53"/>
      <c r="C466" s="53"/>
      <c r="D466" s="53"/>
      <c r="E466" s="53"/>
      <c r="F466" s="53"/>
      <c r="G466" s="53"/>
    </row>
    <row r="467">
      <c r="B467" s="53"/>
      <c r="C467" s="53"/>
      <c r="D467" s="53"/>
      <c r="E467" s="53"/>
      <c r="F467" s="53"/>
      <c r="G467" s="53"/>
    </row>
    <row r="468">
      <c r="B468" s="53"/>
      <c r="C468" s="53"/>
      <c r="D468" s="53"/>
      <c r="E468" s="53"/>
      <c r="F468" s="53"/>
      <c r="G468" s="53"/>
    </row>
    <row r="469">
      <c r="B469" s="53"/>
      <c r="C469" s="53"/>
      <c r="D469" s="53"/>
      <c r="E469" s="53"/>
      <c r="F469" s="53"/>
      <c r="G469" s="53"/>
    </row>
    <row r="470">
      <c r="B470" s="53"/>
      <c r="C470" s="53"/>
      <c r="D470" s="53"/>
      <c r="E470" s="53"/>
      <c r="F470" s="53"/>
      <c r="G470" s="53"/>
    </row>
    <row r="471">
      <c r="B471" s="53"/>
      <c r="C471" s="53"/>
      <c r="D471" s="53"/>
      <c r="E471" s="53"/>
      <c r="F471" s="53"/>
      <c r="G471" s="53"/>
    </row>
    <row r="472">
      <c r="B472" s="53"/>
      <c r="C472" s="53"/>
      <c r="D472" s="53"/>
      <c r="E472" s="53"/>
      <c r="F472" s="53"/>
      <c r="G472" s="53"/>
    </row>
    <row r="473">
      <c r="B473" s="53"/>
      <c r="C473" s="53"/>
      <c r="D473" s="53"/>
      <c r="E473" s="53"/>
      <c r="F473" s="53"/>
      <c r="G473" s="53"/>
    </row>
    <row r="474">
      <c r="B474" s="53"/>
      <c r="C474" s="53"/>
      <c r="D474" s="53"/>
      <c r="E474" s="53"/>
      <c r="F474" s="53"/>
      <c r="G474" s="53"/>
    </row>
    <row r="475">
      <c r="B475" s="53"/>
      <c r="C475" s="53"/>
      <c r="D475" s="53"/>
      <c r="E475" s="53"/>
      <c r="F475" s="53"/>
      <c r="G475" s="53"/>
    </row>
    <row r="476">
      <c r="B476" s="53"/>
      <c r="C476" s="53"/>
      <c r="D476" s="53"/>
      <c r="E476" s="53"/>
      <c r="F476" s="53"/>
      <c r="G476" s="53"/>
    </row>
    <row r="477">
      <c r="B477" s="53"/>
      <c r="C477" s="53"/>
      <c r="D477" s="53"/>
      <c r="E477" s="53"/>
      <c r="F477" s="53"/>
      <c r="G477" s="53"/>
    </row>
    <row r="478">
      <c r="B478" s="53"/>
      <c r="C478" s="53"/>
      <c r="D478" s="53"/>
      <c r="E478" s="53"/>
      <c r="F478" s="53"/>
      <c r="G478" s="53"/>
    </row>
    <row r="479">
      <c r="B479" s="53"/>
      <c r="C479" s="53"/>
      <c r="D479" s="53"/>
      <c r="E479" s="53"/>
      <c r="F479" s="53"/>
      <c r="G479" s="53"/>
    </row>
    <row r="480">
      <c r="B480" s="53"/>
      <c r="C480" s="53"/>
      <c r="D480" s="53"/>
      <c r="E480" s="53"/>
      <c r="F480" s="53"/>
      <c r="G480" s="53"/>
    </row>
    <row r="481">
      <c r="B481" s="53"/>
      <c r="C481" s="53"/>
      <c r="D481" s="53"/>
      <c r="E481" s="53"/>
      <c r="F481" s="53"/>
      <c r="G481" s="53"/>
    </row>
    <row r="482">
      <c r="B482" s="53"/>
      <c r="C482" s="53"/>
      <c r="D482" s="53"/>
      <c r="E482" s="53"/>
      <c r="F482" s="53"/>
      <c r="G482" s="53"/>
    </row>
    <row r="483">
      <c r="B483" s="53"/>
      <c r="C483" s="53"/>
      <c r="D483" s="53"/>
      <c r="E483" s="53"/>
      <c r="F483" s="53"/>
      <c r="G483" s="53"/>
    </row>
    <row r="484">
      <c r="B484" s="53"/>
      <c r="C484" s="53"/>
      <c r="D484" s="53"/>
      <c r="E484" s="53"/>
      <c r="F484" s="53"/>
      <c r="G484" s="53"/>
    </row>
    <row r="485">
      <c r="B485" s="53"/>
      <c r="C485" s="53"/>
      <c r="D485" s="53"/>
      <c r="E485" s="53"/>
      <c r="F485" s="53"/>
      <c r="G485" s="53"/>
    </row>
    <row r="486">
      <c r="B486" s="53"/>
      <c r="C486" s="53"/>
      <c r="D486" s="53"/>
      <c r="E486" s="53"/>
      <c r="F486" s="53"/>
      <c r="G486" s="53"/>
    </row>
    <row r="487">
      <c r="B487" s="53"/>
      <c r="C487" s="53"/>
      <c r="D487" s="53"/>
      <c r="E487" s="53"/>
      <c r="F487" s="53"/>
      <c r="G487" s="53"/>
    </row>
    <row r="488">
      <c r="B488" s="53"/>
      <c r="C488" s="53"/>
      <c r="D488" s="53"/>
      <c r="E488" s="53"/>
      <c r="F488" s="53"/>
      <c r="G488" s="53"/>
    </row>
    <row r="489">
      <c r="B489" s="53"/>
      <c r="C489" s="53"/>
      <c r="D489" s="53"/>
      <c r="E489" s="53"/>
      <c r="F489" s="53"/>
      <c r="G489" s="53"/>
    </row>
    <row r="490">
      <c r="B490" s="53"/>
      <c r="C490" s="53"/>
      <c r="D490" s="53"/>
      <c r="E490" s="53"/>
      <c r="F490" s="53"/>
      <c r="G490" s="53"/>
    </row>
    <row r="491">
      <c r="B491" s="53"/>
      <c r="C491" s="53"/>
      <c r="D491" s="53"/>
      <c r="E491" s="53"/>
      <c r="F491" s="53"/>
      <c r="G491" s="53"/>
    </row>
    <row r="492">
      <c r="B492" s="53"/>
      <c r="C492" s="53"/>
      <c r="D492" s="53"/>
      <c r="E492" s="53"/>
      <c r="F492" s="53"/>
      <c r="G492" s="53"/>
    </row>
    <row r="493">
      <c r="B493" s="53"/>
      <c r="C493" s="53"/>
      <c r="D493" s="53"/>
      <c r="E493" s="53"/>
      <c r="F493" s="53"/>
      <c r="G493" s="53"/>
    </row>
    <row r="494">
      <c r="B494" s="53"/>
      <c r="C494" s="53"/>
      <c r="D494" s="53"/>
      <c r="E494" s="53"/>
      <c r="F494" s="53"/>
      <c r="G494" s="53"/>
    </row>
    <row r="495">
      <c r="B495" s="53"/>
      <c r="C495" s="53"/>
      <c r="D495" s="53"/>
      <c r="E495" s="53"/>
      <c r="F495" s="53"/>
      <c r="G495" s="53"/>
    </row>
    <row r="496">
      <c r="B496" s="53"/>
      <c r="C496" s="53"/>
      <c r="D496" s="53"/>
      <c r="E496" s="53"/>
      <c r="F496" s="53"/>
      <c r="G496" s="53"/>
    </row>
    <row r="497">
      <c r="B497" s="53"/>
      <c r="C497" s="53"/>
      <c r="D497" s="53"/>
      <c r="E497" s="53"/>
      <c r="F497" s="53"/>
      <c r="G497" s="53"/>
    </row>
    <row r="498">
      <c r="B498" s="53"/>
      <c r="C498" s="53"/>
      <c r="D498" s="53"/>
      <c r="E498" s="53"/>
      <c r="F498" s="53"/>
      <c r="G498" s="53"/>
    </row>
    <row r="499">
      <c r="B499" s="53"/>
      <c r="C499" s="53"/>
      <c r="D499" s="53"/>
      <c r="E499" s="53"/>
      <c r="F499" s="53"/>
      <c r="G499" s="53"/>
    </row>
    <row r="500">
      <c r="B500" s="53"/>
      <c r="C500" s="53"/>
      <c r="D500" s="53"/>
      <c r="E500" s="53"/>
      <c r="F500" s="53"/>
      <c r="G500" s="53"/>
    </row>
    <row r="501">
      <c r="B501" s="53"/>
      <c r="C501" s="53"/>
      <c r="D501" s="53"/>
      <c r="E501" s="53"/>
      <c r="F501" s="53"/>
      <c r="G501" s="53"/>
    </row>
    <row r="502">
      <c r="B502" s="53"/>
      <c r="C502" s="53"/>
      <c r="D502" s="53"/>
      <c r="E502" s="53"/>
      <c r="F502" s="53"/>
      <c r="G502" s="53"/>
    </row>
    <row r="503">
      <c r="B503" s="53"/>
      <c r="C503" s="53"/>
      <c r="D503" s="53"/>
      <c r="E503" s="53"/>
      <c r="F503" s="53"/>
      <c r="G503" s="53"/>
    </row>
    <row r="504">
      <c r="B504" s="53"/>
      <c r="C504" s="53"/>
      <c r="D504" s="53"/>
      <c r="E504" s="53"/>
      <c r="F504" s="53"/>
      <c r="G504" s="53"/>
    </row>
    <row r="505">
      <c r="B505" s="53"/>
      <c r="C505" s="53"/>
      <c r="D505" s="53"/>
      <c r="E505" s="53"/>
      <c r="F505" s="53"/>
      <c r="G505" s="53"/>
    </row>
    <row r="506">
      <c r="B506" s="53"/>
      <c r="C506" s="53"/>
      <c r="D506" s="53"/>
      <c r="E506" s="53"/>
      <c r="F506" s="53"/>
      <c r="G506" s="53"/>
    </row>
    <row r="507">
      <c r="B507" s="53"/>
      <c r="C507" s="53"/>
      <c r="D507" s="53"/>
      <c r="E507" s="53"/>
      <c r="F507" s="53"/>
      <c r="G507" s="53"/>
    </row>
    <row r="508">
      <c r="B508" s="53"/>
      <c r="C508" s="53"/>
      <c r="D508" s="53"/>
      <c r="E508" s="53"/>
      <c r="F508" s="53"/>
      <c r="G508" s="53"/>
    </row>
    <row r="509">
      <c r="B509" s="53"/>
      <c r="C509" s="53"/>
      <c r="D509" s="53"/>
      <c r="E509" s="53"/>
      <c r="F509" s="53"/>
      <c r="G509" s="53"/>
    </row>
    <row r="510">
      <c r="B510" s="53"/>
      <c r="C510" s="53"/>
      <c r="D510" s="53"/>
      <c r="E510" s="53"/>
      <c r="F510" s="53"/>
      <c r="G510" s="53"/>
    </row>
    <row r="511">
      <c r="B511" s="53"/>
      <c r="C511" s="53"/>
      <c r="D511" s="53"/>
      <c r="E511" s="53"/>
      <c r="F511" s="53"/>
      <c r="G511" s="53"/>
    </row>
    <row r="512">
      <c r="B512" s="53"/>
      <c r="C512" s="53"/>
      <c r="D512" s="53"/>
      <c r="E512" s="53"/>
      <c r="F512" s="53"/>
      <c r="G512" s="53"/>
    </row>
    <row r="513">
      <c r="B513" s="53"/>
      <c r="C513" s="53"/>
      <c r="D513" s="53"/>
      <c r="E513" s="53"/>
      <c r="F513" s="53"/>
      <c r="G513" s="53"/>
    </row>
    <row r="514">
      <c r="B514" s="53"/>
      <c r="C514" s="53"/>
      <c r="D514" s="53"/>
      <c r="E514" s="53"/>
      <c r="F514" s="53"/>
      <c r="G514" s="53"/>
    </row>
    <row r="515">
      <c r="B515" s="53"/>
      <c r="C515" s="53"/>
      <c r="D515" s="53"/>
      <c r="E515" s="53"/>
      <c r="F515" s="53"/>
      <c r="G515" s="53"/>
    </row>
    <row r="516">
      <c r="B516" s="53"/>
      <c r="C516" s="53"/>
      <c r="D516" s="53"/>
      <c r="E516" s="53"/>
      <c r="F516" s="53"/>
      <c r="G516" s="53"/>
    </row>
    <row r="517">
      <c r="B517" s="53"/>
      <c r="C517" s="53"/>
      <c r="D517" s="53"/>
      <c r="E517" s="53"/>
      <c r="F517" s="53"/>
      <c r="G517" s="53"/>
    </row>
    <row r="518">
      <c r="B518" s="53"/>
      <c r="C518" s="53"/>
      <c r="D518" s="53"/>
      <c r="E518" s="53"/>
      <c r="F518" s="53"/>
      <c r="G518" s="53"/>
    </row>
    <row r="519">
      <c r="B519" s="53"/>
      <c r="C519" s="53"/>
      <c r="D519" s="53"/>
      <c r="E519" s="53"/>
      <c r="F519" s="53"/>
      <c r="G519" s="53"/>
    </row>
    <row r="520">
      <c r="B520" s="53"/>
      <c r="C520" s="53"/>
      <c r="D520" s="53"/>
      <c r="E520" s="53"/>
      <c r="F520" s="53"/>
      <c r="G520" s="53"/>
    </row>
    <row r="521">
      <c r="B521" s="53"/>
      <c r="C521" s="53"/>
      <c r="D521" s="53"/>
      <c r="E521" s="53"/>
      <c r="F521" s="53"/>
      <c r="G521" s="53"/>
    </row>
    <row r="522">
      <c r="B522" s="53"/>
      <c r="C522" s="53"/>
      <c r="D522" s="53"/>
      <c r="E522" s="53"/>
      <c r="F522" s="53"/>
      <c r="G522" s="53"/>
    </row>
    <row r="523">
      <c r="B523" s="53"/>
      <c r="C523" s="53"/>
      <c r="D523" s="53"/>
      <c r="E523" s="53"/>
      <c r="F523" s="53"/>
      <c r="G523" s="53"/>
    </row>
    <row r="524">
      <c r="B524" s="53"/>
      <c r="C524" s="53"/>
      <c r="D524" s="53"/>
      <c r="E524" s="53"/>
      <c r="F524" s="53"/>
      <c r="G524" s="53"/>
    </row>
    <row r="525">
      <c r="B525" s="53"/>
      <c r="C525" s="53"/>
      <c r="D525" s="53"/>
      <c r="E525" s="53"/>
      <c r="F525" s="53"/>
      <c r="G525" s="53"/>
    </row>
    <row r="526">
      <c r="B526" s="53"/>
      <c r="C526" s="53"/>
      <c r="D526" s="53"/>
      <c r="E526" s="53"/>
      <c r="F526" s="53"/>
      <c r="G526" s="53"/>
    </row>
    <row r="527">
      <c r="B527" s="53"/>
      <c r="C527" s="53"/>
      <c r="D527" s="53"/>
      <c r="E527" s="53"/>
      <c r="F527" s="53"/>
      <c r="G527" s="53"/>
    </row>
    <row r="528">
      <c r="B528" s="53"/>
      <c r="C528" s="53"/>
      <c r="D528" s="53"/>
      <c r="E528" s="53"/>
      <c r="F528" s="53"/>
      <c r="G528" s="53"/>
    </row>
    <row r="529">
      <c r="B529" s="53"/>
      <c r="C529" s="53"/>
      <c r="D529" s="53"/>
      <c r="E529" s="53"/>
      <c r="F529" s="53"/>
      <c r="G529" s="53"/>
    </row>
    <row r="530">
      <c r="B530" s="53"/>
      <c r="C530" s="53"/>
      <c r="D530" s="53"/>
      <c r="E530" s="53"/>
      <c r="F530" s="53"/>
      <c r="G530" s="53"/>
    </row>
    <row r="531">
      <c r="B531" s="53"/>
      <c r="C531" s="53"/>
      <c r="D531" s="53"/>
      <c r="E531" s="53"/>
      <c r="F531" s="53"/>
      <c r="G531" s="53"/>
    </row>
    <row r="532">
      <c r="B532" s="53"/>
      <c r="C532" s="53"/>
      <c r="D532" s="53"/>
      <c r="E532" s="53"/>
      <c r="F532" s="53"/>
      <c r="G532" s="53"/>
    </row>
    <row r="533">
      <c r="B533" s="53"/>
      <c r="C533" s="53"/>
      <c r="D533" s="53"/>
      <c r="E533" s="53"/>
      <c r="F533" s="53"/>
      <c r="G533" s="53"/>
    </row>
    <row r="534">
      <c r="B534" s="53"/>
      <c r="C534" s="53"/>
      <c r="D534" s="53"/>
      <c r="E534" s="53"/>
      <c r="F534" s="53"/>
      <c r="G534" s="53"/>
    </row>
    <row r="535">
      <c r="B535" s="53"/>
      <c r="C535" s="53"/>
      <c r="D535" s="53"/>
      <c r="E535" s="53"/>
      <c r="F535" s="53"/>
      <c r="G535" s="53"/>
    </row>
    <row r="536">
      <c r="B536" s="53"/>
      <c r="C536" s="53"/>
      <c r="D536" s="53"/>
      <c r="E536" s="53"/>
      <c r="F536" s="53"/>
      <c r="G536" s="53"/>
    </row>
    <row r="537">
      <c r="B537" s="53"/>
      <c r="C537" s="53"/>
      <c r="D537" s="53"/>
      <c r="E537" s="53"/>
      <c r="F537" s="53"/>
      <c r="G537" s="53"/>
    </row>
    <row r="538">
      <c r="B538" s="53"/>
      <c r="C538" s="53"/>
      <c r="D538" s="53"/>
      <c r="E538" s="53"/>
      <c r="F538" s="53"/>
      <c r="G538" s="53"/>
    </row>
    <row r="539">
      <c r="B539" s="53"/>
      <c r="C539" s="53"/>
      <c r="D539" s="53"/>
      <c r="E539" s="53"/>
      <c r="F539" s="53"/>
      <c r="G539" s="53"/>
    </row>
    <row r="540">
      <c r="B540" s="53"/>
      <c r="C540" s="53"/>
      <c r="D540" s="53"/>
      <c r="E540" s="53"/>
      <c r="F540" s="53"/>
      <c r="G540" s="53"/>
    </row>
    <row r="541">
      <c r="B541" s="53"/>
      <c r="C541" s="53"/>
      <c r="D541" s="53"/>
      <c r="E541" s="53"/>
      <c r="F541" s="53"/>
      <c r="G541" s="53"/>
    </row>
    <row r="542">
      <c r="B542" s="53"/>
      <c r="C542" s="53"/>
      <c r="D542" s="53"/>
      <c r="E542" s="53"/>
      <c r="F542" s="53"/>
      <c r="G542" s="53"/>
    </row>
    <row r="543">
      <c r="B543" s="53"/>
      <c r="C543" s="53"/>
      <c r="D543" s="53"/>
      <c r="E543" s="53"/>
      <c r="F543" s="53"/>
      <c r="G543" s="53"/>
    </row>
    <row r="544">
      <c r="B544" s="53"/>
      <c r="C544" s="53"/>
      <c r="D544" s="53"/>
      <c r="E544" s="53"/>
      <c r="F544" s="53"/>
      <c r="G544" s="53"/>
    </row>
    <row r="545">
      <c r="B545" s="53"/>
      <c r="C545" s="53"/>
      <c r="D545" s="53"/>
      <c r="E545" s="53"/>
      <c r="F545" s="53"/>
      <c r="G545" s="53"/>
    </row>
    <row r="546">
      <c r="B546" s="53"/>
      <c r="C546" s="53"/>
      <c r="D546" s="53"/>
      <c r="E546" s="53"/>
      <c r="F546" s="53"/>
      <c r="G546" s="53"/>
    </row>
    <row r="547">
      <c r="B547" s="53"/>
      <c r="C547" s="53"/>
      <c r="D547" s="53"/>
      <c r="E547" s="53"/>
      <c r="F547" s="53"/>
      <c r="G547" s="53"/>
    </row>
    <row r="548">
      <c r="B548" s="53"/>
      <c r="C548" s="53"/>
      <c r="D548" s="53"/>
      <c r="E548" s="53"/>
      <c r="F548" s="53"/>
      <c r="G548" s="53"/>
    </row>
    <row r="549">
      <c r="B549" s="53"/>
      <c r="C549" s="53"/>
      <c r="D549" s="53"/>
      <c r="E549" s="53"/>
      <c r="F549" s="53"/>
      <c r="G549" s="53"/>
    </row>
    <row r="550">
      <c r="B550" s="53"/>
      <c r="C550" s="53"/>
      <c r="D550" s="53"/>
      <c r="E550" s="53"/>
      <c r="F550" s="53"/>
      <c r="G550" s="53"/>
    </row>
    <row r="551">
      <c r="B551" s="53"/>
      <c r="C551" s="53"/>
      <c r="D551" s="53"/>
      <c r="E551" s="53"/>
      <c r="F551" s="53"/>
      <c r="G551" s="53"/>
    </row>
    <row r="552">
      <c r="B552" s="53"/>
      <c r="C552" s="53"/>
      <c r="D552" s="53"/>
      <c r="E552" s="53"/>
      <c r="F552" s="53"/>
      <c r="G552" s="53"/>
    </row>
    <row r="553">
      <c r="B553" s="53"/>
      <c r="C553" s="53"/>
      <c r="D553" s="53"/>
      <c r="E553" s="53"/>
      <c r="F553" s="53"/>
      <c r="G553" s="53"/>
    </row>
    <row r="554">
      <c r="B554" s="53"/>
      <c r="C554" s="53"/>
      <c r="D554" s="53"/>
      <c r="E554" s="53"/>
      <c r="F554" s="53"/>
      <c r="G554" s="53"/>
    </row>
    <row r="555">
      <c r="B555" s="53"/>
      <c r="C555" s="53"/>
      <c r="D555" s="53"/>
      <c r="E555" s="53"/>
      <c r="F555" s="53"/>
      <c r="G555" s="53"/>
    </row>
    <row r="556">
      <c r="B556" s="53"/>
      <c r="C556" s="53"/>
      <c r="D556" s="53"/>
      <c r="E556" s="53"/>
      <c r="F556" s="53"/>
      <c r="G556" s="53"/>
    </row>
    <row r="557">
      <c r="B557" s="53"/>
      <c r="C557" s="53"/>
      <c r="D557" s="53"/>
      <c r="E557" s="53"/>
      <c r="F557" s="53"/>
      <c r="G557" s="53"/>
    </row>
    <row r="558">
      <c r="B558" s="53"/>
      <c r="C558" s="53"/>
      <c r="D558" s="53"/>
      <c r="E558" s="53"/>
      <c r="F558" s="53"/>
      <c r="G558" s="53"/>
    </row>
    <row r="559">
      <c r="B559" s="53"/>
      <c r="C559" s="53"/>
      <c r="D559" s="53"/>
      <c r="E559" s="53"/>
      <c r="F559" s="53"/>
      <c r="G559" s="53"/>
    </row>
    <row r="560">
      <c r="B560" s="53"/>
      <c r="C560" s="53"/>
      <c r="D560" s="53"/>
      <c r="E560" s="53"/>
      <c r="F560" s="53"/>
      <c r="G560" s="53"/>
    </row>
    <row r="561">
      <c r="B561" s="53"/>
      <c r="C561" s="53"/>
      <c r="D561" s="53"/>
      <c r="E561" s="53"/>
      <c r="F561" s="53"/>
      <c r="G561" s="53"/>
    </row>
    <row r="562">
      <c r="B562" s="53"/>
      <c r="C562" s="53"/>
      <c r="D562" s="53"/>
      <c r="E562" s="53"/>
      <c r="F562" s="53"/>
      <c r="G562" s="53"/>
    </row>
    <row r="563">
      <c r="B563" s="53"/>
      <c r="C563" s="53"/>
      <c r="D563" s="53"/>
      <c r="E563" s="53"/>
      <c r="F563" s="53"/>
      <c r="G563" s="53"/>
    </row>
    <row r="564">
      <c r="B564" s="53"/>
      <c r="C564" s="53"/>
      <c r="D564" s="53"/>
      <c r="E564" s="53"/>
      <c r="F564" s="53"/>
      <c r="G564" s="53"/>
    </row>
    <row r="565">
      <c r="B565" s="53"/>
      <c r="C565" s="53"/>
      <c r="D565" s="53"/>
      <c r="E565" s="53"/>
      <c r="F565" s="53"/>
      <c r="G565" s="53"/>
    </row>
    <row r="566">
      <c r="B566" s="53"/>
      <c r="C566" s="53"/>
      <c r="D566" s="53"/>
      <c r="E566" s="53"/>
      <c r="F566" s="53"/>
      <c r="G566" s="53"/>
    </row>
    <row r="567">
      <c r="B567" s="53"/>
      <c r="C567" s="53"/>
      <c r="D567" s="53"/>
      <c r="E567" s="53"/>
      <c r="F567" s="53"/>
      <c r="G567" s="53"/>
    </row>
    <row r="568">
      <c r="B568" s="53"/>
      <c r="C568" s="53"/>
      <c r="D568" s="53"/>
      <c r="E568" s="53"/>
      <c r="F568" s="53"/>
      <c r="G568" s="53"/>
    </row>
    <row r="569">
      <c r="B569" s="53"/>
      <c r="C569" s="53"/>
      <c r="D569" s="53"/>
      <c r="E569" s="53"/>
      <c r="F569" s="53"/>
      <c r="G569" s="53"/>
    </row>
    <row r="570">
      <c r="B570" s="53"/>
      <c r="C570" s="53"/>
      <c r="D570" s="53"/>
      <c r="E570" s="53"/>
      <c r="F570" s="53"/>
      <c r="G570" s="53"/>
    </row>
    <row r="571">
      <c r="B571" s="53"/>
      <c r="C571" s="53"/>
      <c r="D571" s="53"/>
      <c r="E571" s="53"/>
      <c r="F571" s="53"/>
      <c r="G571" s="53"/>
    </row>
    <row r="572">
      <c r="B572" s="53"/>
      <c r="C572" s="53"/>
      <c r="D572" s="53"/>
      <c r="E572" s="53"/>
      <c r="F572" s="53"/>
      <c r="G572" s="53"/>
    </row>
    <row r="573">
      <c r="B573" s="53"/>
      <c r="C573" s="53"/>
      <c r="D573" s="53"/>
      <c r="E573" s="53"/>
      <c r="F573" s="53"/>
      <c r="G573" s="53"/>
    </row>
    <row r="574">
      <c r="B574" s="53"/>
      <c r="C574" s="53"/>
      <c r="D574" s="53"/>
      <c r="E574" s="53"/>
      <c r="F574" s="53"/>
      <c r="G574" s="53"/>
    </row>
    <row r="575">
      <c r="B575" s="53"/>
      <c r="C575" s="53"/>
      <c r="D575" s="53"/>
      <c r="E575" s="53"/>
      <c r="F575" s="53"/>
      <c r="G575" s="53"/>
    </row>
    <row r="576">
      <c r="B576" s="53"/>
      <c r="C576" s="53"/>
      <c r="D576" s="53"/>
      <c r="E576" s="53"/>
      <c r="F576" s="53"/>
      <c r="G576" s="53"/>
    </row>
    <row r="577">
      <c r="B577" s="53"/>
      <c r="C577" s="53"/>
      <c r="D577" s="53"/>
      <c r="E577" s="53"/>
      <c r="F577" s="53"/>
      <c r="G577" s="53"/>
    </row>
    <row r="578">
      <c r="B578" s="53"/>
      <c r="C578" s="53"/>
      <c r="D578" s="53"/>
      <c r="E578" s="53"/>
      <c r="F578" s="53"/>
      <c r="G578" s="53"/>
    </row>
    <row r="579">
      <c r="B579" s="53"/>
      <c r="C579" s="53"/>
      <c r="D579" s="53"/>
      <c r="E579" s="53"/>
      <c r="F579" s="53"/>
      <c r="G579" s="53"/>
    </row>
    <row r="580">
      <c r="B580" s="53"/>
      <c r="C580" s="53"/>
      <c r="D580" s="53"/>
      <c r="E580" s="53"/>
      <c r="F580" s="53"/>
      <c r="G580" s="53"/>
    </row>
    <row r="581">
      <c r="B581" s="53"/>
      <c r="C581" s="53"/>
      <c r="D581" s="53"/>
      <c r="E581" s="53"/>
      <c r="F581" s="53"/>
      <c r="G581" s="53"/>
    </row>
    <row r="582">
      <c r="B582" s="53"/>
      <c r="C582" s="53"/>
      <c r="D582" s="53"/>
      <c r="E582" s="53"/>
      <c r="F582" s="53"/>
      <c r="G582" s="53"/>
    </row>
    <row r="583">
      <c r="B583" s="53"/>
      <c r="C583" s="53"/>
      <c r="D583" s="53"/>
      <c r="E583" s="53"/>
      <c r="F583" s="53"/>
      <c r="G583" s="53"/>
    </row>
    <row r="584">
      <c r="B584" s="53"/>
      <c r="C584" s="53"/>
      <c r="D584" s="53"/>
      <c r="E584" s="53"/>
      <c r="F584" s="53"/>
      <c r="G584" s="53"/>
    </row>
    <row r="585">
      <c r="B585" s="53"/>
      <c r="C585" s="53"/>
      <c r="D585" s="53"/>
      <c r="E585" s="53"/>
      <c r="F585" s="53"/>
      <c r="G585" s="53"/>
    </row>
    <row r="586">
      <c r="B586" s="53"/>
      <c r="C586" s="53"/>
      <c r="D586" s="53"/>
      <c r="E586" s="53"/>
      <c r="F586" s="53"/>
      <c r="G586" s="53"/>
    </row>
    <row r="587">
      <c r="B587" s="53"/>
      <c r="C587" s="53"/>
      <c r="D587" s="53"/>
      <c r="E587" s="53"/>
      <c r="F587" s="53"/>
      <c r="G587" s="53"/>
    </row>
    <row r="588">
      <c r="B588" s="53"/>
      <c r="C588" s="53"/>
      <c r="D588" s="53"/>
      <c r="E588" s="53"/>
      <c r="F588" s="53"/>
      <c r="G588" s="53"/>
    </row>
    <row r="589">
      <c r="B589" s="53"/>
      <c r="C589" s="53"/>
      <c r="D589" s="53"/>
      <c r="E589" s="53"/>
      <c r="F589" s="53"/>
      <c r="G589" s="53"/>
    </row>
    <row r="590">
      <c r="B590" s="53"/>
      <c r="C590" s="53"/>
      <c r="D590" s="53"/>
      <c r="E590" s="53"/>
      <c r="F590" s="53"/>
      <c r="G590" s="53"/>
    </row>
    <row r="591">
      <c r="B591" s="53"/>
      <c r="C591" s="53"/>
      <c r="D591" s="53"/>
      <c r="E591" s="53"/>
      <c r="F591" s="53"/>
      <c r="G591" s="53"/>
    </row>
    <row r="592">
      <c r="B592" s="53"/>
      <c r="C592" s="53"/>
      <c r="D592" s="53"/>
      <c r="E592" s="53"/>
      <c r="F592" s="53"/>
      <c r="G592" s="53"/>
    </row>
    <row r="593">
      <c r="B593" s="53"/>
      <c r="C593" s="53"/>
      <c r="D593" s="53"/>
      <c r="E593" s="53"/>
      <c r="F593" s="53"/>
      <c r="G593" s="53"/>
    </row>
    <row r="594">
      <c r="B594" s="53"/>
      <c r="C594" s="53"/>
      <c r="D594" s="53"/>
      <c r="E594" s="53"/>
      <c r="F594" s="53"/>
      <c r="G594" s="53"/>
    </row>
    <row r="595">
      <c r="B595" s="53"/>
      <c r="C595" s="53"/>
      <c r="D595" s="53"/>
      <c r="E595" s="53"/>
      <c r="F595" s="53"/>
      <c r="G595" s="53"/>
    </row>
    <row r="596">
      <c r="B596" s="53"/>
      <c r="C596" s="53"/>
      <c r="D596" s="53"/>
      <c r="E596" s="53"/>
      <c r="F596" s="53"/>
      <c r="G596" s="53"/>
    </row>
    <row r="597">
      <c r="B597" s="53"/>
      <c r="C597" s="53"/>
      <c r="D597" s="53"/>
      <c r="E597" s="53"/>
      <c r="F597" s="53"/>
      <c r="G597" s="53"/>
    </row>
    <row r="598">
      <c r="B598" s="53"/>
      <c r="C598" s="53"/>
      <c r="D598" s="53"/>
      <c r="E598" s="53"/>
      <c r="F598" s="53"/>
      <c r="G598" s="53"/>
    </row>
    <row r="599">
      <c r="B599" s="53"/>
      <c r="C599" s="53"/>
      <c r="D599" s="53"/>
      <c r="E599" s="53"/>
      <c r="F599" s="53"/>
      <c r="G599" s="53"/>
    </row>
    <row r="600">
      <c r="B600" s="53"/>
      <c r="C600" s="53"/>
      <c r="D600" s="53"/>
      <c r="E600" s="53"/>
      <c r="F600" s="53"/>
      <c r="G600" s="53"/>
    </row>
    <row r="601">
      <c r="B601" s="53"/>
      <c r="C601" s="53"/>
      <c r="D601" s="53"/>
      <c r="E601" s="53"/>
      <c r="F601" s="53"/>
      <c r="G601" s="53"/>
    </row>
    <row r="602">
      <c r="B602" s="53"/>
      <c r="C602" s="53"/>
      <c r="D602" s="53"/>
      <c r="E602" s="53"/>
      <c r="F602" s="53"/>
      <c r="G602" s="53"/>
    </row>
    <row r="603">
      <c r="B603" s="53"/>
      <c r="C603" s="53"/>
      <c r="D603" s="53"/>
      <c r="E603" s="53"/>
      <c r="F603" s="53"/>
      <c r="G603" s="53"/>
    </row>
    <row r="604">
      <c r="B604" s="53"/>
      <c r="C604" s="53"/>
      <c r="D604" s="53"/>
      <c r="E604" s="53"/>
      <c r="F604" s="53"/>
      <c r="G604" s="53"/>
    </row>
    <row r="605">
      <c r="B605" s="53"/>
      <c r="C605" s="53"/>
      <c r="D605" s="53"/>
      <c r="E605" s="53"/>
      <c r="F605" s="53"/>
      <c r="G605" s="53"/>
    </row>
    <row r="606">
      <c r="B606" s="53"/>
      <c r="C606" s="53"/>
      <c r="D606" s="53"/>
      <c r="E606" s="53"/>
      <c r="F606" s="53"/>
      <c r="G606" s="53"/>
    </row>
    <row r="607">
      <c r="B607" s="53"/>
      <c r="C607" s="53"/>
      <c r="D607" s="53"/>
      <c r="E607" s="53"/>
      <c r="F607" s="53"/>
      <c r="G607" s="53"/>
    </row>
    <row r="608">
      <c r="B608" s="53"/>
      <c r="C608" s="53"/>
      <c r="D608" s="53"/>
      <c r="E608" s="53"/>
      <c r="F608" s="53"/>
      <c r="G608" s="53"/>
    </row>
    <row r="609">
      <c r="B609" s="53"/>
      <c r="C609" s="53"/>
      <c r="D609" s="53"/>
      <c r="E609" s="53"/>
      <c r="F609" s="53"/>
      <c r="G609" s="53"/>
    </row>
    <row r="610">
      <c r="B610" s="53"/>
      <c r="C610" s="53"/>
      <c r="D610" s="53"/>
      <c r="E610" s="53"/>
      <c r="F610" s="53"/>
      <c r="G610" s="53"/>
    </row>
    <row r="611">
      <c r="B611" s="53"/>
      <c r="C611" s="53"/>
      <c r="D611" s="53"/>
      <c r="E611" s="53"/>
      <c r="F611" s="53"/>
      <c r="G611" s="53"/>
    </row>
    <row r="612">
      <c r="B612" s="53"/>
      <c r="C612" s="53"/>
      <c r="D612" s="53"/>
      <c r="E612" s="53"/>
      <c r="F612" s="53"/>
      <c r="G612" s="53"/>
    </row>
    <row r="613">
      <c r="B613" s="53"/>
      <c r="C613" s="53"/>
      <c r="D613" s="53"/>
      <c r="E613" s="53"/>
      <c r="F613" s="53"/>
      <c r="G613" s="53"/>
    </row>
    <row r="614">
      <c r="B614" s="53"/>
      <c r="C614" s="53"/>
      <c r="D614" s="53"/>
      <c r="E614" s="53"/>
      <c r="F614" s="53"/>
      <c r="G614" s="53"/>
    </row>
    <row r="615">
      <c r="B615" s="53"/>
      <c r="C615" s="53"/>
      <c r="D615" s="53"/>
      <c r="E615" s="53"/>
      <c r="F615" s="53"/>
      <c r="G615" s="53"/>
    </row>
    <row r="616">
      <c r="B616" s="53"/>
      <c r="C616" s="53"/>
      <c r="D616" s="53"/>
      <c r="E616" s="53"/>
      <c r="F616" s="53"/>
      <c r="G616" s="53"/>
    </row>
    <row r="617">
      <c r="B617" s="53"/>
      <c r="C617" s="53"/>
      <c r="D617" s="53"/>
      <c r="E617" s="53"/>
      <c r="F617" s="53"/>
      <c r="G617" s="53"/>
    </row>
    <row r="618">
      <c r="B618" s="53"/>
      <c r="C618" s="53"/>
      <c r="D618" s="53"/>
      <c r="E618" s="53"/>
      <c r="F618" s="53"/>
      <c r="G618" s="53"/>
    </row>
    <row r="619">
      <c r="B619" s="53"/>
      <c r="C619" s="53"/>
      <c r="D619" s="53"/>
      <c r="E619" s="53"/>
      <c r="F619" s="53"/>
      <c r="G619" s="53"/>
    </row>
    <row r="620">
      <c r="B620" s="53"/>
      <c r="C620" s="53"/>
      <c r="D620" s="53"/>
      <c r="E620" s="53"/>
      <c r="F620" s="53"/>
      <c r="G620" s="53"/>
    </row>
    <row r="621">
      <c r="B621" s="53"/>
      <c r="C621" s="53"/>
      <c r="D621" s="53"/>
      <c r="E621" s="53"/>
      <c r="F621" s="53"/>
      <c r="G621" s="53"/>
    </row>
    <row r="622">
      <c r="B622" s="53"/>
      <c r="C622" s="53"/>
      <c r="D622" s="53"/>
      <c r="E622" s="53"/>
      <c r="F622" s="53"/>
      <c r="G622" s="53"/>
    </row>
    <row r="623">
      <c r="B623" s="53"/>
      <c r="C623" s="53"/>
      <c r="D623" s="53"/>
      <c r="E623" s="53"/>
      <c r="F623" s="53"/>
      <c r="G623" s="53"/>
    </row>
    <row r="624">
      <c r="B624" s="53"/>
      <c r="C624" s="53"/>
      <c r="D624" s="53"/>
      <c r="E624" s="53"/>
      <c r="F624" s="53"/>
      <c r="G624" s="53"/>
    </row>
    <row r="625">
      <c r="B625" s="53"/>
      <c r="C625" s="53"/>
      <c r="D625" s="53"/>
      <c r="E625" s="53"/>
      <c r="F625" s="53"/>
      <c r="G625" s="53"/>
    </row>
    <row r="626">
      <c r="B626" s="53"/>
      <c r="C626" s="53"/>
      <c r="D626" s="53"/>
      <c r="E626" s="53"/>
      <c r="F626" s="53"/>
      <c r="G626" s="53"/>
    </row>
    <row r="627">
      <c r="B627" s="53"/>
      <c r="C627" s="53"/>
      <c r="D627" s="53"/>
      <c r="E627" s="53"/>
      <c r="F627" s="53"/>
      <c r="G627" s="53"/>
    </row>
    <row r="628">
      <c r="B628" s="53"/>
      <c r="C628" s="53"/>
      <c r="D628" s="53"/>
      <c r="E628" s="53"/>
      <c r="F628" s="53"/>
      <c r="G628" s="53"/>
    </row>
    <row r="629">
      <c r="B629" s="53"/>
      <c r="C629" s="53"/>
      <c r="D629" s="53"/>
      <c r="E629" s="53"/>
      <c r="F629" s="53"/>
      <c r="G629" s="53"/>
    </row>
    <row r="630">
      <c r="B630" s="53"/>
      <c r="C630" s="53"/>
      <c r="D630" s="53"/>
      <c r="E630" s="53"/>
      <c r="F630" s="53"/>
      <c r="G630" s="53"/>
    </row>
    <row r="631">
      <c r="B631" s="53"/>
      <c r="C631" s="53"/>
      <c r="D631" s="53"/>
      <c r="E631" s="53"/>
      <c r="F631" s="53"/>
      <c r="G631" s="53"/>
    </row>
    <row r="632">
      <c r="B632" s="53"/>
      <c r="C632" s="53"/>
      <c r="D632" s="53"/>
      <c r="E632" s="53"/>
      <c r="F632" s="53"/>
      <c r="G632" s="53"/>
    </row>
    <row r="633">
      <c r="B633" s="53"/>
      <c r="C633" s="53"/>
      <c r="D633" s="53"/>
      <c r="E633" s="53"/>
      <c r="F633" s="53"/>
      <c r="G633" s="53"/>
    </row>
    <row r="634">
      <c r="B634" s="53"/>
      <c r="C634" s="53"/>
      <c r="D634" s="53"/>
      <c r="E634" s="53"/>
      <c r="F634" s="53"/>
      <c r="G634" s="53"/>
    </row>
    <row r="635">
      <c r="B635" s="53"/>
      <c r="C635" s="53"/>
      <c r="D635" s="53"/>
      <c r="E635" s="53"/>
      <c r="F635" s="53"/>
      <c r="G635" s="53"/>
    </row>
    <row r="636">
      <c r="B636" s="53"/>
      <c r="C636" s="53"/>
      <c r="D636" s="53"/>
      <c r="E636" s="53"/>
      <c r="F636" s="53"/>
      <c r="G636" s="53"/>
    </row>
    <row r="637">
      <c r="B637" s="53"/>
      <c r="C637" s="53"/>
      <c r="D637" s="53"/>
      <c r="E637" s="53"/>
      <c r="F637" s="53"/>
      <c r="G637" s="53"/>
    </row>
    <row r="638">
      <c r="B638" s="53"/>
      <c r="C638" s="53"/>
      <c r="D638" s="53"/>
      <c r="E638" s="53"/>
      <c r="F638" s="53"/>
      <c r="G638" s="53"/>
    </row>
    <row r="639">
      <c r="B639" s="53"/>
      <c r="C639" s="53"/>
      <c r="D639" s="53"/>
      <c r="E639" s="53"/>
      <c r="F639" s="53"/>
      <c r="G639" s="53"/>
    </row>
    <row r="640">
      <c r="B640" s="53"/>
      <c r="C640" s="53"/>
      <c r="D640" s="53"/>
      <c r="E640" s="53"/>
      <c r="F640" s="53"/>
      <c r="G640" s="53"/>
    </row>
    <row r="641">
      <c r="B641" s="53"/>
      <c r="C641" s="53"/>
      <c r="D641" s="53"/>
      <c r="E641" s="53"/>
      <c r="F641" s="53"/>
      <c r="G641" s="53"/>
    </row>
    <row r="642">
      <c r="B642" s="53"/>
      <c r="C642" s="53"/>
      <c r="D642" s="53"/>
      <c r="E642" s="53"/>
      <c r="F642" s="53"/>
      <c r="G642" s="53"/>
    </row>
    <row r="643">
      <c r="B643" s="53"/>
      <c r="C643" s="53"/>
      <c r="D643" s="53"/>
      <c r="E643" s="53"/>
      <c r="F643" s="53"/>
      <c r="G643" s="53"/>
    </row>
    <row r="644">
      <c r="B644" s="53"/>
      <c r="C644" s="53"/>
      <c r="D644" s="53"/>
      <c r="E644" s="53"/>
      <c r="F644" s="53"/>
      <c r="G644" s="53"/>
    </row>
    <row r="645">
      <c r="B645" s="53"/>
      <c r="C645" s="53"/>
      <c r="D645" s="53"/>
      <c r="E645" s="53"/>
      <c r="F645" s="53"/>
      <c r="G645" s="53"/>
    </row>
    <row r="646">
      <c r="B646" s="53"/>
      <c r="C646" s="53"/>
      <c r="D646" s="53"/>
      <c r="E646" s="53"/>
      <c r="F646" s="53"/>
      <c r="G646" s="53"/>
    </row>
    <row r="647">
      <c r="B647" s="53"/>
      <c r="C647" s="53"/>
      <c r="D647" s="53"/>
      <c r="E647" s="53"/>
      <c r="F647" s="53"/>
      <c r="G647" s="53"/>
    </row>
    <row r="648">
      <c r="B648" s="53"/>
      <c r="C648" s="53"/>
      <c r="D648" s="53"/>
      <c r="E648" s="53"/>
      <c r="F648" s="53"/>
      <c r="G648" s="53"/>
    </row>
    <row r="649">
      <c r="B649" s="53"/>
      <c r="C649" s="53"/>
      <c r="D649" s="53"/>
      <c r="E649" s="53"/>
      <c r="F649" s="53"/>
      <c r="G649" s="53"/>
    </row>
    <row r="650">
      <c r="B650" s="53"/>
      <c r="C650" s="53"/>
      <c r="D650" s="53"/>
      <c r="E650" s="53"/>
      <c r="F650" s="53"/>
      <c r="G650" s="53"/>
    </row>
    <row r="651">
      <c r="B651" s="53"/>
      <c r="C651" s="53"/>
      <c r="D651" s="53"/>
      <c r="E651" s="53"/>
      <c r="F651" s="53"/>
      <c r="G651" s="53"/>
    </row>
    <row r="652">
      <c r="B652" s="53"/>
      <c r="C652" s="53"/>
      <c r="D652" s="53"/>
      <c r="E652" s="53"/>
      <c r="F652" s="53"/>
      <c r="G652" s="53"/>
    </row>
    <row r="653">
      <c r="B653" s="53"/>
      <c r="C653" s="53"/>
      <c r="D653" s="53"/>
      <c r="E653" s="53"/>
      <c r="F653" s="53"/>
      <c r="G653" s="53"/>
    </row>
    <row r="654">
      <c r="B654" s="53"/>
      <c r="C654" s="53"/>
      <c r="D654" s="53"/>
      <c r="E654" s="53"/>
      <c r="F654" s="53"/>
      <c r="G654" s="53"/>
    </row>
    <row r="655">
      <c r="B655" s="53"/>
      <c r="C655" s="53"/>
      <c r="D655" s="53"/>
      <c r="E655" s="53"/>
      <c r="F655" s="53"/>
      <c r="G655" s="53"/>
    </row>
    <row r="656">
      <c r="B656" s="53"/>
      <c r="C656" s="53"/>
      <c r="D656" s="53"/>
      <c r="E656" s="53"/>
      <c r="F656" s="53"/>
      <c r="G656" s="53"/>
    </row>
    <row r="657">
      <c r="B657" s="53"/>
      <c r="C657" s="53"/>
      <c r="D657" s="53"/>
      <c r="E657" s="53"/>
      <c r="F657" s="53"/>
      <c r="G657" s="53"/>
    </row>
    <row r="658">
      <c r="B658" s="53"/>
      <c r="C658" s="53"/>
      <c r="D658" s="53"/>
      <c r="E658" s="53"/>
      <c r="F658" s="53"/>
      <c r="G658" s="53"/>
    </row>
    <row r="659">
      <c r="B659" s="53"/>
      <c r="C659" s="53"/>
      <c r="D659" s="53"/>
      <c r="E659" s="53"/>
      <c r="F659" s="53"/>
      <c r="G659" s="53"/>
    </row>
    <row r="660">
      <c r="B660" s="53"/>
      <c r="C660" s="53"/>
      <c r="D660" s="53"/>
      <c r="E660" s="53"/>
      <c r="F660" s="53"/>
      <c r="G660" s="53"/>
    </row>
    <row r="661">
      <c r="B661" s="53"/>
      <c r="C661" s="53"/>
      <c r="D661" s="53"/>
      <c r="E661" s="53"/>
      <c r="F661" s="53"/>
      <c r="G661" s="53"/>
    </row>
    <row r="662">
      <c r="B662" s="53"/>
      <c r="C662" s="53"/>
      <c r="D662" s="53"/>
      <c r="E662" s="53"/>
      <c r="F662" s="53"/>
      <c r="G662" s="53"/>
    </row>
    <row r="663">
      <c r="B663" s="53"/>
      <c r="C663" s="53"/>
      <c r="D663" s="53"/>
      <c r="E663" s="53"/>
      <c r="F663" s="53"/>
      <c r="G663" s="53"/>
    </row>
    <row r="664">
      <c r="B664" s="53"/>
      <c r="C664" s="53"/>
      <c r="D664" s="53"/>
      <c r="E664" s="53"/>
      <c r="F664" s="53"/>
      <c r="G664" s="53"/>
    </row>
    <row r="665">
      <c r="B665" s="53"/>
      <c r="C665" s="53"/>
      <c r="D665" s="53"/>
      <c r="E665" s="53"/>
      <c r="F665" s="53"/>
      <c r="G665" s="53"/>
    </row>
    <row r="666">
      <c r="B666" s="53"/>
      <c r="C666" s="53"/>
      <c r="D666" s="53"/>
      <c r="E666" s="53"/>
      <c r="F666" s="53"/>
      <c r="G666" s="53"/>
    </row>
    <row r="667">
      <c r="B667" s="53"/>
      <c r="C667" s="53"/>
      <c r="D667" s="53"/>
      <c r="E667" s="53"/>
      <c r="F667" s="53"/>
      <c r="G667" s="53"/>
    </row>
    <row r="668">
      <c r="B668" s="53"/>
      <c r="C668" s="53"/>
      <c r="D668" s="53"/>
      <c r="E668" s="53"/>
      <c r="F668" s="53"/>
      <c r="G668" s="53"/>
    </row>
    <row r="669">
      <c r="B669" s="53"/>
      <c r="C669" s="53"/>
      <c r="D669" s="53"/>
      <c r="E669" s="53"/>
      <c r="F669" s="53"/>
      <c r="G669" s="53"/>
    </row>
    <row r="670">
      <c r="B670" s="53"/>
      <c r="C670" s="53"/>
      <c r="D670" s="53"/>
      <c r="E670" s="53"/>
      <c r="F670" s="53"/>
      <c r="G670" s="53"/>
    </row>
    <row r="671">
      <c r="B671" s="53"/>
      <c r="C671" s="53"/>
      <c r="D671" s="53"/>
      <c r="E671" s="53"/>
      <c r="F671" s="53"/>
      <c r="G671" s="53"/>
    </row>
    <row r="672">
      <c r="B672" s="53"/>
      <c r="C672" s="53"/>
      <c r="D672" s="53"/>
      <c r="E672" s="53"/>
      <c r="F672" s="53"/>
      <c r="G672" s="53"/>
    </row>
    <row r="673">
      <c r="B673" s="53"/>
      <c r="C673" s="53"/>
      <c r="D673" s="53"/>
      <c r="E673" s="53"/>
      <c r="F673" s="53"/>
      <c r="G673" s="53"/>
    </row>
    <row r="674">
      <c r="B674" s="53"/>
      <c r="C674" s="53"/>
      <c r="D674" s="53"/>
      <c r="E674" s="53"/>
      <c r="F674" s="53"/>
      <c r="G674" s="53"/>
    </row>
    <row r="675">
      <c r="B675" s="53"/>
      <c r="C675" s="53"/>
      <c r="D675" s="53"/>
      <c r="E675" s="53"/>
      <c r="F675" s="53"/>
      <c r="G675" s="53"/>
    </row>
    <row r="676">
      <c r="B676" s="53"/>
      <c r="C676" s="53"/>
      <c r="D676" s="53"/>
      <c r="E676" s="53"/>
      <c r="F676" s="53"/>
      <c r="G676" s="53"/>
    </row>
    <row r="677">
      <c r="B677" s="53"/>
      <c r="C677" s="53"/>
      <c r="D677" s="53"/>
      <c r="E677" s="53"/>
      <c r="F677" s="53"/>
      <c r="G677" s="53"/>
    </row>
    <row r="678">
      <c r="B678" s="53"/>
      <c r="C678" s="53"/>
      <c r="D678" s="53"/>
      <c r="E678" s="53"/>
      <c r="F678" s="53"/>
      <c r="G678" s="53"/>
    </row>
    <row r="679">
      <c r="B679" s="53"/>
      <c r="C679" s="53"/>
      <c r="D679" s="53"/>
      <c r="E679" s="53"/>
      <c r="F679" s="53"/>
      <c r="G679" s="53"/>
    </row>
    <row r="680">
      <c r="B680" s="53"/>
      <c r="C680" s="53"/>
      <c r="D680" s="53"/>
      <c r="E680" s="53"/>
      <c r="F680" s="53"/>
      <c r="G680" s="53"/>
    </row>
    <row r="681">
      <c r="B681" s="53"/>
      <c r="C681" s="53"/>
      <c r="D681" s="53"/>
      <c r="E681" s="53"/>
      <c r="F681" s="53"/>
      <c r="G681" s="53"/>
    </row>
    <row r="682">
      <c r="B682" s="53"/>
      <c r="C682" s="53"/>
      <c r="D682" s="53"/>
      <c r="E682" s="53"/>
      <c r="F682" s="53"/>
      <c r="G682" s="53"/>
    </row>
    <row r="683">
      <c r="B683" s="53"/>
      <c r="C683" s="53"/>
      <c r="D683" s="53"/>
      <c r="E683" s="53"/>
      <c r="F683" s="53"/>
      <c r="G683" s="53"/>
    </row>
    <row r="684">
      <c r="B684" s="53"/>
      <c r="C684" s="53"/>
      <c r="D684" s="53"/>
      <c r="E684" s="53"/>
      <c r="F684" s="53"/>
      <c r="G684" s="53"/>
    </row>
    <row r="685">
      <c r="B685" s="53"/>
      <c r="C685" s="53"/>
      <c r="D685" s="53"/>
      <c r="E685" s="53"/>
      <c r="F685" s="53"/>
      <c r="G685" s="53"/>
    </row>
    <row r="686">
      <c r="B686" s="53"/>
      <c r="C686" s="53"/>
      <c r="D686" s="53"/>
      <c r="E686" s="53"/>
      <c r="F686" s="53"/>
      <c r="G686" s="53"/>
    </row>
    <row r="687">
      <c r="B687" s="53"/>
      <c r="C687" s="53"/>
      <c r="D687" s="53"/>
      <c r="E687" s="53"/>
      <c r="F687" s="53"/>
      <c r="G687" s="53"/>
    </row>
    <row r="688">
      <c r="B688" s="53"/>
      <c r="C688" s="53"/>
      <c r="D688" s="53"/>
      <c r="E688" s="53"/>
      <c r="F688" s="53"/>
      <c r="G688" s="53"/>
    </row>
    <row r="689">
      <c r="B689" s="53"/>
      <c r="C689" s="53"/>
      <c r="D689" s="53"/>
      <c r="E689" s="53"/>
      <c r="F689" s="53"/>
      <c r="G689" s="53"/>
    </row>
    <row r="690">
      <c r="B690" s="53"/>
      <c r="C690" s="53"/>
      <c r="D690" s="53"/>
      <c r="E690" s="53"/>
      <c r="F690" s="53"/>
      <c r="G690" s="53"/>
    </row>
    <row r="691">
      <c r="B691" s="53"/>
      <c r="C691" s="53"/>
      <c r="D691" s="53"/>
      <c r="E691" s="53"/>
      <c r="F691" s="53"/>
      <c r="G691" s="53"/>
    </row>
    <row r="692">
      <c r="B692" s="53"/>
      <c r="C692" s="53"/>
      <c r="D692" s="53"/>
      <c r="E692" s="53"/>
      <c r="F692" s="53"/>
      <c r="G692" s="53"/>
    </row>
    <row r="693">
      <c r="B693" s="53"/>
      <c r="C693" s="53"/>
      <c r="D693" s="53"/>
      <c r="E693" s="53"/>
      <c r="F693" s="53"/>
      <c r="G693" s="53"/>
    </row>
    <row r="694">
      <c r="B694" s="53"/>
      <c r="C694" s="53"/>
      <c r="D694" s="53"/>
      <c r="E694" s="53"/>
      <c r="F694" s="53"/>
      <c r="G694" s="53"/>
    </row>
    <row r="695">
      <c r="B695" s="53"/>
      <c r="C695" s="53"/>
      <c r="D695" s="53"/>
      <c r="E695" s="53"/>
      <c r="F695" s="53"/>
      <c r="G695" s="53"/>
    </row>
    <row r="696">
      <c r="B696" s="53"/>
      <c r="C696" s="53"/>
      <c r="D696" s="53"/>
      <c r="E696" s="53"/>
      <c r="F696" s="53"/>
      <c r="G696" s="53"/>
    </row>
    <row r="697">
      <c r="B697" s="53"/>
      <c r="C697" s="53"/>
      <c r="D697" s="53"/>
      <c r="E697" s="53"/>
      <c r="F697" s="53"/>
      <c r="G697" s="53"/>
    </row>
    <row r="698">
      <c r="B698" s="53"/>
      <c r="C698" s="53"/>
      <c r="D698" s="53"/>
      <c r="E698" s="53"/>
      <c r="F698" s="53"/>
      <c r="G698" s="53"/>
    </row>
    <row r="699">
      <c r="B699" s="53"/>
      <c r="C699" s="53"/>
      <c r="D699" s="53"/>
      <c r="E699" s="53"/>
      <c r="F699" s="53"/>
      <c r="G699" s="53"/>
    </row>
    <row r="700">
      <c r="B700" s="53"/>
      <c r="C700" s="53"/>
      <c r="D700" s="53"/>
      <c r="E700" s="53"/>
      <c r="F700" s="53"/>
      <c r="G700" s="53"/>
    </row>
    <row r="701">
      <c r="B701" s="53"/>
      <c r="C701" s="53"/>
      <c r="D701" s="53"/>
      <c r="E701" s="53"/>
      <c r="F701" s="53"/>
      <c r="G701" s="53"/>
    </row>
    <row r="702">
      <c r="B702" s="53"/>
      <c r="C702" s="53"/>
      <c r="D702" s="53"/>
      <c r="E702" s="53"/>
      <c r="F702" s="53"/>
      <c r="G702" s="53"/>
    </row>
    <row r="703">
      <c r="B703" s="53"/>
      <c r="C703" s="53"/>
      <c r="D703" s="53"/>
      <c r="E703" s="53"/>
      <c r="F703" s="53"/>
      <c r="G703" s="53"/>
    </row>
    <row r="704">
      <c r="B704" s="53"/>
      <c r="C704" s="53"/>
      <c r="D704" s="53"/>
      <c r="E704" s="53"/>
      <c r="F704" s="53"/>
      <c r="G704" s="53"/>
    </row>
    <row r="705">
      <c r="B705" s="53"/>
      <c r="C705" s="53"/>
      <c r="D705" s="53"/>
      <c r="E705" s="53"/>
      <c r="F705" s="53"/>
      <c r="G705" s="53"/>
    </row>
    <row r="706">
      <c r="B706" s="53"/>
      <c r="C706" s="53"/>
      <c r="D706" s="53"/>
      <c r="E706" s="53"/>
      <c r="F706" s="53"/>
      <c r="G706" s="53"/>
    </row>
    <row r="707">
      <c r="B707" s="53"/>
      <c r="C707" s="53"/>
      <c r="D707" s="53"/>
      <c r="E707" s="53"/>
      <c r="F707" s="53"/>
      <c r="G707" s="53"/>
    </row>
    <row r="708">
      <c r="B708" s="53"/>
      <c r="C708" s="53"/>
      <c r="D708" s="53"/>
      <c r="E708" s="53"/>
      <c r="F708" s="53"/>
      <c r="G708" s="53"/>
    </row>
    <row r="709">
      <c r="B709" s="53"/>
      <c r="C709" s="53"/>
      <c r="D709" s="53"/>
      <c r="E709" s="53"/>
      <c r="F709" s="53"/>
      <c r="G709" s="53"/>
    </row>
    <row r="710">
      <c r="B710" s="53"/>
      <c r="C710" s="53"/>
      <c r="D710" s="53"/>
      <c r="E710" s="53"/>
      <c r="F710" s="53"/>
      <c r="G710" s="53"/>
    </row>
    <row r="711">
      <c r="B711" s="53"/>
      <c r="C711" s="53"/>
      <c r="D711" s="53"/>
      <c r="E711" s="53"/>
      <c r="F711" s="53"/>
      <c r="G711" s="53"/>
    </row>
    <row r="712">
      <c r="B712" s="53"/>
      <c r="C712" s="53"/>
      <c r="D712" s="53"/>
      <c r="E712" s="53"/>
      <c r="F712" s="53"/>
      <c r="G712" s="53"/>
    </row>
    <row r="713">
      <c r="B713" s="53"/>
      <c r="C713" s="53"/>
      <c r="D713" s="53"/>
      <c r="E713" s="53"/>
      <c r="F713" s="53"/>
      <c r="G713" s="53"/>
    </row>
    <row r="714">
      <c r="B714" s="53"/>
      <c r="C714" s="53"/>
      <c r="D714" s="53"/>
      <c r="E714" s="53"/>
      <c r="F714" s="53"/>
      <c r="G714" s="53"/>
    </row>
    <row r="715">
      <c r="B715" s="53"/>
      <c r="C715" s="53"/>
      <c r="D715" s="53"/>
      <c r="E715" s="53"/>
      <c r="F715" s="53"/>
      <c r="G715" s="53"/>
    </row>
    <row r="716">
      <c r="B716" s="53"/>
      <c r="C716" s="53"/>
      <c r="D716" s="53"/>
      <c r="E716" s="53"/>
      <c r="F716" s="53"/>
      <c r="G716" s="53"/>
    </row>
    <row r="717">
      <c r="B717" s="53"/>
      <c r="C717" s="53"/>
      <c r="D717" s="53"/>
      <c r="E717" s="53"/>
      <c r="F717" s="53"/>
      <c r="G717" s="53"/>
    </row>
    <row r="718">
      <c r="B718" s="53"/>
      <c r="C718" s="53"/>
      <c r="D718" s="53"/>
      <c r="E718" s="53"/>
      <c r="F718" s="53"/>
      <c r="G718" s="53"/>
    </row>
    <row r="719">
      <c r="B719" s="53"/>
      <c r="C719" s="53"/>
      <c r="D719" s="53"/>
      <c r="E719" s="53"/>
      <c r="F719" s="53"/>
      <c r="G719" s="53"/>
    </row>
    <row r="720">
      <c r="B720" s="53"/>
      <c r="C720" s="53"/>
      <c r="D720" s="53"/>
      <c r="E720" s="53"/>
      <c r="F720" s="53"/>
      <c r="G720" s="53"/>
    </row>
    <row r="721">
      <c r="B721" s="53"/>
      <c r="C721" s="53"/>
      <c r="D721" s="53"/>
      <c r="E721" s="53"/>
      <c r="F721" s="53"/>
      <c r="G721" s="53"/>
    </row>
    <row r="722">
      <c r="B722" s="53"/>
      <c r="C722" s="53"/>
      <c r="D722" s="53"/>
      <c r="E722" s="53"/>
      <c r="F722" s="53"/>
      <c r="G722" s="53"/>
    </row>
    <row r="723">
      <c r="B723" s="53"/>
      <c r="C723" s="53"/>
      <c r="D723" s="53"/>
      <c r="E723" s="53"/>
      <c r="F723" s="53"/>
      <c r="G723" s="53"/>
    </row>
    <row r="724">
      <c r="B724" s="53"/>
      <c r="C724" s="53"/>
      <c r="D724" s="53"/>
      <c r="E724" s="53"/>
      <c r="F724" s="53"/>
      <c r="G724" s="53"/>
    </row>
    <row r="725">
      <c r="B725" s="53"/>
      <c r="C725" s="53"/>
      <c r="D725" s="53"/>
      <c r="E725" s="53"/>
      <c r="F725" s="53"/>
      <c r="G725" s="53"/>
    </row>
    <row r="726">
      <c r="B726" s="53"/>
      <c r="C726" s="53"/>
      <c r="D726" s="53"/>
      <c r="E726" s="53"/>
      <c r="F726" s="53"/>
      <c r="G726" s="53"/>
    </row>
    <row r="727">
      <c r="B727" s="53"/>
      <c r="C727" s="53"/>
      <c r="D727" s="53"/>
      <c r="E727" s="53"/>
      <c r="F727" s="53"/>
      <c r="G727" s="53"/>
    </row>
    <row r="728">
      <c r="B728" s="53"/>
      <c r="C728" s="53"/>
      <c r="D728" s="53"/>
      <c r="E728" s="53"/>
      <c r="F728" s="53"/>
      <c r="G728" s="53"/>
    </row>
    <row r="729">
      <c r="B729" s="53"/>
      <c r="C729" s="53"/>
      <c r="D729" s="53"/>
      <c r="E729" s="53"/>
      <c r="F729" s="53"/>
      <c r="G729" s="53"/>
    </row>
    <row r="730">
      <c r="B730" s="53"/>
      <c r="C730" s="53"/>
      <c r="D730" s="53"/>
      <c r="E730" s="53"/>
      <c r="F730" s="53"/>
      <c r="G730" s="53"/>
    </row>
    <row r="731">
      <c r="B731" s="53"/>
      <c r="C731" s="53"/>
      <c r="D731" s="53"/>
      <c r="E731" s="53"/>
      <c r="F731" s="53"/>
      <c r="G731" s="53"/>
    </row>
    <row r="732">
      <c r="B732" s="53"/>
      <c r="C732" s="53"/>
      <c r="D732" s="53"/>
      <c r="E732" s="53"/>
      <c r="F732" s="53"/>
      <c r="G732" s="53"/>
    </row>
    <row r="733">
      <c r="B733" s="53"/>
      <c r="C733" s="53"/>
      <c r="D733" s="53"/>
      <c r="E733" s="53"/>
      <c r="F733" s="53"/>
      <c r="G733" s="53"/>
    </row>
    <row r="734">
      <c r="B734" s="53"/>
      <c r="C734" s="53"/>
      <c r="D734" s="53"/>
      <c r="E734" s="53"/>
      <c r="F734" s="53"/>
      <c r="G734" s="53"/>
    </row>
    <row r="735">
      <c r="B735" s="53"/>
      <c r="C735" s="53"/>
      <c r="D735" s="53"/>
      <c r="E735" s="53"/>
      <c r="F735" s="53"/>
      <c r="G735" s="53"/>
    </row>
    <row r="736">
      <c r="B736" s="53"/>
      <c r="C736" s="53"/>
      <c r="D736" s="53"/>
      <c r="E736" s="53"/>
      <c r="F736" s="53"/>
      <c r="G736" s="53"/>
    </row>
    <row r="737">
      <c r="B737" s="53"/>
      <c r="C737" s="53"/>
      <c r="D737" s="53"/>
      <c r="E737" s="53"/>
      <c r="F737" s="53"/>
      <c r="G737" s="53"/>
    </row>
    <row r="738">
      <c r="B738" s="53"/>
      <c r="C738" s="53"/>
      <c r="D738" s="53"/>
      <c r="E738" s="53"/>
      <c r="F738" s="53"/>
      <c r="G738" s="53"/>
    </row>
    <row r="739">
      <c r="B739" s="53"/>
      <c r="C739" s="53"/>
      <c r="D739" s="53"/>
      <c r="E739" s="53"/>
      <c r="F739" s="53"/>
      <c r="G739" s="53"/>
    </row>
    <row r="740">
      <c r="B740" s="53"/>
      <c r="C740" s="53"/>
      <c r="D740" s="53"/>
      <c r="E740" s="53"/>
      <c r="F740" s="53"/>
      <c r="G740" s="53"/>
    </row>
    <row r="741">
      <c r="B741" s="53"/>
      <c r="C741" s="53"/>
      <c r="D741" s="53"/>
      <c r="E741" s="53"/>
      <c r="F741" s="53"/>
      <c r="G741" s="53"/>
    </row>
    <row r="742">
      <c r="B742" s="53"/>
      <c r="C742" s="53"/>
      <c r="D742" s="53"/>
      <c r="E742" s="53"/>
      <c r="F742" s="53"/>
      <c r="G742" s="53"/>
    </row>
    <row r="743">
      <c r="B743" s="53"/>
      <c r="C743" s="53"/>
      <c r="D743" s="53"/>
      <c r="E743" s="53"/>
      <c r="F743" s="53"/>
      <c r="G743" s="53"/>
    </row>
    <row r="744">
      <c r="B744" s="53"/>
      <c r="C744" s="53"/>
      <c r="D744" s="53"/>
      <c r="E744" s="53"/>
      <c r="F744" s="53"/>
      <c r="G744" s="53"/>
    </row>
    <row r="745">
      <c r="B745" s="53"/>
      <c r="C745" s="53"/>
      <c r="D745" s="53"/>
      <c r="E745" s="53"/>
      <c r="F745" s="53"/>
      <c r="G745" s="53"/>
    </row>
    <row r="746">
      <c r="B746" s="53"/>
      <c r="C746" s="53"/>
      <c r="D746" s="53"/>
      <c r="E746" s="53"/>
      <c r="F746" s="53"/>
      <c r="G746" s="53"/>
    </row>
    <row r="747">
      <c r="B747" s="53"/>
      <c r="C747" s="53"/>
      <c r="D747" s="53"/>
      <c r="E747" s="53"/>
      <c r="F747" s="53"/>
      <c r="G747" s="53"/>
    </row>
    <row r="748">
      <c r="B748" s="53"/>
      <c r="C748" s="53"/>
      <c r="D748" s="53"/>
      <c r="E748" s="53"/>
      <c r="F748" s="53"/>
      <c r="G748" s="53"/>
    </row>
    <row r="749">
      <c r="B749" s="53"/>
      <c r="C749" s="53"/>
      <c r="D749" s="53"/>
      <c r="E749" s="53"/>
      <c r="F749" s="53"/>
      <c r="G749" s="53"/>
    </row>
    <row r="750">
      <c r="B750" s="53"/>
      <c r="C750" s="53"/>
      <c r="D750" s="53"/>
      <c r="E750" s="53"/>
      <c r="F750" s="53"/>
      <c r="G750" s="53"/>
    </row>
    <row r="751">
      <c r="B751" s="53"/>
      <c r="C751" s="53"/>
      <c r="D751" s="53"/>
      <c r="E751" s="53"/>
      <c r="F751" s="53"/>
      <c r="G751" s="53"/>
    </row>
    <row r="752">
      <c r="B752" s="53"/>
      <c r="C752" s="53"/>
      <c r="D752" s="53"/>
      <c r="E752" s="53"/>
      <c r="F752" s="53"/>
      <c r="G752" s="53"/>
    </row>
    <row r="753">
      <c r="B753" s="53"/>
      <c r="C753" s="53"/>
      <c r="D753" s="53"/>
      <c r="E753" s="53"/>
      <c r="F753" s="53"/>
      <c r="G753" s="53"/>
    </row>
    <row r="754">
      <c r="B754" s="53"/>
      <c r="C754" s="53"/>
      <c r="D754" s="53"/>
      <c r="E754" s="53"/>
      <c r="F754" s="53"/>
      <c r="G754" s="53"/>
    </row>
    <row r="755">
      <c r="B755" s="53"/>
      <c r="C755" s="53"/>
      <c r="D755" s="53"/>
      <c r="E755" s="53"/>
      <c r="F755" s="53"/>
      <c r="G755" s="53"/>
    </row>
    <row r="756">
      <c r="B756" s="53"/>
      <c r="C756" s="53"/>
      <c r="D756" s="53"/>
      <c r="E756" s="53"/>
      <c r="F756" s="53"/>
      <c r="G756" s="53"/>
    </row>
    <row r="757">
      <c r="B757" s="53"/>
      <c r="C757" s="53"/>
      <c r="D757" s="53"/>
      <c r="E757" s="53"/>
      <c r="F757" s="53"/>
      <c r="G757" s="53"/>
    </row>
    <row r="758">
      <c r="B758" s="53"/>
      <c r="C758" s="53"/>
      <c r="D758" s="53"/>
      <c r="E758" s="53"/>
      <c r="F758" s="53"/>
      <c r="G758" s="53"/>
    </row>
    <row r="759">
      <c r="B759" s="53"/>
      <c r="C759" s="53"/>
      <c r="D759" s="53"/>
      <c r="E759" s="53"/>
      <c r="F759" s="53"/>
      <c r="G759" s="53"/>
    </row>
    <row r="760">
      <c r="B760" s="53"/>
      <c r="C760" s="53"/>
      <c r="D760" s="53"/>
      <c r="E760" s="53"/>
      <c r="F760" s="53"/>
      <c r="G760" s="53"/>
    </row>
    <row r="761">
      <c r="B761" s="53"/>
      <c r="C761" s="53"/>
      <c r="D761" s="53"/>
      <c r="E761" s="53"/>
      <c r="F761" s="53"/>
      <c r="G761" s="53"/>
    </row>
    <row r="762">
      <c r="B762" s="53"/>
      <c r="C762" s="53"/>
      <c r="D762" s="53"/>
      <c r="E762" s="53"/>
      <c r="F762" s="53"/>
      <c r="G762" s="53"/>
    </row>
    <row r="763">
      <c r="B763" s="53"/>
      <c r="C763" s="53"/>
      <c r="D763" s="53"/>
      <c r="E763" s="53"/>
      <c r="F763" s="53"/>
      <c r="G763" s="53"/>
    </row>
    <row r="764">
      <c r="B764" s="53"/>
      <c r="C764" s="53"/>
      <c r="D764" s="53"/>
      <c r="E764" s="53"/>
      <c r="F764" s="53"/>
      <c r="G764" s="53"/>
    </row>
    <row r="765">
      <c r="B765" s="53"/>
      <c r="C765" s="53"/>
      <c r="D765" s="53"/>
      <c r="E765" s="53"/>
      <c r="F765" s="53"/>
      <c r="G765" s="53"/>
    </row>
    <row r="766">
      <c r="B766" s="53"/>
      <c r="C766" s="53"/>
      <c r="D766" s="53"/>
      <c r="E766" s="53"/>
      <c r="F766" s="53"/>
      <c r="G766" s="53"/>
    </row>
    <row r="767">
      <c r="B767" s="53"/>
      <c r="C767" s="53"/>
      <c r="D767" s="53"/>
      <c r="E767" s="53"/>
      <c r="F767" s="53"/>
      <c r="G767" s="53"/>
    </row>
    <row r="768">
      <c r="B768" s="53"/>
      <c r="C768" s="53"/>
      <c r="D768" s="53"/>
      <c r="E768" s="53"/>
      <c r="F768" s="53"/>
      <c r="G768" s="53"/>
    </row>
    <row r="769">
      <c r="B769" s="53"/>
      <c r="C769" s="53"/>
      <c r="D769" s="53"/>
      <c r="E769" s="53"/>
      <c r="F769" s="53"/>
      <c r="G769" s="53"/>
    </row>
    <row r="770">
      <c r="B770" s="53"/>
      <c r="C770" s="53"/>
      <c r="D770" s="53"/>
      <c r="E770" s="53"/>
      <c r="F770" s="53"/>
      <c r="G770" s="53"/>
    </row>
    <row r="771">
      <c r="B771" s="53"/>
      <c r="C771" s="53"/>
      <c r="D771" s="53"/>
      <c r="E771" s="53"/>
      <c r="F771" s="53"/>
      <c r="G771" s="53"/>
    </row>
    <row r="772">
      <c r="B772" s="53"/>
      <c r="C772" s="53"/>
      <c r="D772" s="53"/>
      <c r="E772" s="53"/>
      <c r="F772" s="53"/>
      <c r="G772" s="53"/>
    </row>
    <row r="773">
      <c r="B773" s="53"/>
      <c r="C773" s="53"/>
      <c r="D773" s="53"/>
      <c r="E773" s="53"/>
      <c r="F773" s="53"/>
      <c r="G773" s="53"/>
    </row>
    <row r="774">
      <c r="B774" s="53"/>
      <c r="C774" s="53"/>
      <c r="D774" s="53"/>
      <c r="E774" s="53"/>
      <c r="F774" s="53"/>
      <c r="G774" s="53"/>
    </row>
    <row r="775">
      <c r="B775" s="53"/>
      <c r="C775" s="53"/>
      <c r="D775" s="53"/>
      <c r="E775" s="53"/>
      <c r="F775" s="53"/>
      <c r="G775" s="53"/>
    </row>
    <row r="776">
      <c r="B776" s="53"/>
      <c r="C776" s="53"/>
      <c r="D776" s="53"/>
      <c r="E776" s="53"/>
      <c r="F776" s="53"/>
      <c r="G776" s="53"/>
    </row>
    <row r="777">
      <c r="B777" s="53"/>
      <c r="C777" s="53"/>
      <c r="D777" s="53"/>
      <c r="E777" s="53"/>
      <c r="F777" s="53"/>
      <c r="G777" s="53"/>
    </row>
    <row r="778">
      <c r="B778" s="53"/>
      <c r="C778" s="53"/>
      <c r="D778" s="53"/>
      <c r="E778" s="53"/>
      <c r="F778" s="53"/>
      <c r="G778" s="53"/>
    </row>
    <row r="779">
      <c r="B779" s="53"/>
      <c r="C779" s="53"/>
      <c r="D779" s="53"/>
      <c r="E779" s="53"/>
      <c r="F779" s="53"/>
      <c r="G779" s="53"/>
    </row>
    <row r="780">
      <c r="B780" s="53"/>
      <c r="C780" s="53"/>
      <c r="D780" s="53"/>
      <c r="E780" s="53"/>
      <c r="F780" s="53"/>
      <c r="G780" s="53"/>
    </row>
    <row r="781">
      <c r="B781" s="53"/>
      <c r="C781" s="53"/>
      <c r="D781" s="53"/>
      <c r="E781" s="53"/>
      <c r="F781" s="53"/>
      <c r="G781" s="53"/>
    </row>
    <row r="782">
      <c r="B782" s="53"/>
      <c r="C782" s="53"/>
      <c r="D782" s="53"/>
      <c r="E782" s="53"/>
      <c r="F782" s="53"/>
      <c r="G782" s="53"/>
    </row>
    <row r="783">
      <c r="B783" s="53"/>
      <c r="C783" s="53"/>
      <c r="D783" s="53"/>
      <c r="E783" s="53"/>
      <c r="F783" s="53"/>
      <c r="G783" s="53"/>
    </row>
    <row r="784">
      <c r="B784" s="53"/>
      <c r="C784" s="53"/>
      <c r="D784" s="53"/>
      <c r="E784" s="53"/>
      <c r="F784" s="53"/>
      <c r="G784" s="53"/>
    </row>
    <row r="785">
      <c r="B785" s="53"/>
      <c r="C785" s="53"/>
      <c r="D785" s="53"/>
      <c r="E785" s="53"/>
      <c r="F785" s="53"/>
      <c r="G785" s="53"/>
    </row>
    <row r="786">
      <c r="B786" s="53"/>
      <c r="C786" s="53"/>
      <c r="D786" s="53"/>
      <c r="E786" s="53"/>
      <c r="F786" s="53"/>
      <c r="G786" s="53"/>
    </row>
    <row r="787">
      <c r="B787" s="53"/>
      <c r="C787" s="53"/>
      <c r="D787" s="53"/>
      <c r="E787" s="53"/>
      <c r="F787" s="53"/>
      <c r="G787" s="53"/>
    </row>
    <row r="788">
      <c r="B788" s="53"/>
      <c r="C788" s="53"/>
      <c r="D788" s="53"/>
      <c r="E788" s="53"/>
      <c r="F788" s="53"/>
      <c r="G788" s="53"/>
    </row>
    <row r="789">
      <c r="B789" s="53"/>
      <c r="C789" s="53"/>
      <c r="D789" s="53"/>
      <c r="E789" s="53"/>
      <c r="F789" s="53"/>
      <c r="G789" s="53"/>
    </row>
    <row r="790">
      <c r="B790" s="53"/>
      <c r="C790" s="53"/>
      <c r="D790" s="53"/>
      <c r="E790" s="53"/>
      <c r="F790" s="53"/>
      <c r="G790" s="53"/>
    </row>
    <row r="791">
      <c r="B791" s="53"/>
      <c r="C791" s="53"/>
      <c r="D791" s="53"/>
      <c r="E791" s="53"/>
      <c r="F791" s="53"/>
      <c r="G791" s="53"/>
    </row>
    <row r="792">
      <c r="B792" s="53"/>
      <c r="C792" s="53"/>
      <c r="D792" s="53"/>
      <c r="E792" s="53"/>
      <c r="F792" s="53"/>
      <c r="G792" s="53"/>
    </row>
    <row r="793">
      <c r="B793" s="53"/>
      <c r="C793" s="53"/>
      <c r="D793" s="53"/>
      <c r="E793" s="53"/>
      <c r="F793" s="53"/>
      <c r="G793" s="53"/>
    </row>
    <row r="794">
      <c r="B794" s="53"/>
      <c r="C794" s="53"/>
      <c r="D794" s="53"/>
      <c r="E794" s="53"/>
      <c r="F794" s="53"/>
      <c r="G794" s="53"/>
    </row>
    <row r="795">
      <c r="B795" s="53"/>
      <c r="C795" s="53"/>
      <c r="D795" s="53"/>
      <c r="E795" s="53"/>
      <c r="F795" s="53"/>
      <c r="G795" s="53"/>
    </row>
    <row r="796">
      <c r="B796" s="53"/>
      <c r="C796" s="53"/>
      <c r="D796" s="53"/>
      <c r="E796" s="53"/>
      <c r="F796" s="53"/>
      <c r="G796" s="53"/>
    </row>
    <row r="797">
      <c r="B797" s="53"/>
      <c r="C797" s="53"/>
      <c r="D797" s="53"/>
      <c r="E797" s="53"/>
      <c r="F797" s="53"/>
      <c r="G797" s="53"/>
    </row>
    <row r="798">
      <c r="B798" s="53"/>
      <c r="C798" s="53"/>
      <c r="D798" s="53"/>
      <c r="E798" s="53"/>
      <c r="F798" s="53"/>
      <c r="G798" s="53"/>
    </row>
    <row r="799">
      <c r="B799" s="53"/>
      <c r="C799" s="53"/>
      <c r="D799" s="53"/>
      <c r="E799" s="53"/>
      <c r="F799" s="53"/>
      <c r="G799" s="53"/>
    </row>
    <row r="800">
      <c r="B800" s="53"/>
      <c r="C800" s="53"/>
      <c r="D800" s="53"/>
      <c r="E800" s="53"/>
      <c r="F800" s="53"/>
      <c r="G800" s="53"/>
    </row>
    <row r="801">
      <c r="B801" s="53"/>
      <c r="C801" s="53"/>
      <c r="D801" s="53"/>
      <c r="E801" s="53"/>
      <c r="F801" s="53"/>
      <c r="G801" s="53"/>
    </row>
    <row r="802">
      <c r="B802" s="53"/>
      <c r="C802" s="53"/>
      <c r="D802" s="53"/>
      <c r="E802" s="53"/>
      <c r="F802" s="53"/>
      <c r="G802" s="53"/>
    </row>
    <row r="803">
      <c r="B803" s="53"/>
      <c r="C803" s="53"/>
      <c r="D803" s="53"/>
      <c r="E803" s="53"/>
      <c r="F803" s="53"/>
      <c r="G803" s="53"/>
    </row>
    <row r="804">
      <c r="B804" s="53"/>
      <c r="C804" s="53"/>
      <c r="D804" s="53"/>
      <c r="E804" s="53"/>
      <c r="F804" s="53"/>
      <c r="G804" s="53"/>
    </row>
    <row r="805">
      <c r="B805" s="53"/>
      <c r="C805" s="53"/>
      <c r="D805" s="53"/>
      <c r="E805" s="53"/>
      <c r="F805" s="53"/>
      <c r="G805" s="53"/>
    </row>
    <row r="806">
      <c r="B806" s="53"/>
      <c r="C806" s="53"/>
      <c r="D806" s="53"/>
      <c r="E806" s="53"/>
      <c r="F806" s="53"/>
      <c r="G806" s="53"/>
    </row>
    <row r="807">
      <c r="B807" s="53"/>
      <c r="C807" s="53"/>
      <c r="D807" s="53"/>
      <c r="E807" s="53"/>
      <c r="F807" s="53"/>
      <c r="G807" s="53"/>
    </row>
    <row r="808">
      <c r="B808" s="53"/>
      <c r="C808" s="53"/>
      <c r="D808" s="53"/>
      <c r="E808" s="53"/>
      <c r="F808" s="53"/>
      <c r="G808" s="53"/>
    </row>
    <row r="809">
      <c r="B809" s="53"/>
      <c r="C809" s="53"/>
      <c r="D809" s="53"/>
      <c r="E809" s="53"/>
      <c r="F809" s="53"/>
      <c r="G809" s="53"/>
    </row>
    <row r="810">
      <c r="B810" s="53"/>
      <c r="C810" s="53"/>
      <c r="D810" s="53"/>
      <c r="E810" s="53"/>
      <c r="F810" s="53"/>
      <c r="G810" s="53"/>
    </row>
    <row r="811">
      <c r="B811" s="53"/>
      <c r="C811" s="53"/>
      <c r="D811" s="53"/>
      <c r="E811" s="53"/>
      <c r="F811" s="53"/>
      <c r="G811" s="53"/>
    </row>
    <row r="812">
      <c r="B812" s="53"/>
      <c r="C812" s="53"/>
      <c r="D812" s="53"/>
      <c r="E812" s="53"/>
      <c r="F812" s="53"/>
      <c r="G812" s="53"/>
    </row>
    <row r="813">
      <c r="B813" s="53"/>
      <c r="C813" s="53"/>
      <c r="D813" s="53"/>
      <c r="E813" s="53"/>
      <c r="F813" s="53"/>
      <c r="G813" s="53"/>
    </row>
    <row r="814">
      <c r="B814" s="53"/>
      <c r="C814" s="53"/>
      <c r="D814" s="53"/>
      <c r="E814" s="53"/>
      <c r="F814" s="53"/>
      <c r="G814" s="53"/>
    </row>
    <row r="815">
      <c r="B815" s="53"/>
      <c r="C815" s="53"/>
      <c r="D815" s="53"/>
      <c r="E815" s="53"/>
      <c r="F815" s="53"/>
      <c r="G815" s="53"/>
    </row>
    <row r="816">
      <c r="B816" s="53"/>
      <c r="C816" s="53"/>
      <c r="D816" s="53"/>
      <c r="E816" s="53"/>
      <c r="F816" s="53"/>
      <c r="G816" s="53"/>
    </row>
    <row r="817">
      <c r="B817" s="53"/>
      <c r="C817" s="53"/>
      <c r="D817" s="53"/>
      <c r="E817" s="53"/>
      <c r="F817" s="53"/>
      <c r="G817" s="53"/>
    </row>
    <row r="818">
      <c r="B818" s="53"/>
      <c r="C818" s="53"/>
      <c r="D818" s="53"/>
      <c r="E818" s="53"/>
      <c r="F818" s="53"/>
      <c r="G818" s="53"/>
    </row>
    <row r="819">
      <c r="B819" s="53"/>
      <c r="C819" s="53"/>
      <c r="D819" s="53"/>
      <c r="E819" s="53"/>
      <c r="F819" s="53"/>
      <c r="G819" s="53"/>
    </row>
    <row r="820">
      <c r="B820" s="53"/>
      <c r="C820" s="53"/>
      <c r="D820" s="53"/>
      <c r="E820" s="53"/>
      <c r="F820" s="53"/>
      <c r="G820" s="53"/>
    </row>
    <row r="821">
      <c r="B821" s="53"/>
      <c r="C821" s="53"/>
      <c r="D821" s="53"/>
      <c r="E821" s="53"/>
      <c r="F821" s="53"/>
      <c r="G821" s="53"/>
    </row>
    <row r="822">
      <c r="B822" s="53"/>
      <c r="C822" s="53"/>
      <c r="D822" s="53"/>
      <c r="E822" s="53"/>
      <c r="F822" s="53"/>
      <c r="G822" s="53"/>
    </row>
    <row r="823">
      <c r="B823" s="53"/>
      <c r="C823" s="53"/>
      <c r="D823" s="53"/>
      <c r="E823" s="53"/>
      <c r="F823" s="53"/>
      <c r="G823" s="53"/>
    </row>
    <row r="824">
      <c r="B824" s="53"/>
      <c r="C824" s="53"/>
      <c r="D824" s="53"/>
      <c r="E824" s="53"/>
      <c r="F824" s="53"/>
      <c r="G824" s="53"/>
    </row>
    <row r="825">
      <c r="B825" s="53"/>
      <c r="C825" s="53"/>
      <c r="D825" s="53"/>
      <c r="E825" s="53"/>
      <c r="F825" s="53"/>
      <c r="G825" s="53"/>
    </row>
    <row r="826">
      <c r="B826" s="53"/>
      <c r="C826" s="53"/>
      <c r="D826" s="53"/>
      <c r="E826" s="53"/>
      <c r="F826" s="53"/>
      <c r="G826" s="53"/>
    </row>
    <row r="827">
      <c r="B827" s="53"/>
      <c r="C827" s="53"/>
      <c r="D827" s="53"/>
      <c r="E827" s="53"/>
      <c r="F827" s="53"/>
      <c r="G827" s="53"/>
    </row>
    <row r="828">
      <c r="B828" s="53"/>
      <c r="C828" s="53"/>
      <c r="D828" s="53"/>
      <c r="E828" s="53"/>
      <c r="F828" s="53"/>
      <c r="G828" s="53"/>
    </row>
    <row r="829">
      <c r="B829" s="53"/>
      <c r="C829" s="53"/>
      <c r="D829" s="53"/>
      <c r="E829" s="53"/>
      <c r="F829" s="53"/>
      <c r="G829" s="53"/>
    </row>
    <row r="830">
      <c r="B830" s="53"/>
      <c r="C830" s="53"/>
      <c r="D830" s="53"/>
      <c r="E830" s="53"/>
      <c r="F830" s="53"/>
      <c r="G830" s="53"/>
    </row>
    <row r="831">
      <c r="B831" s="53"/>
      <c r="C831" s="53"/>
      <c r="D831" s="53"/>
      <c r="E831" s="53"/>
      <c r="F831" s="53"/>
      <c r="G831" s="53"/>
    </row>
    <row r="832">
      <c r="B832" s="53"/>
      <c r="C832" s="53"/>
      <c r="D832" s="53"/>
      <c r="E832" s="53"/>
      <c r="F832" s="53"/>
      <c r="G832" s="53"/>
    </row>
    <row r="833">
      <c r="B833" s="53"/>
      <c r="C833" s="53"/>
      <c r="D833" s="53"/>
      <c r="E833" s="53"/>
      <c r="F833" s="53"/>
      <c r="G833" s="53"/>
    </row>
    <row r="834">
      <c r="B834" s="53"/>
      <c r="C834" s="53"/>
      <c r="D834" s="53"/>
      <c r="E834" s="53"/>
      <c r="F834" s="53"/>
      <c r="G834" s="53"/>
    </row>
    <row r="835">
      <c r="B835" s="53"/>
      <c r="C835" s="53"/>
      <c r="D835" s="53"/>
      <c r="E835" s="53"/>
      <c r="F835" s="53"/>
      <c r="G835" s="53"/>
    </row>
    <row r="836">
      <c r="B836" s="53"/>
      <c r="C836" s="53"/>
      <c r="D836" s="53"/>
      <c r="E836" s="53"/>
      <c r="F836" s="53"/>
      <c r="G836" s="53"/>
    </row>
    <row r="837">
      <c r="B837" s="53"/>
      <c r="C837" s="53"/>
      <c r="D837" s="53"/>
      <c r="E837" s="53"/>
      <c r="F837" s="53"/>
      <c r="G837" s="53"/>
    </row>
    <row r="838">
      <c r="B838" s="53"/>
      <c r="C838" s="53"/>
      <c r="D838" s="53"/>
      <c r="E838" s="53"/>
      <c r="F838" s="53"/>
      <c r="G838" s="53"/>
    </row>
    <row r="839">
      <c r="B839" s="53"/>
      <c r="C839" s="53"/>
      <c r="D839" s="53"/>
      <c r="E839" s="53"/>
      <c r="F839" s="53"/>
      <c r="G839" s="53"/>
    </row>
    <row r="840">
      <c r="B840" s="53"/>
      <c r="C840" s="53"/>
      <c r="D840" s="53"/>
      <c r="E840" s="53"/>
      <c r="F840" s="53"/>
      <c r="G840" s="53"/>
    </row>
    <row r="841">
      <c r="B841" s="53"/>
      <c r="C841" s="53"/>
      <c r="D841" s="53"/>
      <c r="E841" s="53"/>
      <c r="F841" s="53"/>
      <c r="G841" s="53"/>
    </row>
    <row r="842">
      <c r="B842" s="53"/>
      <c r="C842" s="53"/>
      <c r="D842" s="53"/>
      <c r="E842" s="53"/>
      <c r="F842" s="53"/>
      <c r="G842" s="53"/>
    </row>
    <row r="843">
      <c r="B843" s="53"/>
      <c r="C843" s="53"/>
      <c r="D843" s="53"/>
      <c r="E843" s="53"/>
      <c r="F843" s="53"/>
      <c r="G843" s="53"/>
    </row>
    <row r="844">
      <c r="B844" s="53"/>
      <c r="C844" s="53"/>
      <c r="D844" s="53"/>
      <c r="E844" s="53"/>
      <c r="F844" s="53"/>
      <c r="G844" s="53"/>
    </row>
    <row r="845">
      <c r="B845" s="53"/>
      <c r="C845" s="53"/>
      <c r="D845" s="53"/>
      <c r="E845" s="53"/>
      <c r="F845" s="53"/>
      <c r="G845" s="53"/>
    </row>
    <row r="846">
      <c r="B846" s="53"/>
      <c r="C846" s="53"/>
      <c r="D846" s="53"/>
      <c r="E846" s="53"/>
      <c r="F846" s="53"/>
      <c r="G846" s="53"/>
    </row>
    <row r="847">
      <c r="B847" s="53"/>
      <c r="C847" s="53"/>
      <c r="D847" s="53"/>
      <c r="E847" s="53"/>
      <c r="F847" s="53"/>
      <c r="G847" s="53"/>
    </row>
    <row r="848">
      <c r="B848" s="53"/>
      <c r="C848" s="53"/>
      <c r="D848" s="53"/>
      <c r="E848" s="53"/>
      <c r="F848" s="53"/>
      <c r="G848" s="53"/>
    </row>
    <row r="849">
      <c r="B849" s="53"/>
      <c r="C849" s="53"/>
      <c r="D849" s="53"/>
      <c r="E849" s="53"/>
      <c r="F849" s="53"/>
      <c r="G849" s="53"/>
    </row>
    <row r="850">
      <c r="B850" s="53"/>
      <c r="C850" s="53"/>
      <c r="D850" s="53"/>
      <c r="E850" s="53"/>
      <c r="F850" s="53"/>
      <c r="G850" s="53"/>
    </row>
    <row r="851">
      <c r="B851" s="53"/>
      <c r="C851" s="53"/>
      <c r="D851" s="53"/>
      <c r="E851" s="53"/>
      <c r="F851" s="53"/>
      <c r="G851" s="53"/>
    </row>
    <row r="852">
      <c r="B852" s="53"/>
      <c r="C852" s="53"/>
      <c r="D852" s="53"/>
      <c r="E852" s="53"/>
      <c r="F852" s="53"/>
      <c r="G852" s="53"/>
    </row>
    <row r="853">
      <c r="B853" s="53"/>
      <c r="C853" s="53"/>
      <c r="D853" s="53"/>
      <c r="E853" s="53"/>
      <c r="F853" s="53"/>
      <c r="G853" s="53"/>
    </row>
    <row r="854">
      <c r="B854" s="53"/>
      <c r="C854" s="53"/>
      <c r="D854" s="53"/>
      <c r="E854" s="53"/>
      <c r="F854" s="53"/>
      <c r="G854" s="53"/>
    </row>
    <row r="855">
      <c r="B855" s="53"/>
      <c r="C855" s="53"/>
      <c r="D855" s="53"/>
      <c r="E855" s="53"/>
      <c r="F855" s="53"/>
      <c r="G855" s="53"/>
    </row>
    <row r="856">
      <c r="B856" s="53"/>
      <c r="C856" s="53"/>
      <c r="D856" s="53"/>
      <c r="E856" s="53"/>
      <c r="F856" s="53"/>
      <c r="G856" s="53"/>
    </row>
    <row r="857">
      <c r="B857" s="53"/>
      <c r="C857" s="53"/>
      <c r="D857" s="53"/>
      <c r="E857" s="53"/>
      <c r="F857" s="53"/>
      <c r="G857" s="53"/>
    </row>
    <row r="858">
      <c r="B858" s="53"/>
      <c r="C858" s="53"/>
      <c r="D858" s="53"/>
      <c r="E858" s="53"/>
      <c r="F858" s="53"/>
      <c r="G858" s="53"/>
    </row>
    <row r="859">
      <c r="B859" s="53"/>
      <c r="C859" s="53"/>
      <c r="D859" s="53"/>
      <c r="E859" s="53"/>
      <c r="F859" s="53"/>
      <c r="G859" s="53"/>
    </row>
    <row r="860">
      <c r="B860" s="53"/>
      <c r="C860" s="53"/>
      <c r="D860" s="53"/>
      <c r="E860" s="53"/>
      <c r="F860" s="53"/>
      <c r="G860" s="53"/>
    </row>
    <row r="861">
      <c r="B861" s="53"/>
      <c r="C861" s="53"/>
      <c r="D861" s="53"/>
      <c r="E861" s="53"/>
      <c r="F861" s="53"/>
      <c r="G861" s="53"/>
    </row>
    <row r="862">
      <c r="B862" s="53"/>
      <c r="C862" s="53"/>
      <c r="D862" s="53"/>
      <c r="E862" s="53"/>
      <c r="F862" s="53"/>
      <c r="G862" s="53"/>
    </row>
    <row r="863">
      <c r="B863" s="53"/>
      <c r="C863" s="53"/>
      <c r="D863" s="53"/>
      <c r="E863" s="53"/>
      <c r="F863" s="53"/>
      <c r="G863" s="53"/>
    </row>
    <row r="864">
      <c r="B864" s="53"/>
      <c r="C864" s="53"/>
      <c r="D864" s="53"/>
      <c r="E864" s="53"/>
      <c r="F864" s="53"/>
      <c r="G864" s="53"/>
    </row>
    <row r="865">
      <c r="B865" s="53"/>
      <c r="C865" s="53"/>
      <c r="D865" s="53"/>
      <c r="E865" s="53"/>
      <c r="F865" s="53"/>
      <c r="G865" s="53"/>
    </row>
    <row r="866">
      <c r="B866" s="53"/>
      <c r="C866" s="53"/>
      <c r="D866" s="53"/>
      <c r="E866" s="53"/>
      <c r="F866" s="53"/>
      <c r="G866" s="53"/>
    </row>
    <row r="867">
      <c r="B867" s="53"/>
      <c r="C867" s="53"/>
      <c r="D867" s="53"/>
      <c r="E867" s="53"/>
      <c r="F867" s="53"/>
      <c r="G867" s="53"/>
    </row>
    <row r="868">
      <c r="B868" s="53"/>
      <c r="C868" s="53"/>
      <c r="D868" s="53"/>
      <c r="E868" s="53"/>
      <c r="F868" s="53"/>
      <c r="G868" s="53"/>
    </row>
    <row r="869">
      <c r="B869" s="53"/>
      <c r="C869" s="53"/>
      <c r="D869" s="53"/>
      <c r="E869" s="53"/>
      <c r="F869" s="53"/>
      <c r="G869" s="53"/>
    </row>
    <row r="870">
      <c r="B870" s="53"/>
      <c r="C870" s="53"/>
      <c r="D870" s="53"/>
      <c r="E870" s="53"/>
      <c r="F870" s="53"/>
      <c r="G870" s="53"/>
    </row>
    <row r="871">
      <c r="B871" s="53"/>
      <c r="C871" s="53"/>
      <c r="D871" s="53"/>
      <c r="E871" s="53"/>
      <c r="F871" s="53"/>
      <c r="G871" s="53"/>
    </row>
    <row r="872">
      <c r="B872" s="53"/>
      <c r="C872" s="53"/>
      <c r="D872" s="53"/>
      <c r="E872" s="53"/>
      <c r="F872" s="53"/>
      <c r="G872" s="53"/>
    </row>
    <row r="873">
      <c r="B873" s="53"/>
      <c r="C873" s="53"/>
      <c r="D873" s="53"/>
      <c r="E873" s="53"/>
      <c r="F873" s="53"/>
      <c r="G873" s="53"/>
    </row>
    <row r="874">
      <c r="B874" s="53"/>
      <c r="C874" s="53"/>
      <c r="D874" s="53"/>
      <c r="E874" s="53"/>
      <c r="F874" s="53"/>
      <c r="G874" s="53"/>
    </row>
    <row r="875">
      <c r="B875" s="53"/>
      <c r="C875" s="53"/>
      <c r="D875" s="53"/>
      <c r="E875" s="53"/>
      <c r="F875" s="53"/>
      <c r="G875" s="53"/>
    </row>
    <row r="876">
      <c r="B876" s="53"/>
      <c r="C876" s="53"/>
      <c r="D876" s="53"/>
      <c r="E876" s="53"/>
      <c r="F876" s="53"/>
      <c r="G876" s="53"/>
    </row>
    <row r="877">
      <c r="B877" s="53"/>
      <c r="C877" s="53"/>
      <c r="D877" s="53"/>
      <c r="E877" s="53"/>
      <c r="F877" s="53"/>
      <c r="G877" s="53"/>
    </row>
    <row r="878">
      <c r="B878" s="53"/>
      <c r="C878" s="53"/>
      <c r="D878" s="53"/>
      <c r="E878" s="53"/>
      <c r="F878" s="53"/>
      <c r="G878" s="53"/>
    </row>
    <row r="879">
      <c r="B879" s="53"/>
      <c r="C879" s="53"/>
      <c r="D879" s="53"/>
      <c r="E879" s="53"/>
      <c r="F879" s="53"/>
      <c r="G879" s="53"/>
    </row>
    <row r="880">
      <c r="B880" s="53"/>
      <c r="C880" s="53"/>
      <c r="D880" s="53"/>
      <c r="E880" s="53"/>
      <c r="F880" s="53"/>
      <c r="G880" s="53"/>
    </row>
    <row r="881">
      <c r="B881" s="53"/>
      <c r="C881" s="53"/>
      <c r="D881" s="53"/>
      <c r="E881" s="53"/>
      <c r="F881" s="53"/>
      <c r="G881" s="53"/>
    </row>
    <row r="882">
      <c r="B882" s="53"/>
      <c r="C882" s="53"/>
      <c r="D882" s="53"/>
      <c r="E882" s="53"/>
      <c r="F882" s="53"/>
      <c r="G882" s="53"/>
    </row>
    <row r="883">
      <c r="B883" s="53"/>
      <c r="C883" s="53"/>
      <c r="D883" s="53"/>
      <c r="E883" s="53"/>
      <c r="F883" s="53"/>
      <c r="G883" s="53"/>
    </row>
    <row r="884">
      <c r="B884" s="53"/>
      <c r="C884" s="53"/>
      <c r="D884" s="53"/>
      <c r="E884" s="53"/>
      <c r="F884" s="53"/>
      <c r="G884" s="53"/>
    </row>
    <row r="885">
      <c r="B885" s="53"/>
      <c r="C885" s="53"/>
      <c r="D885" s="53"/>
      <c r="E885" s="53"/>
      <c r="F885" s="53"/>
      <c r="G885" s="53"/>
    </row>
    <row r="886">
      <c r="B886" s="53"/>
      <c r="C886" s="53"/>
      <c r="D886" s="53"/>
      <c r="E886" s="53"/>
      <c r="F886" s="53"/>
      <c r="G886" s="53"/>
    </row>
    <row r="887">
      <c r="B887" s="53"/>
      <c r="C887" s="53"/>
      <c r="D887" s="53"/>
      <c r="E887" s="53"/>
      <c r="F887" s="53"/>
      <c r="G887" s="53"/>
    </row>
    <row r="888">
      <c r="B888" s="53"/>
      <c r="C888" s="53"/>
      <c r="D888" s="53"/>
      <c r="E888" s="53"/>
      <c r="F888" s="53"/>
      <c r="G888" s="53"/>
    </row>
    <row r="889">
      <c r="B889" s="53"/>
      <c r="C889" s="53"/>
      <c r="D889" s="53"/>
      <c r="E889" s="53"/>
      <c r="F889" s="53"/>
      <c r="G889" s="53"/>
    </row>
    <row r="890">
      <c r="B890" s="53"/>
      <c r="C890" s="53"/>
      <c r="D890" s="53"/>
      <c r="E890" s="53"/>
      <c r="F890" s="53"/>
      <c r="G890" s="53"/>
    </row>
    <row r="891">
      <c r="B891" s="53"/>
      <c r="C891" s="53"/>
      <c r="D891" s="53"/>
      <c r="E891" s="53"/>
      <c r="F891" s="53"/>
      <c r="G891" s="53"/>
    </row>
    <row r="892">
      <c r="B892" s="53"/>
      <c r="C892" s="53"/>
      <c r="D892" s="53"/>
      <c r="E892" s="53"/>
      <c r="F892" s="53"/>
      <c r="G892" s="53"/>
    </row>
    <row r="893">
      <c r="B893" s="53"/>
      <c r="C893" s="53"/>
      <c r="D893" s="53"/>
      <c r="E893" s="53"/>
      <c r="F893" s="53"/>
      <c r="G893" s="53"/>
    </row>
    <row r="894">
      <c r="B894" s="53"/>
      <c r="C894" s="53"/>
      <c r="D894" s="53"/>
      <c r="E894" s="53"/>
      <c r="F894" s="53"/>
      <c r="G894" s="53"/>
    </row>
    <row r="895">
      <c r="B895" s="53"/>
      <c r="C895" s="53"/>
      <c r="D895" s="53"/>
      <c r="E895" s="53"/>
      <c r="F895" s="53"/>
      <c r="G895" s="53"/>
    </row>
    <row r="896">
      <c r="B896" s="53"/>
      <c r="C896" s="53"/>
      <c r="D896" s="53"/>
      <c r="E896" s="53"/>
      <c r="F896" s="53"/>
      <c r="G896" s="53"/>
    </row>
    <row r="897">
      <c r="B897" s="53"/>
      <c r="C897" s="53"/>
      <c r="D897" s="53"/>
      <c r="E897" s="53"/>
      <c r="F897" s="53"/>
      <c r="G897" s="53"/>
    </row>
    <row r="898">
      <c r="B898" s="53"/>
      <c r="C898" s="53"/>
      <c r="D898" s="53"/>
      <c r="E898" s="53"/>
      <c r="F898" s="53"/>
      <c r="G898" s="53"/>
    </row>
    <row r="899">
      <c r="B899" s="53"/>
      <c r="C899" s="53"/>
      <c r="D899" s="53"/>
      <c r="E899" s="53"/>
      <c r="F899" s="53"/>
      <c r="G899" s="53"/>
    </row>
    <row r="900">
      <c r="B900" s="53"/>
      <c r="C900" s="53"/>
      <c r="D900" s="53"/>
      <c r="E900" s="53"/>
      <c r="F900" s="53"/>
      <c r="G900" s="53"/>
    </row>
    <row r="901">
      <c r="B901" s="53"/>
      <c r="C901" s="53"/>
      <c r="D901" s="53"/>
      <c r="E901" s="53"/>
      <c r="F901" s="53"/>
      <c r="G901" s="53"/>
    </row>
    <row r="902">
      <c r="B902" s="53"/>
      <c r="C902" s="53"/>
      <c r="D902" s="53"/>
      <c r="E902" s="53"/>
      <c r="F902" s="53"/>
      <c r="G902" s="53"/>
    </row>
    <row r="903">
      <c r="B903" s="53"/>
      <c r="C903" s="53"/>
      <c r="D903" s="53"/>
      <c r="E903" s="53"/>
      <c r="F903" s="53"/>
      <c r="G903" s="53"/>
    </row>
    <row r="904">
      <c r="B904" s="53"/>
      <c r="C904" s="53"/>
      <c r="D904" s="53"/>
      <c r="E904" s="53"/>
      <c r="F904" s="53"/>
      <c r="G904" s="53"/>
    </row>
    <row r="905">
      <c r="B905" s="53"/>
      <c r="C905" s="53"/>
      <c r="D905" s="53"/>
      <c r="E905" s="53"/>
      <c r="F905" s="53"/>
      <c r="G905" s="53"/>
    </row>
    <row r="906">
      <c r="B906" s="53"/>
      <c r="C906" s="53"/>
      <c r="D906" s="53"/>
      <c r="E906" s="53"/>
      <c r="F906" s="53"/>
      <c r="G906" s="53"/>
    </row>
    <row r="907">
      <c r="B907" s="53"/>
      <c r="C907" s="53"/>
      <c r="D907" s="53"/>
      <c r="E907" s="53"/>
      <c r="F907" s="53"/>
      <c r="G907" s="53"/>
    </row>
    <row r="908">
      <c r="B908" s="53"/>
      <c r="C908" s="53"/>
      <c r="D908" s="53"/>
      <c r="E908" s="53"/>
      <c r="F908" s="53"/>
      <c r="G908" s="53"/>
    </row>
    <row r="909">
      <c r="B909" s="53"/>
      <c r="C909" s="53"/>
      <c r="D909" s="53"/>
      <c r="E909" s="53"/>
      <c r="F909" s="53"/>
      <c r="G909" s="53"/>
    </row>
    <row r="910">
      <c r="B910" s="53"/>
      <c r="C910" s="53"/>
      <c r="D910" s="53"/>
      <c r="E910" s="53"/>
      <c r="F910" s="53"/>
      <c r="G910" s="53"/>
    </row>
    <row r="911">
      <c r="B911" s="53"/>
      <c r="C911" s="53"/>
      <c r="D911" s="53"/>
      <c r="E911" s="53"/>
      <c r="F911" s="53"/>
      <c r="G911" s="53"/>
    </row>
    <row r="912">
      <c r="B912" s="53"/>
      <c r="C912" s="53"/>
      <c r="D912" s="53"/>
      <c r="E912" s="53"/>
      <c r="F912" s="53"/>
      <c r="G912" s="53"/>
    </row>
    <row r="913">
      <c r="B913" s="53"/>
      <c r="C913" s="53"/>
      <c r="D913" s="53"/>
      <c r="E913" s="53"/>
      <c r="F913" s="53"/>
      <c r="G913" s="53"/>
    </row>
    <row r="914">
      <c r="B914" s="53"/>
      <c r="C914" s="53"/>
      <c r="D914" s="53"/>
      <c r="E914" s="53"/>
      <c r="F914" s="53"/>
      <c r="G914" s="53"/>
    </row>
    <row r="915">
      <c r="B915" s="53"/>
      <c r="C915" s="53"/>
      <c r="D915" s="53"/>
      <c r="E915" s="53"/>
      <c r="F915" s="53"/>
      <c r="G915" s="53"/>
    </row>
    <row r="916">
      <c r="B916" s="53"/>
      <c r="C916" s="53"/>
      <c r="D916" s="53"/>
      <c r="E916" s="53"/>
      <c r="F916" s="53"/>
      <c r="G916" s="53"/>
    </row>
    <row r="917">
      <c r="B917" s="53"/>
      <c r="C917" s="53"/>
      <c r="D917" s="53"/>
      <c r="E917" s="53"/>
      <c r="F917" s="53"/>
      <c r="G917" s="53"/>
    </row>
    <row r="918">
      <c r="B918" s="53"/>
      <c r="C918" s="53"/>
      <c r="D918" s="53"/>
      <c r="E918" s="53"/>
      <c r="F918" s="53"/>
      <c r="G918" s="53"/>
    </row>
    <row r="919">
      <c r="B919" s="53"/>
      <c r="C919" s="53"/>
      <c r="D919" s="53"/>
      <c r="E919" s="53"/>
      <c r="F919" s="53"/>
      <c r="G919" s="53"/>
    </row>
    <row r="920">
      <c r="B920" s="53"/>
      <c r="C920" s="53"/>
      <c r="D920" s="53"/>
      <c r="E920" s="53"/>
      <c r="F920" s="53"/>
      <c r="G920" s="53"/>
    </row>
    <row r="921">
      <c r="B921" s="53"/>
      <c r="C921" s="53"/>
      <c r="D921" s="53"/>
      <c r="E921" s="53"/>
      <c r="F921" s="53"/>
      <c r="G921" s="53"/>
    </row>
    <row r="922">
      <c r="B922" s="53"/>
      <c r="C922" s="53"/>
      <c r="D922" s="53"/>
      <c r="E922" s="53"/>
      <c r="F922" s="53"/>
      <c r="G922" s="53"/>
    </row>
    <row r="923">
      <c r="B923" s="53"/>
      <c r="C923" s="53"/>
      <c r="D923" s="53"/>
      <c r="E923" s="53"/>
      <c r="F923" s="53"/>
      <c r="G923" s="53"/>
    </row>
    <row r="924">
      <c r="B924" s="53"/>
      <c r="C924" s="53"/>
      <c r="D924" s="53"/>
      <c r="E924" s="53"/>
      <c r="F924" s="53"/>
      <c r="G924" s="53"/>
    </row>
    <row r="925">
      <c r="B925" s="53"/>
      <c r="C925" s="53"/>
      <c r="D925" s="53"/>
      <c r="E925" s="53"/>
      <c r="F925" s="53"/>
      <c r="G925" s="53"/>
    </row>
    <row r="926">
      <c r="B926" s="53"/>
      <c r="C926" s="53"/>
      <c r="D926" s="53"/>
      <c r="E926" s="53"/>
      <c r="F926" s="53"/>
      <c r="G926" s="53"/>
    </row>
    <row r="927">
      <c r="B927" s="53"/>
      <c r="C927" s="53"/>
      <c r="D927" s="53"/>
      <c r="E927" s="53"/>
      <c r="F927" s="53"/>
      <c r="G927" s="53"/>
    </row>
    <row r="928">
      <c r="B928" s="53"/>
      <c r="C928" s="53"/>
      <c r="D928" s="53"/>
      <c r="E928" s="53"/>
      <c r="F928" s="53"/>
      <c r="G928" s="53"/>
    </row>
    <row r="929">
      <c r="B929" s="53"/>
      <c r="C929" s="53"/>
      <c r="D929" s="53"/>
      <c r="E929" s="53"/>
      <c r="F929" s="53"/>
      <c r="G929" s="53"/>
    </row>
    <row r="930">
      <c r="B930" s="53"/>
      <c r="C930" s="53"/>
      <c r="D930" s="53"/>
      <c r="E930" s="53"/>
      <c r="F930" s="53"/>
      <c r="G930" s="53"/>
    </row>
    <row r="931">
      <c r="B931" s="53"/>
      <c r="C931" s="53"/>
      <c r="D931" s="53"/>
      <c r="E931" s="53"/>
      <c r="F931" s="53"/>
      <c r="G931" s="53"/>
    </row>
    <row r="932">
      <c r="B932" s="53"/>
      <c r="C932" s="53"/>
      <c r="D932" s="53"/>
      <c r="E932" s="53"/>
      <c r="F932" s="53"/>
      <c r="G932" s="53"/>
    </row>
    <row r="933">
      <c r="B933" s="53"/>
      <c r="C933" s="53"/>
      <c r="D933" s="53"/>
      <c r="E933" s="53"/>
      <c r="F933" s="53"/>
      <c r="G933" s="53"/>
    </row>
    <row r="934">
      <c r="B934" s="53"/>
      <c r="C934" s="53"/>
      <c r="D934" s="53"/>
      <c r="E934" s="53"/>
      <c r="F934" s="53"/>
      <c r="G934" s="53"/>
    </row>
    <row r="935">
      <c r="B935" s="53"/>
      <c r="C935" s="53"/>
      <c r="D935" s="53"/>
      <c r="E935" s="53"/>
      <c r="F935" s="53"/>
      <c r="G935" s="53"/>
    </row>
    <row r="936">
      <c r="B936" s="53"/>
      <c r="C936" s="53"/>
      <c r="D936" s="53"/>
      <c r="E936" s="53"/>
      <c r="F936" s="53"/>
      <c r="G936" s="53"/>
    </row>
    <row r="937">
      <c r="B937" s="53"/>
      <c r="C937" s="53"/>
      <c r="D937" s="53"/>
      <c r="E937" s="53"/>
      <c r="F937" s="53"/>
      <c r="G937" s="53"/>
    </row>
    <row r="938">
      <c r="B938" s="53"/>
      <c r="C938" s="53"/>
      <c r="D938" s="53"/>
      <c r="E938" s="53"/>
      <c r="F938" s="53"/>
      <c r="G938" s="53"/>
    </row>
    <row r="939">
      <c r="B939" s="53"/>
      <c r="C939" s="53"/>
      <c r="D939" s="53"/>
      <c r="E939" s="53"/>
      <c r="F939" s="53"/>
      <c r="G939" s="53"/>
    </row>
    <row r="940">
      <c r="B940" s="53"/>
      <c r="C940" s="53"/>
      <c r="D940" s="53"/>
      <c r="E940" s="53"/>
      <c r="F940" s="53"/>
      <c r="G940" s="53"/>
    </row>
    <row r="941">
      <c r="B941" s="53"/>
      <c r="C941" s="53"/>
      <c r="D941" s="53"/>
      <c r="E941" s="53"/>
      <c r="F941" s="53"/>
      <c r="G941" s="53"/>
    </row>
    <row r="942">
      <c r="B942" s="53"/>
      <c r="C942" s="53"/>
      <c r="D942" s="53"/>
      <c r="E942" s="53"/>
      <c r="F942" s="53"/>
      <c r="G942" s="53"/>
    </row>
    <row r="943">
      <c r="B943" s="53"/>
      <c r="C943" s="53"/>
      <c r="D943" s="53"/>
      <c r="E943" s="53"/>
      <c r="F943" s="53"/>
      <c r="G943" s="53"/>
    </row>
    <row r="944">
      <c r="B944" s="53"/>
      <c r="C944" s="53"/>
      <c r="D944" s="53"/>
      <c r="E944" s="53"/>
      <c r="F944" s="53"/>
      <c r="G944" s="53"/>
    </row>
    <row r="945">
      <c r="B945" s="53"/>
      <c r="C945" s="53"/>
      <c r="D945" s="53"/>
      <c r="E945" s="53"/>
      <c r="F945" s="53"/>
      <c r="G945" s="53"/>
    </row>
    <row r="946">
      <c r="B946" s="53"/>
      <c r="C946" s="53"/>
      <c r="D946" s="53"/>
      <c r="E946" s="53"/>
      <c r="F946" s="53"/>
      <c r="G946" s="53"/>
    </row>
    <row r="947">
      <c r="B947" s="53"/>
      <c r="C947" s="53"/>
      <c r="D947" s="53"/>
      <c r="E947" s="53"/>
      <c r="F947" s="53"/>
      <c r="G947" s="53"/>
    </row>
    <row r="948">
      <c r="B948" s="53"/>
      <c r="C948" s="53"/>
      <c r="D948" s="53"/>
      <c r="E948" s="53"/>
      <c r="F948" s="53"/>
      <c r="G948" s="53"/>
    </row>
    <row r="949">
      <c r="B949" s="53"/>
      <c r="C949" s="53"/>
      <c r="D949" s="53"/>
      <c r="E949" s="53"/>
      <c r="F949" s="53"/>
      <c r="G949" s="53"/>
    </row>
    <row r="950">
      <c r="B950" s="53"/>
      <c r="C950" s="53"/>
      <c r="D950" s="53"/>
      <c r="E950" s="53"/>
      <c r="F950" s="53"/>
      <c r="G950" s="53"/>
    </row>
    <row r="951">
      <c r="B951" s="53"/>
      <c r="C951" s="53"/>
      <c r="D951" s="53"/>
      <c r="E951" s="53"/>
      <c r="F951" s="53"/>
      <c r="G951" s="53"/>
    </row>
    <row r="952">
      <c r="B952" s="53"/>
      <c r="C952" s="53"/>
      <c r="D952" s="53"/>
      <c r="E952" s="53"/>
      <c r="F952" s="53"/>
      <c r="G952" s="53"/>
    </row>
    <row r="953">
      <c r="B953" s="53"/>
      <c r="C953" s="53"/>
      <c r="D953" s="53"/>
      <c r="E953" s="53"/>
      <c r="F953" s="53"/>
      <c r="G953" s="53"/>
    </row>
    <row r="954">
      <c r="B954" s="53"/>
      <c r="C954" s="53"/>
      <c r="D954" s="53"/>
      <c r="E954" s="53"/>
      <c r="F954" s="53"/>
      <c r="G954" s="53"/>
    </row>
    <row r="955">
      <c r="B955" s="53"/>
      <c r="C955" s="53"/>
      <c r="D955" s="53"/>
      <c r="E955" s="53"/>
      <c r="F955" s="53"/>
      <c r="G955" s="53"/>
    </row>
    <row r="956">
      <c r="B956" s="53"/>
      <c r="C956" s="53"/>
      <c r="D956" s="53"/>
      <c r="E956" s="53"/>
      <c r="F956" s="53"/>
      <c r="G956" s="53"/>
    </row>
    <row r="957">
      <c r="B957" s="53"/>
      <c r="C957" s="53"/>
      <c r="D957" s="53"/>
      <c r="E957" s="53"/>
      <c r="F957" s="53"/>
      <c r="G957" s="53"/>
    </row>
    <row r="958">
      <c r="B958" s="53"/>
      <c r="C958" s="53"/>
      <c r="D958" s="53"/>
      <c r="E958" s="53"/>
      <c r="F958" s="53"/>
      <c r="G958" s="53"/>
    </row>
    <row r="959">
      <c r="B959" s="53"/>
      <c r="C959" s="53"/>
      <c r="D959" s="53"/>
      <c r="E959" s="53"/>
      <c r="F959" s="53"/>
      <c r="G959" s="53"/>
    </row>
    <row r="960">
      <c r="B960" s="53"/>
      <c r="C960" s="53"/>
      <c r="D960" s="53"/>
      <c r="E960" s="53"/>
      <c r="F960" s="53"/>
      <c r="G960" s="53"/>
    </row>
    <row r="961">
      <c r="B961" s="53"/>
      <c r="C961" s="53"/>
      <c r="D961" s="53"/>
      <c r="E961" s="53"/>
      <c r="F961" s="53"/>
      <c r="G961" s="53"/>
    </row>
    <row r="962">
      <c r="B962" s="53"/>
      <c r="C962" s="53"/>
      <c r="D962" s="53"/>
      <c r="E962" s="53"/>
      <c r="F962" s="53"/>
      <c r="G962" s="53"/>
    </row>
    <row r="963">
      <c r="B963" s="53"/>
      <c r="C963" s="53"/>
      <c r="D963" s="53"/>
      <c r="E963" s="53"/>
      <c r="F963" s="53"/>
      <c r="G963" s="53"/>
    </row>
    <row r="964">
      <c r="B964" s="53"/>
      <c r="C964" s="53"/>
      <c r="D964" s="53"/>
      <c r="E964" s="53"/>
      <c r="F964" s="53"/>
      <c r="G964" s="53"/>
    </row>
    <row r="965">
      <c r="B965" s="53"/>
      <c r="C965" s="53"/>
      <c r="D965" s="53"/>
      <c r="E965" s="53"/>
      <c r="F965" s="53"/>
      <c r="G965" s="53"/>
    </row>
    <row r="966">
      <c r="B966" s="53"/>
      <c r="C966" s="53"/>
      <c r="D966" s="53"/>
      <c r="E966" s="53"/>
      <c r="F966" s="53"/>
      <c r="G966" s="53"/>
    </row>
    <row r="967">
      <c r="B967" s="53"/>
      <c r="C967" s="53"/>
      <c r="D967" s="53"/>
      <c r="E967" s="53"/>
      <c r="F967" s="53"/>
      <c r="G967" s="53"/>
    </row>
    <row r="968">
      <c r="B968" s="53"/>
      <c r="C968" s="53"/>
      <c r="D968" s="53"/>
      <c r="E968" s="53"/>
      <c r="F968" s="53"/>
      <c r="G968" s="53"/>
    </row>
    <row r="969">
      <c r="B969" s="53"/>
      <c r="C969" s="53"/>
      <c r="D969" s="53"/>
      <c r="E969" s="53"/>
      <c r="F969" s="53"/>
      <c r="G969" s="53"/>
    </row>
    <row r="970">
      <c r="B970" s="53"/>
      <c r="C970" s="53"/>
      <c r="D970" s="53"/>
      <c r="E970" s="53"/>
      <c r="F970" s="53"/>
      <c r="G970" s="53"/>
    </row>
    <row r="971">
      <c r="B971" s="53"/>
      <c r="C971" s="53"/>
      <c r="D971" s="53"/>
      <c r="E971" s="53"/>
      <c r="F971" s="53"/>
      <c r="G971" s="53"/>
    </row>
    <row r="972">
      <c r="B972" s="53"/>
      <c r="C972" s="53"/>
      <c r="D972" s="53"/>
      <c r="E972" s="53"/>
      <c r="F972" s="53"/>
      <c r="G972" s="53"/>
    </row>
    <row r="973">
      <c r="B973" s="53"/>
      <c r="C973" s="53"/>
      <c r="D973" s="53"/>
      <c r="E973" s="53"/>
      <c r="F973" s="53"/>
      <c r="G973" s="53"/>
    </row>
    <row r="974">
      <c r="B974" s="53"/>
      <c r="C974" s="53"/>
      <c r="D974" s="53"/>
      <c r="E974" s="53"/>
      <c r="F974" s="53"/>
      <c r="G974" s="53"/>
    </row>
    <row r="975">
      <c r="B975" s="53"/>
      <c r="C975" s="53"/>
      <c r="D975" s="53"/>
      <c r="E975" s="53"/>
      <c r="F975" s="53"/>
      <c r="G975" s="53"/>
    </row>
    <row r="976">
      <c r="B976" s="53"/>
      <c r="C976" s="53"/>
      <c r="D976" s="53"/>
      <c r="E976" s="53"/>
      <c r="F976" s="53"/>
      <c r="G976" s="53"/>
    </row>
    <row r="977">
      <c r="B977" s="53"/>
      <c r="C977" s="53"/>
      <c r="D977" s="53"/>
      <c r="E977" s="53"/>
      <c r="F977" s="53"/>
      <c r="G977" s="53"/>
    </row>
    <row r="978">
      <c r="B978" s="53"/>
      <c r="C978" s="53"/>
      <c r="D978" s="53"/>
      <c r="E978" s="53"/>
      <c r="F978" s="53"/>
      <c r="G978" s="53"/>
    </row>
    <row r="979">
      <c r="B979" s="53"/>
      <c r="C979" s="53"/>
      <c r="D979" s="53"/>
      <c r="E979" s="53"/>
      <c r="F979" s="53"/>
      <c r="G979" s="53"/>
    </row>
    <row r="980">
      <c r="B980" s="53"/>
      <c r="C980" s="53"/>
      <c r="D980" s="53"/>
      <c r="E980" s="53"/>
      <c r="F980" s="53"/>
      <c r="G980" s="53"/>
    </row>
    <row r="981">
      <c r="B981" s="53"/>
      <c r="C981" s="53"/>
      <c r="D981" s="53"/>
      <c r="E981" s="53"/>
      <c r="F981" s="53"/>
      <c r="G981" s="53"/>
    </row>
    <row r="982">
      <c r="B982" s="53"/>
      <c r="C982" s="53"/>
      <c r="D982" s="53"/>
      <c r="E982" s="53"/>
      <c r="F982" s="53"/>
      <c r="G982" s="53"/>
    </row>
    <row r="983">
      <c r="B983" s="53"/>
      <c r="C983" s="53"/>
      <c r="D983" s="53"/>
      <c r="E983" s="53"/>
      <c r="F983" s="53"/>
      <c r="G983" s="53"/>
    </row>
    <row r="984">
      <c r="B984" s="53"/>
      <c r="C984" s="53"/>
      <c r="D984" s="53"/>
      <c r="E984" s="53"/>
      <c r="F984" s="53"/>
      <c r="G984" s="53"/>
    </row>
    <row r="985">
      <c r="B985" s="53"/>
      <c r="C985" s="53"/>
      <c r="D985" s="53"/>
      <c r="E985" s="53"/>
      <c r="F985" s="53"/>
      <c r="G985" s="53"/>
    </row>
    <row r="986">
      <c r="B986" s="53"/>
      <c r="C986" s="53"/>
      <c r="D986" s="53"/>
      <c r="E986" s="53"/>
      <c r="F986" s="53"/>
      <c r="G986" s="53"/>
    </row>
    <row r="987">
      <c r="B987" s="53"/>
      <c r="C987" s="53"/>
      <c r="D987" s="53"/>
      <c r="E987" s="53"/>
      <c r="F987" s="53"/>
      <c r="G987" s="53"/>
    </row>
    <row r="988">
      <c r="B988" s="53"/>
      <c r="C988" s="53"/>
      <c r="D988" s="53"/>
      <c r="E988" s="53"/>
      <c r="F988" s="53"/>
      <c r="G988" s="53"/>
    </row>
    <row r="989">
      <c r="B989" s="53"/>
      <c r="C989" s="53"/>
      <c r="D989" s="53"/>
      <c r="E989" s="53"/>
      <c r="F989" s="53"/>
      <c r="G989" s="53"/>
    </row>
    <row r="990">
      <c r="B990" s="53"/>
      <c r="C990" s="53"/>
      <c r="D990" s="53"/>
      <c r="E990" s="53"/>
      <c r="F990" s="53"/>
      <c r="G990" s="53"/>
    </row>
    <row r="991">
      <c r="B991" s="53"/>
      <c r="C991" s="53"/>
      <c r="D991" s="53"/>
      <c r="E991" s="53"/>
      <c r="F991" s="53"/>
      <c r="G991" s="53"/>
    </row>
    <row r="992">
      <c r="B992" s="53"/>
      <c r="C992" s="53"/>
      <c r="D992" s="53"/>
      <c r="E992" s="53"/>
      <c r="F992" s="53"/>
      <c r="G992" s="53"/>
    </row>
    <row r="993">
      <c r="B993" s="53"/>
      <c r="C993" s="53"/>
      <c r="D993" s="53"/>
      <c r="E993" s="53"/>
      <c r="F993" s="53"/>
      <c r="G993" s="53"/>
    </row>
    <row r="994">
      <c r="B994" s="53"/>
      <c r="C994" s="53"/>
      <c r="D994" s="53"/>
      <c r="E994" s="53"/>
      <c r="F994" s="53"/>
      <c r="G994" s="53"/>
    </row>
    <row r="995">
      <c r="B995" s="53"/>
      <c r="C995" s="53"/>
      <c r="D995" s="53"/>
      <c r="E995" s="53"/>
      <c r="F995" s="53"/>
      <c r="G995" s="53"/>
    </row>
    <row r="996">
      <c r="B996" s="53"/>
      <c r="C996" s="53"/>
      <c r="D996" s="53"/>
      <c r="E996" s="53"/>
      <c r="F996" s="53"/>
      <c r="G996" s="53"/>
    </row>
    <row r="997">
      <c r="B997" s="53"/>
      <c r="C997" s="53"/>
      <c r="D997" s="53"/>
      <c r="E997" s="53"/>
      <c r="F997" s="53"/>
      <c r="G997" s="53"/>
    </row>
    <row r="998">
      <c r="B998" s="53"/>
      <c r="C998" s="53"/>
      <c r="D998" s="53"/>
      <c r="E998" s="53"/>
      <c r="F998" s="53"/>
      <c r="G998" s="53"/>
    </row>
    <row r="999">
      <c r="B999" s="53"/>
      <c r="C999" s="53"/>
      <c r="D999" s="53"/>
      <c r="E999" s="53"/>
      <c r="F999" s="53"/>
      <c r="G999" s="53"/>
    </row>
    <row r="1000">
      <c r="B1000" s="53"/>
      <c r="C1000" s="53"/>
      <c r="D1000" s="53"/>
      <c r="E1000" s="53"/>
      <c r="F1000" s="53"/>
      <c r="G1000" s="53"/>
    </row>
    <row r="1001">
      <c r="B1001" s="53"/>
      <c r="C1001" s="53"/>
      <c r="D1001" s="53"/>
      <c r="E1001" s="53"/>
      <c r="F1001" s="53"/>
      <c r="G1001" s="53"/>
    </row>
    <row r="1002">
      <c r="B1002" s="53"/>
      <c r="C1002" s="53"/>
      <c r="D1002" s="53"/>
      <c r="E1002" s="53"/>
      <c r="F1002" s="53"/>
      <c r="G1002" s="53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</cols>
  <sheetData>
    <row r="1">
      <c r="A1" s="48" t="s">
        <v>65</v>
      </c>
      <c r="B1" s="49" t="s">
        <v>84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>
      <c r="A2" s="48" t="s">
        <v>67</v>
      </c>
      <c r="B2" s="51"/>
    </row>
    <row r="3">
      <c r="A3" s="42" t="s">
        <v>68</v>
      </c>
      <c r="B3" s="51">
        <v>50.0</v>
      </c>
    </row>
    <row r="4">
      <c r="A4" s="42" t="s">
        <v>69</v>
      </c>
      <c r="B4" s="52">
        <v>312.0</v>
      </c>
    </row>
    <row r="5">
      <c r="A5" s="42" t="s">
        <v>11</v>
      </c>
      <c r="B5" s="53">
        <f>B3*B4</f>
        <v>15600</v>
      </c>
    </row>
    <row r="6">
      <c r="B6" s="53"/>
    </row>
    <row r="7">
      <c r="A7" s="48" t="s">
        <v>70</v>
      </c>
      <c r="B7" s="53"/>
    </row>
    <row r="8">
      <c r="A8" s="42" t="s">
        <v>71</v>
      </c>
      <c r="B8" s="51">
        <v>19.81</v>
      </c>
    </row>
    <row r="9">
      <c r="A9" s="42" t="s">
        <v>72</v>
      </c>
      <c r="B9" s="53"/>
    </row>
    <row r="10">
      <c r="A10" s="42" t="s">
        <v>73</v>
      </c>
      <c r="B10" s="51">
        <v>0.127</v>
      </c>
    </row>
    <row r="11">
      <c r="A11" s="42" t="s">
        <v>74</v>
      </c>
      <c r="B11" s="51">
        <v>0.127</v>
      </c>
    </row>
    <row r="12">
      <c r="A12" s="42" t="s">
        <v>75</v>
      </c>
      <c r="B12" s="53">
        <f>(24.95*0.029)+0.3</f>
        <v>1.02355</v>
      </c>
    </row>
    <row r="13">
      <c r="A13" s="42" t="s">
        <v>76</v>
      </c>
      <c r="B13" s="51">
        <v>4.5</v>
      </c>
    </row>
    <row r="14">
      <c r="A14" s="42" t="s">
        <v>77</v>
      </c>
      <c r="B14" s="53">
        <f>SUM(B8:B13)</f>
        <v>25.58755</v>
      </c>
    </row>
    <row r="15">
      <c r="A15" s="42" t="s">
        <v>69</v>
      </c>
      <c r="B15" s="10">
        <f>B4</f>
        <v>312</v>
      </c>
    </row>
    <row r="16">
      <c r="A16" s="42" t="s">
        <v>78</v>
      </c>
      <c r="B16" s="53">
        <f>B14*B15</f>
        <v>7983.3156</v>
      </c>
    </row>
    <row r="17">
      <c r="B17" s="53"/>
    </row>
    <row r="18">
      <c r="A18" s="48" t="s">
        <v>79</v>
      </c>
      <c r="B18" s="54">
        <f>B5-B16</f>
        <v>7616.6844</v>
      </c>
      <c r="C18" s="54">
        <f>SUM(B18)</f>
        <v>7616.6844</v>
      </c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>
      <c r="B19" s="53"/>
    </row>
    <row r="20">
      <c r="B20" s="53"/>
    </row>
    <row r="21">
      <c r="A21" s="48" t="s">
        <v>15</v>
      </c>
      <c r="B21" s="53"/>
    </row>
    <row r="22">
      <c r="A22" s="42" t="s">
        <v>80</v>
      </c>
      <c r="B22" s="53"/>
    </row>
    <row r="23">
      <c r="A23" s="42" t="s">
        <v>7</v>
      </c>
      <c r="B23" s="58">
        <v>100.0</v>
      </c>
    </row>
    <row r="24">
      <c r="A24" s="42" t="s">
        <v>10</v>
      </c>
      <c r="B24" s="42">
        <v>95.0</v>
      </c>
    </row>
    <row r="25">
      <c r="A25" s="42" t="s">
        <v>11</v>
      </c>
      <c r="B25" s="56">
        <f>B23*B24</f>
        <v>9500</v>
      </c>
    </row>
    <row r="26">
      <c r="B26" s="53"/>
    </row>
    <row r="27">
      <c r="A27" s="42" t="s">
        <v>81</v>
      </c>
      <c r="B27" s="53"/>
    </row>
    <row r="28">
      <c r="B28" s="51">
        <v>30.0</v>
      </c>
    </row>
    <row r="29">
      <c r="A29" s="42" t="s">
        <v>69</v>
      </c>
      <c r="B29" s="57">
        <f>B24</f>
        <v>95</v>
      </c>
    </row>
    <row r="30">
      <c r="B30" s="56">
        <f>B28*B29</f>
        <v>2850</v>
      </c>
    </row>
    <row r="31">
      <c r="B31" s="53"/>
    </row>
    <row r="32">
      <c r="A32" s="48" t="s">
        <v>79</v>
      </c>
      <c r="B32" s="54">
        <f>B25-B30</f>
        <v>6650</v>
      </c>
    </row>
    <row r="33">
      <c r="B33" s="53"/>
    </row>
    <row r="34">
      <c r="B34" s="53"/>
    </row>
    <row r="35">
      <c r="A35" s="48" t="s">
        <v>85</v>
      </c>
      <c r="B35" s="54">
        <f>B18+B32</f>
        <v>14266.6844</v>
      </c>
      <c r="C35" s="54">
        <f>SUM(B35)</f>
        <v>14266.6844</v>
      </c>
    </row>
    <row r="36">
      <c r="A36" s="48" t="s">
        <v>86</v>
      </c>
      <c r="B36" s="53"/>
      <c r="C36" s="54">
        <f>C18+C35</f>
        <v>21883.3688</v>
      </c>
    </row>
    <row r="37">
      <c r="B37" s="53"/>
    </row>
    <row r="38">
      <c r="B38" s="53"/>
    </row>
    <row r="39">
      <c r="B39" s="53"/>
    </row>
    <row r="40">
      <c r="B40" s="53"/>
    </row>
    <row r="41">
      <c r="B41" s="53"/>
    </row>
    <row r="42">
      <c r="B42" s="53"/>
    </row>
    <row r="43">
      <c r="B43" s="53"/>
    </row>
    <row r="44">
      <c r="B44" s="53"/>
    </row>
    <row r="45">
      <c r="B45" s="53"/>
    </row>
    <row r="46">
      <c r="B46" s="53"/>
    </row>
    <row r="47">
      <c r="B47" s="53"/>
    </row>
    <row r="48">
      <c r="B48" s="53"/>
    </row>
    <row r="49">
      <c r="B49" s="53"/>
    </row>
    <row r="50">
      <c r="B50" s="53"/>
    </row>
    <row r="51">
      <c r="B51" s="53"/>
    </row>
    <row r="52">
      <c r="B52" s="53"/>
    </row>
    <row r="53">
      <c r="B53" s="53"/>
    </row>
    <row r="54">
      <c r="B54" s="53"/>
    </row>
    <row r="55">
      <c r="B55" s="53"/>
    </row>
    <row r="56">
      <c r="B56" s="53"/>
    </row>
    <row r="57">
      <c r="B57" s="53"/>
    </row>
    <row r="58">
      <c r="B58" s="53"/>
    </row>
    <row r="59">
      <c r="B59" s="53"/>
    </row>
    <row r="60">
      <c r="B60" s="53"/>
    </row>
    <row r="61">
      <c r="B61" s="53"/>
    </row>
    <row r="62">
      <c r="B62" s="53"/>
    </row>
    <row r="63">
      <c r="B63" s="53"/>
    </row>
    <row r="64">
      <c r="B64" s="53"/>
    </row>
    <row r="65">
      <c r="B65" s="53"/>
    </row>
    <row r="66">
      <c r="B66" s="53"/>
    </row>
    <row r="67">
      <c r="B67" s="53"/>
    </row>
    <row r="68">
      <c r="B68" s="53"/>
    </row>
    <row r="69">
      <c r="B69" s="53"/>
    </row>
    <row r="70">
      <c r="B70" s="53"/>
    </row>
    <row r="71">
      <c r="B71" s="53"/>
    </row>
    <row r="72">
      <c r="B72" s="53"/>
    </row>
    <row r="73">
      <c r="B73" s="53"/>
    </row>
    <row r="74">
      <c r="B74" s="53"/>
    </row>
    <row r="75">
      <c r="B75" s="53"/>
    </row>
    <row r="76">
      <c r="B76" s="53"/>
    </row>
    <row r="77">
      <c r="B77" s="53"/>
    </row>
    <row r="78">
      <c r="B78" s="53"/>
    </row>
    <row r="79">
      <c r="B79" s="53"/>
    </row>
    <row r="80">
      <c r="B80" s="53"/>
    </row>
    <row r="81">
      <c r="B81" s="53"/>
    </row>
    <row r="82">
      <c r="B82" s="53"/>
    </row>
    <row r="83">
      <c r="B83" s="53"/>
    </row>
    <row r="84">
      <c r="B84" s="53"/>
    </row>
    <row r="85">
      <c r="B85" s="53"/>
    </row>
    <row r="86">
      <c r="B86" s="53"/>
    </row>
    <row r="87">
      <c r="B87" s="53"/>
    </row>
    <row r="88">
      <c r="B88" s="53"/>
    </row>
    <row r="89">
      <c r="B89" s="53"/>
    </row>
    <row r="90">
      <c r="B90" s="53"/>
    </row>
    <row r="91">
      <c r="B91" s="53"/>
    </row>
    <row r="92">
      <c r="B92" s="53"/>
    </row>
    <row r="93">
      <c r="B93" s="53"/>
    </row>
    <row r="94">
      <c r="B94" s="53"/>
    </row>
    <row r="95">
      <c r="B95" s="53"/>
    </row>
    <row r="96">
      <c r="B96" s="53"/>
    </row>
    <row r="97">
      <c r="B97" s="53"/>
    </row>
    <row r="98">
      <c r="B98" s="53"/>
    </row>
    <row r="99">
      <c r="B99" s="53"/>
    </row>
    <row r="100">
      <c r="B100" s="53"/>
    </row>
    <row r="101">
      <c r="B101" s="53"/>
    </row>
    <row r="102">
      <c r="B102" s="53"/>
    </row>
    <row r="103">
      <c r="B103" s="53"/>
    </row>
    <row r="104">
      <c r="B104" s="53"/>
    </row>
    <row r="105">
      <c r="B105" s="53"/>
    </row>
    <row r="106">
      <c r="B106" s="53"/>
    </row>
    <row r="107">
      <c r="B107" s="53"/>
    </row>
    <row r="108">
      <c r="B108" s="53"/>
    </row>
    <row r="109">
      <c r="B109" s="53"/>
    </row>
    <row r="110">
      <c r="B110" s="53"/>
    </row>
    <row r="111">
      <c r="B111" s="53"/>
    </row>
    <row r="112">
      <c r="B112" s="53"/>
    </row>
    <row r="113">
      <c r="B113" s="53"/>
    </row>
    <row r="114">
      <c r="B114" s="53"/>
    </row>
    <row r="115">
      <c r="B115" s="53"/>
    </row>
    <row r="116">
      <c r="B116" s="53"/>
    </row>
    <row r="117">
      <c r="B117" s="53"/>
    </row>
    <row r="118">
      <c r="B118" s="53"/>
    </row>
    <row r="119">
      <c r="B119" s="53"/>
    </row>
    <row r="120">
      <c r="B120" s="53"/>
    </row>
    <row r="121">
      <c r="B121" s="53"/>
    </row>
    <row r="122">
      <c r="B122" s="53"/>
    </row>
    <row r="123">
      <c r="B123" s="53"/>
    </row>
    <row r="124">
      <c r="B124" s="53"/>
    </row>
    <row r="125">
      <c r="B125" s="53"/>
    </row>
    <row r="126">
      <c r="B126" s="53"/>
    </row>
    <row r="127">
      <c r="B127" s="53"/>
    </row>
    <row r="128">
      <c r="B128" s="53"/>
    </row>
    <row r="129">
      <c r="B129" s="53"/>
    </row>
    <row r="130">
      <c r="B130" s="53"/>
    </row>
    <row r="131">
      <c r="B131" s="53"/>
    </row>
    <row r="132">
      <c r="B132" s="53"/>
    </row>
    <row r="133">
      <c r="B133" s="53"/>
    </row>
    <row r="134">
      <c r="B134" s="53"/>
    </row>
    <row r="135">
      <c r="B135" s="53"/>
    </row>
    <row r="136">
      <c r="B136" s="53"/>
    </row>
    <row r="137">
      <c r="B137" s="53"/>
    </row>
    <row r="138">
      <c r="B138" s="53"/>
    </row>
    <row r="139">
      <c r="B139" s="53"/>
    </row>
    <row r="140">
      <c r="B140" s="53"/>
    </row>
    <row r="141">
      <c r="B141" s="53"/>
    </row>
    <row r="142">
      <c r="B142" s="53"/>
    </row>
    <row r="143">
      <c r="B143" s="53"/>
    </row>
    <row r="144">
      <c r="B144" s="53"/>
    </row>
    <row r="145">
      <c r="B145" s="53"/>
    </row>
    <row r="146">
      <c r="B146" s="53"/>
    </row>
    <row r="147">
      <c r="B147" s="53"/>
    </row>
    <row r="148">
      <c r="B148" s="53"/>
    </row>
    <row r="149">
      <c r="B149" s="53"/>
    </row>
    <row r="150">
      <c r="B150" s="53"/>
    </row>
    <row r="151">
      <c r="B151" s="53"/>
    </row>
    <row r="152">
      <c r="B152" s="53"/>
    </row>
    <row r="153">
      <c r="B153" s="53"/>
    </row>
    <row r="154">
      <c r="B154" s="53"/>
    </row>
    <row r="155">
      <c r="B155" s="53"/>
    </row>
    <row r="156">
      <c r="B156" s="53"/>
    </row>
    <row r="157">
      <c r="B157" s="53"/>
    </row>
    <row r="158">
      <c r="B158" s="53"/>
    </row>
    <row r="159">
      <c r="B159" s="53"/>
    </row>
    <row r="160">
      <c r="B160" s="53"/>
    </row>
    <row r="161">
      <c r="B161" s="53"/>
    </row>
    <row r="162">
      <c r="B162" s="53"/>
    </row>
    <row r="163">
      <c r="B163" s="53"/>
    </row>
    <row r="164">
      <c r="B164" s="53"/>
    </row>
    <row r="165">
      <c r="B165" s="53"/>
    </row>
    <row r="166">
      <c r="B166" s="53"/>
    </row>
    <row r="167">
      <c r="B167" s="53"/>
    </row>
    <row r="168">
      <c r="B168" s="53"/>
    </row>
    <row r="169">
      <c r="B169" s="53"/>
    </row>
    <row r="170">
      <c r="B170" s="53"/>
    </row>
    <row r="171">
      <c r="B171" s="53"/>
    </row>
    <row r="172">
      <c r="B172" s="53"/>
    </row>
    <row r="173">
      <c r="B173" s="53"/>
    </row>
    <row r="174">
      <c r="B174" s="53"/>
    </row>
    <row r="175">
      <c r="B175" s="53"/>
    </row>
    <row r="176">
      <c r="B176" s="53"/>
    </row>
    <row r="177">
      <c r="B177" s="53"/>
    </row>
    <row r="178">
      <c r="B178" s="53"/>
    </row>
    <row r="179">
      <c r="B179" s="53"/>
    </row>
    <row r="180">
      <c r="B180" s="53"/>
    </row>
    <row r="181">
      <c r="B181" s="53"/>
    </row>
    <row r="182">
      <c r="B182" s="53"/>
    </row>
    <row r="183">
      <c r="B183" s="53"/>
    </row>
    <row r="184">
      <c r="B184" s="53"/>
    </row>
    <row r="185">
      <c r="B185" s="53"/>
    </row>
    <row r="186">
      <c r="B186" s="53"/>
    </row>
    <row r="187">
      <c r="B187" s="53"/>
    </row>
    <row r="188">
      <c r="B188" s="53"/>
    </row>
    <row r="189">
      <c r="B189" s="53"/>
    </row>
    <row r="190">
      <c r="B190" s="53"/>
    </row>
    <row r="191">
      <c r="B191" s="53"/>
    </row>
    <row r="192">
      <c r="B192" s="53"/>
    </row>
    <row r="193">
      <c r="B193" s="53"/>
    </row>
    <row r="194">
      <c r="B194" s="53"/>
    </row>
    <row r="195">
      <c r="B195" s="53"/>
    </row>
    <row r="196">
      <c r="B196" s="53"/>
    </row>
    <row r="197">
      <c r="B197" s="53"/>
    </row>
    <row r="198">
      <c r="B198" s="53"/>
    </row>
    <row r="199">
      <c r="B199" s="53"/>
    </row>
    <row r="200">
      <c r="B200" s="53"/>
    </row>
    <row r="201">
      <c r="B201" s="53"/>
    </row>
    <row r="202">
      <c r="B202" s="53"/>
    </row>
    <row r="203">
      <c r="B203" s="53"/>
    </row>
    <row r="204">
      <c r="B204" s="53"/>
    </row>
    <row r="205">
      <c r="B205" s="53"/>
    </row>
    <row r="206">
      <c r="B206" s="53"/>
    </row>
    <row r="207">
      <c r="B207" s="53"/>
    </row>
    <row r="208">
      <c r="B208" s="53"/>
    </row>
    <row r="209">
      <c r="B209" s="53"/>
    </row>
    <row r="210">
      <c r="B210" s="53"/>
    </row>
    <row r="211">
      <c r="B211" s="53"/>
    </row>
    <row r="212">
      <c r="B212" s="53"/>
    </row>
    <row r="213">
      <c r="B213" s="53"/>
    </row>
    <row r="214">
      <c r="B214" s="53"/>
    </row>
    <row r="215">
      <c r="B215" s="53"/>
    </row>
    <row r="216">
      <c r="B216" s="53"/>
    </row>
    <row r="217">
      <c r="B217" s="53"/>
    </row>
    <row r="218">
      <c r="B218" s="53"/>
    </row>
    <row r="219">
      <c r="B219" s="53"/>
    </row>
    <row r="220">
      <c r="B220" s="53"/>
    </row>
    <row r="221">
      <c r="B221" s="53"/>
    </row>
    <row r="222">
      <c r="B222" s="53"/>
    </row>
    <row r="223">
      <c r="B223" s="53"/>
    </row>
    <row r="224">
      <c r="B224" s="53"/>
    </row>
    <row r="225">
      <c r="B225" s="53"/>
    </row>
    <row r="226">
      <c r="B226" s="53"/>
    </row>
    <row r="227">
      <c r="B227" s="53"/>
    </row>
    <row r="228">
      <c r="B228" s="53"/>
    </row>
    <row r="229">
      <c r="B229" s="53"/>
    </row>
    <row r="230">
      <c r="B230" s="53"/>
    </row>
    <row r="231">
      <c r="B231" s="53"/>
    </row>
    <row r="232">
      <c r="B232" s="53"/>
    </row>
    <row r="233">
      <c r="B233" s="53"/>
    </row>
    <row r="234">
      <c r="B234" s="53"/>
    </row>
    <row r="235">
      <c r="B235" s="53"/>
    </row>
    <row r="236">
      <c r="B236" s="53"/>
    </row>
    <row r="237">
      <c r="B237" s="53"/>
    </row>
    <row r="238">
      <c r="B238" s="53"/>
    </row>
    <row r="239">
      <c r="B239" s="53"/>
    </row>
    <row r="240">
      <c r="B240" s="53"/>
    </row>
    <row r="241">
      <c r="B241" s="53"/>
    </row>
    <row r="242">
      <c r="B242" s="53"/>
    </row>
    <row r="243">
      <c r="B243" s="53"/>
    </row>
    <row r="244">
      <c r="B244" s="53"/>
    </row>
    <row r="245">
      <c r="B245" s="53"/>
    </row>
    <row r="246">
      <c r="B246" s="53"/>
    </row>
    <row r="247">
      <c r="B247" s="53"/>
    </row>
    <row r="248">
      <c r="B248" s="53"/>
    </row>
    <row r="249">
      <c r="B249" s="53"/>
    </row>
    <row r="250">
      <c r="B250" s="53"/>
    </row>
    <row r="251">
      <c r="B251" s="53"/>
    </row>
    <row r="252">
      <c r="B252" s="53"/>
    </row>
    <row r="253">
      <c r="B253" s="53"/>
    </row>
    <row r="254">
      <c r="B254" s="53"/>
    </row>
    <row r="255">
      <c r="B255" s="53"/>
    </row>
    <row r="256">
      <c r="B256" s="53"/>
    </row>
    <row r="257">
      <c r="B257" s="53"/>
    </row>
    <row r="258">
      <c r="B258" s="53"/>
    </row>
    <row r="259">
      <c r="B259" s="53"/>
    </row>
    <row r="260">
      <c r="B260" s="53"/>
    </row>
    <row r="261">
      <c r="B261" s="53"/>
    </row>
    <row r="262">
      <c r="B262" s="53"/>
    </row>
    <row r="263">
      <c r="B263" s="53"/>
    </row>
    <row r="264">
      <c r="B264" s="53"/>
    </row>
    <row r="265">
      <c r="B265" s="53"/>
    </row>
    <row r="266">
      <c r="B266" s="53"/>
    </row>
    <row r="267">
      <c r="B267" s="53"/>
    </row>
    <row r="268">
      <c r="B268" s="53"/>
    </row>
    <row r="269">
      <c r="B269" s="53"/>
    </row>
    <row r="270">
      <c r="B270" s="53"/>
    </row>
    <row r="271">
      <c r="B271" s="53"/>
    </row>
    <row r="272">
      <c r="B272" s="53"/>
    </row>
    <row r="273">
      <c r="B273" s="53"/>
    </row>
    <row r="274">
      <c r="B274" s="53"/>
    </row>
    <row r="275">
      <c r="B275" s="53"/>
    </row>
    <row r="276">
      <c r="B276" s="53"/>
    </row>
    <row r="277">
      <c r="B277" s="53"/>
    </row>
    <row r="278">
      <c r="B278" s="53"/>
    </row>
    <row r="279">
      <c r="B279" s="53"/>
    </row>
    <row r="280">
      <c r="B280" s="53"/>
    </row>
    <row r="281">
      <c r="B281" s="53"/>
    </row>
    <row r="282">
      <c r="B282" s="53"/>
    </row>
    <row r="283">
      <c r="B283" s="53"/>
    </row>
    <row r="284">
      <c r="B284" s="53"/>
    </row>
    <row r="285">
      <c r="B285" s="53"/>
    </row>
    <row r="286">
      <c r="B286" s="53"/>
    </row>
    <row r="287">
      <c r="B287" s="53"/>
    </row>
    <row r="288">
      <c r="B288" s="53"/>
    </row>
    <row r="289">
      <c r="B289" s="53"/>
    </row>
    <row r="290">
      <c r="B290" s="53"/>
    </row>
    <row r="291">
      <c r="B291" s="53"/>
    </row>
    <row r="292">
      <c r="B292" s="53"/>
    </row>
    <row r="293">
      <c r="B293" s="53"/>
    </row>
    <row r="294">
      <c r="B294" s="53"/>
    </row>
    <row r="295">
      <c r="B295" s="53"/>
    </row>
    <row r="296">
      <c r="B296" s="53"/>
    </row>
    <row r="297">
      <c r="B297" s="53"/>
    </row>
    <row r="298">
      <c r="B298" s="53"/>
    </row>
    <row r="299">
      <c r="B299" s="53"/>
    </row>
    <row r="300">
      <c r="B300" s="53"/>
    </row>
    <row r="301">
      <c r="B301" s="53"/>
    </row>
    <row r="302">
      <c r="B302" s="53"/>
    </row>
    <row r="303">
      <c r="B303" s="53"/>
    </row>
    <row r="304">
      <c r="B304" s="53"/>
    </row>
    <row r="305">
      <c r="B305" s="53"/>
    </row>
    <row r="306">
      <c r="B306" s="53"/>
    </row>
    <row r="307">
      <c r="B307" s="53"/>
    </row>
    <row r="308">
      <c r="B308" s="53"/>
    </row>
    <row r="309">
      <c r="B309" s="53"/>
    </row>
    <row r="310">
      <c r="B310" s="53"/>
    </row>
    <row r="311">
      <c r="B311" s="53"/>
    </row>
    <row r="312">
      <c r="B312" s="53"/>
    </row>
    <row r="313">
      <c r="B313" s="53"/>
    </row>
    <row r="314">
      <c r="B314" s="53"/>
    </row>
    <row r="315">
      <c r="B315" s="53"/>
    </row>
    <row r="316">
      <c r="B316" s="53"/>
    </row>
    <row r="317">
      <c r="B317" s="53"/>
    </row>
    <row r="318">
      <c r="B318" s="53"/>
    </row>
    <row r="319">
      <c r="B319" s="53"/>
    </row>
    <row r="320">
      <c r="B320" s="53"/>
    </row>
    <row r="321">
      <c r="B321" s="53"/>
    </row>
    <row r="322">
      <c r="B322" s="53"/>
    </row>
    <row r="323">
      <c r="B323" s="53"/>
    </row>
    <row r="324">
      <c r="B324" s="53"/>
    </row>
    <row r="325">
      <c r="B325" s="53"/>
    </row>
    <row r="326">
      <c r="B326" s="53"/>
    </row>
    <row r="327">
      <c r="B327" s="53"/>
    </row>
    <row r="328">
      <c r="B328" s="53"/>
    </row>
    <row r="329">
      <c r="B329" s="53"/>
    </row>
    <row r="330">
      <c r="B330" s="53"/>
    </row>
    <row r="331">
      <c r="B331" s="53"/>
    </row>
    <row r="332">
      <c r="B332" s="53"/>
    </row>
    <row r="333">
      <c r="B333" s="53"/>
    </row>
    <row r="334">
      <c r="B334" s="53"/>
    </row>
    <row r="335">
      <c r="B335" s="53"/>
    </row>
    <row r="336">
      <c r="B336" s="53"/>
    </row>
    <row r="337">
      <c r="B337" s="53"/>
    </row>
    <row r="338">
      <c r="B338" s="53"/>
    </row>
    <row r="339">
      <c r="B339" s="53"/>
    </row>
    <row r="340">
      <c r="B340" s="53"/>
    </row>
    <row r="341">
      <c r="B341" s="53"/>
    </row>
    <row r="342">
      <c r="B342" s="53"/>
    </row>
    <row r="343">
      <c r="B343" s="53"/>
    </row>
    <row r="344">
      <c r="B344" s="53"/>
    </row>
    <row r="345">
      <c r="B345" s="53"/>
    </row>
    <row r="346">
      <c r="B346" s="53"/>
    </row>
    <row r="347">
      <c r="B347" s="53"/>
    </row>
    <row r="348">
      <c r="B348" s="53"/>
    </row>
    <row r="349">
      <c r="B349" s="53"/>
    </row>
    <row r="350">
      <c r="B350" s="53"/>
    </row>
    <row r="351">
      <c r="B351" s="53"/>
    </row>
    <row r="352">
      <c r="B352" s="53"/>
    </row>
    <row r="353">
      <c r="B353" s="53"/>
    </row>
    <row r="354">
      <c r="B354" s="53"/>
    </row>
    <row r="355">
      <c r="B355" s="53"/>
    </row>
    <row r="356">
      <c r="B356" s="53"/>
    </row>
    <row r="357">
      <c r="B357" s="53"/>
    </row>
    <row r="358">
      <c r="B358" s="53"/>
    </row>
    <row r="359">
      <c r="B359" s="53"/>
    </row>
    <row r="360">
      <c r="B360" s="53"/>
    </row>
    <row r="361">
      <c r="B361" s="53"/>
    </row>
    <row r="362">
      <c r="B362" s="53"/>
    </row>
    <row r="363">
      <c r="B363" s="53"/>
    </row>
    <row r="364">
      <c r="B364" s="53"/>
    </row>
    <row r="365">
      <c r="B365" s="53"/>
    </row>
    <row r="366">
      <c r="B366" s="53"/>
    </row>
    <row r="367">
      <c r="B367" s="53"/>
    </row>
    <row r="368">
      <c r="B368" s="53"/>
    </row>
    <row r="369">
      <c r="B369" s="53"/>
    </row>
    <row r="370">
      <c r="B370" s="53"/>
    </row>
    <row r="371">
      <c r="B371" s="53"/>
    </row>
    <row r="372">
      <c r="B372" s="53"/>
    </row>
    <row r="373">
      <c r="B373" s="53"/>
    </row>
    <row r="374">
      <c r="B374" s="53"/>
    </row>
    <row r="375">
      <c r="B375" s="53"/>
    </row>
    <row r="376">
      <c r="B376" s="53"/>
    </row>
    <row r="377">
      <c r="B377" s="53"/>
    </row>
    <row r="378">
      <c r="B378" s="53"/>
    </row>
    <row r="379">
      <c r="B379" s="53"/>
    </row>
    <row r="380">
      <c r="B380" s="53"/>
    </row>
    <row r="381">
      <c r="B381" s="53"/>
    </row>
    <row r="382">
      <c r="B382" s="53"/>
    </row>
    <row r="383">
      <c r="B383" s="53"/>
    </row>
    <row r="384">
      <c r="B384" s="53"/>
    </row>
    <row r="385">
      <c r="B385" s="53"/>
    </row>
    <row r="386">
      <c r="B386" s="53"/>
    </row>
    <row r="387">
      <c r="B387" s="53"/>
    </row>
    <row r="388">
      <c r="B388" s="53"/>
    </row>
    <row r="389">
      <c r="B389" s="53"/>
    </row>
    <row r="390">
      <c r="B390" s="53"/>
    </row>
    <row r="391">
      <c r="B391" s="53"/>
    </row>
    <row r="392">
      <c r="B392" s="53"/>
    </row>
    <row r="393">
      <c r="B393" s="53"/>
    </row>
    <row r="394">
      <c r="B394" s="53"/>
    </row>
    <row r="395">
      <c r="B395" s="53"/>
    </row>
    <row r="396">
      <c r="B396" s="53"/>
    </row>
    <row r="397">
      <c r="B397" s="53"/>
    </row>
    <row r="398">
      <c r="B398" s="53"/>
    </row>
    <row r="399">
      <c r="B399" s="53"/>
    </row>
    <row r="400">
      <c r="B400" s="53"/>
    </row>
    <row r="401">
      <c r="B401" s="53"/>
    </row>
    <row r="402">
      <c r="B402" s="53"/>
    </row>
    <row r="403">
      <c r="B403" s="53"/>
    </row>
    <row r="404">
      <c r="B404" s="53"/>
    </row>
    <row r="405">
      <c r="B405" s="53"/>
    </row>
    <row r="406">
      <c r="B406" s="53"/>
    </row>
    <row r="407">
      <c r="B407" s="53"/>
    </row>
    <row r="408">
      <c r="B408" s="53"/>
    </row>
    <row r="409">
      <c r="B409" s="53"/>
    </row>
    <row r="410">
      <c r="B410" s="53"/>
    </row>
    <row r="411">
      <c r="B411" s="53"/>
    </row>
    <row r="412">
      <c r="B412" s="53"/>
    </row>
    <row r="413">
      <c r="B413" s="53"/>
    </row>
    <row r="414">
      <c r="B414" s="53"/>
    </row>
    <row r="415">
      <c r="B415" s="53"/>
    </row>
    <row r="416">
      <c r="B416" s="53"/>
    </row>
    <row r="417">
      <c r="B417" s="53"/>
    </row>
    <row r="418">
      <c r="B418" s="53"/>
    </row>
    <row r="419">
      <c r="B419" s="53"/>
    </row>
    <row r="420">
      <c r="B420" s="53"/>
    </row>
    <row r="421">
      <c r="B421" s="53"/>
    </row>
    <row r="422">
      <c r="B422" s="53"/>
    </row>
    <row r="423">
      <c r="B423" s="53"/>
    </row>
    <row r="424">
      <c r="B424" s="53"/>
    </row>
    <row r="425">
      <c r="B425" s="53"/>
    </row>
    <row r="426">
      <c r="B426" s="53"/>
    </row>
    <row r="427">
      <c r="B427" s="53"/>
    </row>
    <row r="428">
      <c r="B428" s="53"/>
    </row>
    <row r="429">
      <c r="B429" s="53"/>
    </row>
    <row r="430">
      <c r="B430" s="53"/>
    </row>
    <row r="431">
      <c r="B431" s="53"/>
    </row>
    <row r="432">
      <c r="B432" s="53"/>
    </row>
    <row r="433">
      <c r="B433" s="53"/>
    </row>
    <row r="434">
      <c r="B434" s="53"/>
    </row>
    <row r="435">
      <c r="B435" s="53"/>
    </row>
    <row r="436">
      <c r="B436" s="53"/>
    </row>
    <row r="437">
      <c r="B437" s="53"/>
    </row>
    <row r="438">
      <c r="B438" s="53"/>
    </row>
    <row r="439">
      <c r="B439" s="53"/>
    </row>
    <row r="440">
      <c r="B440" s="53"/>
    </row>
    <row r="441">
      <c r="B441" s="53"/>
    </row>
    <row r="442">
      <c r="B442" s="53"/>
    </row>
    <row r="443">
      <c r="B443" s="53"/>
    </row>
    <row r="444">
      <c r="B444" s="53"/>
    </row>
    <row r="445">
      <c r="B445" s="53"/>
    </row>
    <row r="446">
      <c r="B446" s="53"/>
    </row>
    <row r="447">
      <c r="B447" s="53"/>
    </row>
    <row r="448">
      <c r="B448" s="53"/>
    </row>
    <row r="449">
      <c r="B449" s="53"/>
    </row>
    <row r="450">
      <c r="B450" s="53"/>
    </row>
    <row r="451">
      <c r="B451" s="53"/>
    </row>
    <row r="452">
      <c r="B452" s="53"/>
    </row>
    <row r="453">
      <c r="B453" s="53"/>
    </row>
    <row r="454">
      <c r="B454" s="53"/>
    </row>
    <row r="455">
      <c r="B455" s="53"/>
    </row>
    <row r="456">
      <c r="B456" s="53"/>
    </row>
    <row r="457">
      <c r="B457" s="53"/>
    </row>
    <row r="458">
      <c r="B458" s="53"/>
    </row>
    <row r="459">
      <c r="B459" s="53"/>
    </row>
    <row r="460">
      <c r="B460" s="53"/>
    </row>
    <row r="461">
      <c r="B461" s="53"/>
    </row>
    <row r="462">
      <c r="B462" s="53"/>
    </row>
    <row r="463">
      <c r="B463" s="53"/>
    </row>
    <row r="464">
      <c r="B464" s="53"/>
    </row>
    <row r="465">
      <c r="B465" s="53"/>
    </row>
    <row r="466">
      <c r="B466" s="53"/>
    </row>
    <row r="467">
      <c r="B467" s="53"/>
    </row>
    <row r="468">
      <c r="B468" s="53"/>
    </row>
    <row r="469">
      <c r="B469" s="53"/>
    </row>
    <row r="470">
      <c r="B470" s="53"/>
    </row>
    <row r="471">
      <c r="B471" s="53"/>
    </row>
    <row r="472">
      <c r="B472" s="53"/>
    </row>
    <row r="473">
      <c r="B473" s="53"/>
    </row>
    <row r="474">
      <c r="B474" s="53"/>
    </row>
    <row r="475">
      <c r="B475" s="53"/>
    </row>
    <row r="476">
      <c r="B476" s="53"/>
    </row>
    <row r="477">
      <c r="B477" s="53"/>
    </row>
    <row r="478">
      <c r="B478" s="53"/>
    </row>
    <row r="479">
      <c r="B479" s="53"/>
    </row>
    <row r="480">
      <c r="B480" s="53"/>
    </row>
    <row r="481">
      <c r="B481" s="53"/>
    </row>
    <row r="482">
      <c r="B482" s="53"/>
    </row>
    <row r="483">
      <c r="B483" s="53"/>
    </row>
    <row r="484">
      <c r="B484" s="53"/>
    </row>
    <row r="485">
      <c r="B485" s="53"/>
    </row>
    <row r="486">
      <c r="B486" s="53"/>
    </row>
    <row r="487">
      <c r="B487" s="53"/>
    </row>
    <row r="488">
      <c r="B488" s="53"/>
    </row>
    <row r="489">
      <c r="B489" s="53"/>
    </row>
    <row r="490">
      <c r="B490" s="53"/>
    </row>
    <row r="491">
      <c r="B491" s="53"/>
    </row>
    <row r="492">
      <c r="B492" s="53"/>
    </row>
    <row r="493">
      <c r="B493" s="53"/>
    </row>
    <row r="494">
      <c r="B494" s="53"/>
    </row>
    <row r="495">
      <c r="B495" s="53"/>
    </row>
    <row r="496">
      <c r="B496" s="53"/>
    </row>
    <row r="497">
      <c r="B497" s="53"/>
    </row>
    <row r="498">
      <c r="B498" s="53"/>
    </row>
    <row r="499">
      <c r="B499" s="53"/>
    </row>
    <row r="500">
      <c r="B500" s="53"/>
    </row>
    <row r="501">
      <c r="B501" s="53"/>
    </row>
    <row r="502">
      <c r="B502" s="53"/>
    </row>
    <row r="503">
      <c r="B503" s="53"/>
    </row>
    <row r="504">
      <c r="B504" s="53"/>
    </row>
    <row r="505">
      <c r="B505" s="53"/>
    </row>
    <row r="506">
      <c r="B506" s="53"/>
    </row>
    <row r="507">
      <c r="B507" s="53"/>
    </row>
    <row r="508">
      <c r="B508" s="53"/>
    </row>
    <row r="509">
      <c r="B509" s="53"/>
    </row>
    <row r="510">
      <c r="B510" s="53"/>
    </row>
    <row r="511">
      <c r="B511" s="53"/>
    </row>
    <row r="512">
      <c r="B512" s="53"/>
    </row>
    <row r="513">
      <c r="B513" s="53"/>
    </row>
    <row r="514">
      <c r="B514" s="53"/>
    </row>
    <row r="515">
      <c r="B515" s="53"/>
    </row>
    <row r="516">
      <c r="B516" s="53"/>
    </row>
    <row r="517">
      <c r="B517" s="53"/>
    </row>
    <row r="518">
      <c r="B518" s="53"/>
    </row>
    <row r="519">
      <c r="B519" s="53"/>
    </row>
    <row r="520">
      <c r="B520" s="53"/>
    </row>
    <row r="521">
      <c r="B521" s="53"/>
    </row>
    <row r="522">
      <c r="B522" s="53"/>
    </row>
    <row r="523">
      <c r="B523" s="53"/>
    </row>
    <row r="524">
      <c r="B524" s="53"/>
    </row>
    <row r="525">
      <c r="B525" s="53"/>
    </row>
    <row r="526">
      <c r="B526" s="53"/>
    </row>
    <row r="527">
      <c r="B527" s="53"/>
    </row>
    <row r="528">
      <c r="B528" s="53"/>
    </row>
    <row r="529">
      <c r="B529" s="53"/>
    </row>
    <row r="530">
      <c r="B530" s="53"/>
    </row>
    <row r="531">
      <c r="B531" s="53"/>
    </row>
    <row r="532">
      <c r="B532" s="53"/>
    </row>
    <row r="533">
      <c r="B533" s="53"/>
    </row>
    <row r="534">
      <c r="B534" s="53"/>
    </row>
    <row r="535">
      <c r="B535" s="53"/>
    </row>
    <row r="536">
      <c r="B536" s="53"/>
    </row>
    <row r="537">
      <c r="B537" s="53"/>
    </row>
    <row r="538">
      <c r="B538" s="53"/>
    </row>
    <row r="539">
      <c r="B539" s="53"/>
    </row>
    <row r="540">
      <c r="B540" s="53"/>
    </row>
    <row r="541">
      <c r="B541" s="53"/>
    </row>
    <row r="542">
      <c r="B542" s="53"/>
    </row>
    <row r="543">
      <c r="B543" s="53"/>
    </row>
    <row r="544">
      <c r="B544" s="53"/>
    </row>
    <row r="545">
      <c r="B545" s="53"/>
    </row>
    <row r="546">
      <c r="B546" s="53"/>
    </row>
    <row r="547">
      <c r="B547" s="53"/>
    </row>
    <row r="548">
      <c r="B548" s="53"/>
    </row>
    <row r="549">
      <c r="B549" s="53"/>
    </row>
    <row r="550">
      <c r="B550" s="53"/>
    </row>
    <row r="551">
      <c r="B551" s="53"/>
    </row>
    <row r="552">
      <c r="B552" s="53"/>
    </row>
    <row r="553">
      <c r="B553" s="53"/>
    </row>
    <row r="554">
      <c r="B554" s="53"/>
    </row>
    <row r="555">
      <c r="B555" s="53"/>
    </row>
    <row r="556">
      <c r="B556" s="53"/>
    </row>
    <row r="557">
      <c r="B557" s="53"/>
    </row>
    <row r="558">
      <c r="B558" s="53"/>
    </row>
    <row r="559">
      <c r="B559" s="53"/>
    </row>
    <row r="560">
      <c r="B560" s="53"/>
    </row>
    <row r="561">
      <c r="B561" s="53"/>
    </row>
    <row r="562">
      <c r="B562" s="53"/>
    </row>
    <row r="563">
      <c r="B563" s="53"/>
    </row>
    <row r="564">
      <c r="B564" s="53"/>
    </row>
    <row r="565">
      <c r="B565" s="53"/>
    </row>
    <row r="566">
      <c r="B566" s="53"/>
    </row>
    <row r="567">
      <c r="B567" s="53"/>
    </row>
    <row r="568">
      <c r="B568" s="53"/>
    </row>
    <row r="569">
      <c r="B569" s="53"/>
    </row>
    <row r="570">
      <c r="B570" s="53"/>
    </row>
    <row r="571">
      <c r="B571" s="53"/>
    </row>
    <row r="572">
      <c r="B572" s="53"/>
    </row>
    <row r="573">
      <c r="B573" s="53"/>
    </row>
    <row r="574">
      <c r="B574" s="53"/>
    </row>
    <row r="575">
      <c r="B575" s="53"/>
    </row>
    <row r="576">
      <c r="B576" s="53"/>
    </row>
    <row r="577">
      <c r="B577" s="53"/>
    </row>
    <row r="578">
      <c r="B578" s="53"/>
    </row>
    <row r="579">
      <c r="B579" s="53"/>
    </row>
    <row r="580">
      <c r="B580" s="53"/>
    </row>
    <row r="581">
      <c r="B581" s="53"/>
    </row>
    <row r="582">
      <c r="B582" s="53"/>
    </row>
    <row r="583">
      <c r="B583" s="53"/>
    </row>
    <row r="584">
      <c r="B584" s="53"/>
    </row>
    <row r="585">
      <c r="B585" s="53"/>
    </row>
    <row r="586">
      <c r="B586" s="53"/>
    </row>
    <row r="587">
      <c r="B587" s="53"/>
    </row>
    <row r="588">
      <c r="B588" s="53"/>
    </row>
    <row r="589">
      <c r="B589" s="53"/>
    </row>
    <row r="590">
      <c r="B590" s="53"/>
    </row>
    <row r="591">
      <c r="B591" s="53"/>
    </row>
    <row r="592">
      <c r="B592" s="53"/>
    </row>
    <row r="593">
      <c r="B593" s="53"/>
    </row>
    <row r="594">
      <c r="B594" s="53"/>
    </row>
    <row r="595">
      <c r="B595" s="53"/>
    </row>
    <row r="596">
      <c r="B596" s="53"/>
    </row>
    <row r="597">
      <c r="B597" s="53"/>
    </row>
    <row r="598">
      <c r="B598" s="53"/>
    </row>
    <row r="599">
      <c r="B599" s="53"/>
    </row>
    <row r="600">
      <c r="B600" s="53"/>
    </row>
    <row r="601">
      <c r="B601" s="53"/>
    </row>
    <row r="602">
      <c r="B602" s="53"/>
    </row>
    <row r="603">
      <c r="B603" s="53"/>
    </row>
    <row r="604">
      <c r="B604" s="53"/>
    </row>
    <row r="605">
      <c r="B605" s="53"/>
    </row>
    <row r="606">
      <c r="B606" s="53"/>
    </row>
    <row r="607">
      <c r="B607" s="53"/>
    </row>
    <row r="608">
      <c r="B608" s="53"/>
    </row>
    <row r="609">
      <c r="B609" s="53"/>
    </row>
    <row r="610">
      <c r="B610" s="53"/>
    </row>
    <row r="611">
      <c r="B611" s="53"/>
    </row>
    <row r="612">
      <c r="B612" s="53"/>
    </row>
    <row r="613">
      <c r="B613" s="53"/>
    </row>
    <row r="614">
      <c r="B614" s="53"/>
    </row>
    <row r="615">
      <c r="B615" s="53"/>
    </row>
    <row r="616">
      <c r="B616" s="53"/>
    </row>
    <row r="617">
      <c r="B617" s="53"/>
    </row>
    <row r="618">
      <c r="B618" s="53"/>
    </row>
    <row r="619">
      <c r="B619" s="53"/>
    </row>
    <row r="620">
      <c r="B620" s="53"/>
    </row>
    <row r="621">
      <c r="B621" s="53"/>
    </row>
    <row r="622">
      <c r="B622" s="53"/>
    </row>
    <row r="623">
      <c r="B623" s="53"/>
    </row>
    <row r="624">
      <c r="B624" s="53"/>
    </row>
    <row r="625">
      <c r="B625" s="53"/>
    </row>
    <row r="626">
      <c r="B626" s="53"/>
    </row>
    <row r="627">
      <c r="B627" s="53"/>
    </row>
    <row r="628">
      <c r="B628" s="53"/>
    </row>
    <row r="629">
      <c r="B629" s="53"/>
    </row>
    <row r="630">
      <c r="B630" s="53"/>
    </row>
    <row r="631">
      <c r="B631" s="53"/>
    </row>
    <row r="632">
      <c r="B632" s="53"/>
    </row>
    <row r="633">
      <c r="B633" s="53"/>
    </row>
    <row r="634">
      <c r="B634" s="53"/>
    </row>
    <row r="635">
      <c r="B635" s="53"/>
    </row>
    <row r="636">
      <c r="B636" s="53"/>
    </row>
    <row r="637">
      <c r="B637" s="53"/>
    </row>
    <row r="638">
      <c r="B638" s="53"/>
    </row>
    <row r="639">
      <c r="B639" s="53"/>
    </row>
    <row r="640">
      <c r="B640" s="53"/>
    </row>
    <row r="641">
      <c r="B641" s="53"/>
    </row>
    <row r="642">
      <c r="B642" s="53"/>
    </row>
    <row r="643">
      <c r="B643" s="53"/>
    </row>
    <row r="644">
      <c r="B644" s="53"/>
    </row>
    <row r="645">
      <c r="B645" s="53"/>
    </row>
    <row r="646">
      <c r="B646" s="53"/>
    </row>
    <row r="647">
      <c r="B647" s="53"/>
    </row>
    <row r="648">
      <c r="B648" s="53"/>
    </row>
    <row r="649">
      <c r="B649" s="53"/>
    </row>
    <row r="650">
      <c r="B650" s="53"/>
    </row>
    <row r="651">
      <c r="B651" s="53"/>
    </row>
    <row r="652">
      <c r="B652" s="53"/>
    </row>
    <row r="653">
      <c r="B653" s="53"/>
    </row>
    <row r="654">
      <c r="B654" s="53"/>
    </row>
    <row r="655">
      <c r="B655" s="53"/>
    </row>
    <row r="656">
      <c r="B656" s="53"/>
    </row>
    <row r="657">
      <c r="B657" s="53"/>
    </row>
    <row r="658">
      <c r="B658" s="53"/>
    </row>
    <row r="659">
      <c r="B659" s="53"/>
    </row>
    <row r="660">
      <c r="B660" s="53"/>
    </row>
    <row r="661">
      <c r="B661" s="53"/>
    </row>
    <row r="662">
      <c r="B662" s="53"/>
    </row>
    <row r="663">
      <c r="B663" s="53"/>
    </row>
    <row r="664">
      <c r="B664" s="53"/>
    </row>
    <row r="665">
      <c r="B665" s="53"/>
    </row>
    <row r="666">
      <c r="B666" s="53"/>
    </row>
    <row r="667">
      <c r="B667" s="53"/>
    </row>
    <row r="668">
      <c r="B668" s="53"/>
    </row>
    <row r="669">
      <c r="B669" s="53"/>
    </row>
    <row r="670">
      <c r="B670" s="53"/>
    </row>
    <row r="671">
      <c r="B671" s="53"/>
    </row>
    <row r="672">
      <c r="B672" s="53"/>
    </row>
    <row r="673">
      <c r="B673" s="53"/>
    </row>
    <row r="674">
      <c r="B674" s="53"/>
    </row>
    <row r="675">
      <c r="B675" s="53"/>
    </row>
    <row r="676">
      <c r="B676" s="53"/>
    </row>
    <row r="677">
      <c r="B677" s="53"/>
    </row>
    <row r="678">
      <c r="B678" s="53"/>
    </row>
    <row r="679">
      <c r="B679" s="53"/>
    </row>
    <row r="680">
      <c r="B680" s="53"/>
    </row>
    <row r="681">
      <c r="B681" s="53"/>
    </row>
    <row r="682">
      <c r="B682" s="53"/>
    </row>
    <row r="683">
      <c r="B683" s="53"/>
    </row>
    <row r="684">
      <c r="B684" s="53"/>
    </row>
    <row r="685">
      <c r="B685" s="53"/>
    </row>
    <row r="686">
      <c r="B686" s="53"/>
    </row>
    <row r="687">
      <c r="B687" s="53"/>
    </row>
    <row r="688">
      <c r="B688" s="53"/>
    </row>
    <row r="689">
      <c r="B689" s="53"/>
    </row>
    <row r="690">
      <c r="B690" s="53"/>
    </row>
    <row r="691">
      <c r="B691" s="53"/>
    </row>
    <row r="692">
      <c r="B692" s="53"/>
    </row>
    <row r="693">
      <c r="B693" s="53"/>
    </row>
    <row r="694">
      <c r="B694" s="53"/>
    </row>
    <row r="695">
      <c r="B695" s="53"/>
    </row>
    <row r="696">
      <c r="B696" s="53"/>
    </row>
    <row r="697">
      <c r="B697" s="53"/>
    </row>
    <row r="698">
      <c r="B698" s="53"/>
    </row>
    <row r="699">
      <c r="B699" s="53"/>
    </row>
    <row r="700">
      <c r="B700" s="53"/>
    </row>
    <row r="701">
      <c r="B701" s="53"/>
    </row>
    <row r="702">
      <c r="B702" s="53"/>
    </row>
    <row r="703">
      <c r="B703" s="53"/>
    </row>
    <row r="704">
      <c r="B704" s="53"/>
    </row>
    <row r="705">
      <c r="B705" s="53"/>
    </row>
    <row r="706">
      <c r="B706" s="53"/>
    </row>
    <row r="707">
      <c r="B707" s="53"/>
    </row>
    <row r="708">
      <c r="B708" s="53"/>
    </row>
    <row r="709">
      <c r="B709" s="53"/>
    </row>
    <row r="710">
      <c r="B710" s="53"/>
    </row>
    <row r="711">
      <c r="B711" s="53"/>
    </row>
    <row r="712">
      <c r="B712" s="53"/>
    </row>
    <row r="713">
      <c r="B713" s="53"/>
    </row>
    <row r="714">
      <c r="B714" s="53"/>
    </row>
    <row r="715">
      <c r="B715" s="53"/>
    </row>
    <row r="716">
      <c r="B716" s="53"/>
    </row>
    <row r="717">
      <c r="B717" s="53"/>
    </row>
    <row r="718">
      <c r="B718" s="53"/>
    </row>
    <row r="719">
      <c r="B719" s="53"/>
    </row>
    <row r="720">
      <c r="B720" s="53"/>
    </row>
    <row r="721">
      <c r="B721" s="53"/>
    </row>
    <row r="722">
      <c r="B722" s="53"/>
    </row>
    <row r="723">
      <c r="B723" s="53"/>
    </row>
    <row r="724">
      <c r="B724" s="53"/>
    </row>
    <row r="725">
      <c r="B725" s="53"/>
    </row>
    <row r="726">
      <c r="B726" s="53"/>
    </row>
    <row r="727">
      <c r="B727" s="53"/>
    </row>
    <row r="728">
      <c r="B728" s="53"/>
    </row>
    <row r="729">
      <c r="B729" s="53"/>
    </row>
    <row r="730">
      <c r="B730" s="53"/>
    </row>
    <row r="731">
      <c r="B731" s="53"/>
    </row>
    <row r="732">
      <c r="B732" s="53"/>
    </row>
    <row r="733">
      <c r="B733" s="53"/>
    </row>
    <row r="734">
      <c r="B734" s="53"/>
    </row>
    <row r="735">
      <c r="B735" s="53"/>
    </row>
    <row r="736">
      <c r="B736" s="53"/>
    </row>
    <row r="737">
      <c r="B737" s="53"/>
    </row>
    <row r="738">
      <c r="B738" s="53"/>
    </row>
    <row r="739">
      <c r="B739" s="53"/>
    </row>
    <row r="740">
      <c r="B740" s="53"/>
    </row>
    <row r="741">
      <c r="B741" s="53"/>
    </row>
    <row r="742">
      <c r="B742" s="53"/>
    </row>
    <row r="743">
      <c r="B743" s="53"/>
    </row>
    <row r="744">
      <c r="B744" s="53"/>
    </row>
    <row r="745">
      <c r="B745" s="53"/>
    </row>
    <row r="746">
      <c r="B746" s="53"/>
    </row>
    <row r="747">
      <c r="B747" s="53"/>
    </row>
    <row r="748">
      <c r="B748" s="53"/>
    </row>
    <row r="749">
      <c r="B749" s="53"/>
    </row>
    <row r="750">
      <c r="B750" s="53"/>
    </row>
    <row r="751">
      <c r="B751" s="53"/>
    </row>
    <row r="752">
      <c r="B752" s="53"/>
    </row>
    <row r="753">
      <c r="B753" s="53"/>
    </row>
    <row r="754">
      <c r="B754" s="53"/>
    </row>
    <row r="755">
      <c r="B755" s="53"/>
    </row>
    <row r="756">
      <c r="B756" s="53"/>
    </row>
    <row r="757">
      <c r="B757" s="53"/>
    </row>
    <row r="758">
      <c r="B758" s="53"/>
    </row>
    <row r="759">
      <c r="B759" s="53"/>
    </row>
    <row r="760">
      <c r="B760" s="53"/>
    </row>
    <row r="761">
      <c r="B761" s="53"/>
    </row>
    <row r="762">
      <c r="B762" s="53"/>
    </row>
    <row r="763">
      <c r="B763" s="53"/>
    </row>
    <row r="764">
      <c r="B764" s="53"/>
    </row>
    <row r="765">
      <c r="B765" s="53"/>
    </row>
    <row r="766">
      <c r="B766" s="53"/>
    </row>
    <row r="767">
      <c r="B767" s="53"/>
    </row>
    <row r="768">
      <c r="B768" s="53"/>
    </row>
    <row r="769">
      <c r="B769" s="53"/>
    </row>
    <row r="770">
      <c r="B770" s="53"/>
    </row>
    <row r="771">
      <c r="B771" s="53"/>
    </row>
    <row r="772">
      <c r="B772" s="53"/>
    </row>
    <row r="773">
      <c r="B773" s="53"/>
    </row>
    <row r="774">
      <c r="B774" s="53"/>
    </row>
    <row r="775">
      <c r="B775" s="53"/>
    </row>
    <row r="776">
      <c r="B776" s="53"/>
    </row>
    <row r="777">
      <c r="B777" s="53"/>
    </row>
    <row r="778">
      <c r="B778" s="53"/>
    </row>
    <row r="779">
      <c r="B779" s="53"/>
    </row>
    <row r="780">
      <c r="B780" s="53"/>
    </row>
    <row r="781">
      <c r="B781" s="53"/>
    </row>
    <row r="782">
      <c r="B782" s="53"/>
    </row>
    <row r="783">
      <c r="B783" s="53"/>
    </row>
    <row r="784">
      <c r="B784" s="53"/>
    </row>
    <row r="785">
      <c r="B785" s="53"/>
    </row>
    <row r="786">
      <c r="B786" s="53"/>
    </row>
    <row r="787">
      <c r="B787" s="53"/>
    </row>
    <row r="788">
      <c r="B788" s="53"/>
    </row>
    <row r="789">
      <c r="B789" s="53"/>
    </row>
    <row r="790">
      <c r="B790" s="53"/>
    </row>
    <row r="791">
      <c r="B791" s="53"/>
    </row>
    <row r="792">
      <c r="B792" s="53"/>
    </row>
    <row r="793">
      <c r="B793" s="53"/>
    </row>
    <row r="794">
      <c r="B794" s="53"/>
    </row>
    <row r="795">
      <c r="B795" s="53"/>
    </row>
    <row r="796">
      <c r="B796" s="53"/>
    </row>
    <row r="797">
      <c r="B797" s="53"/>
    </row>
    <row r="798">
      <c r="B798" s="53"/>
    </row>
    <row r="799">
      <c r="B799" s="53"/>
    </row>
    <row r="800">
      <c r="B800" s="53"/>
    </row>
    <row r="801">
      <c r="B801" s="53"/>
    </row>
    <row r="802">
      <c r="B802" s="53"/>
    </row>
    <row r="803">
      <c r="B803" s="53"/>
    </row>
    <row r="804">
      <c r="B804" s="53"/>
    </row>
    <row r="805">
      <c r="B805" s="53"/>
    </row>
    <row r="806">
      <c r="B806" s="53"/>
    </row>
    <row r="807">
      <c r="B807" s="53"/>
    </row>
    <row r="808">
      <c r="B808" s="53"/>
    </row>
    <row r="809">
      <c r="B809" s="53"/>
    </row>
    <row r="810">
      <c r="B810" s="53"/>
    </row>
    <row r="811">
      <c r="B811" s="53"/>
    </row>
    <row r="812">
      <c r="B812" s="53"/>
    </row>
    <row r="813">
      <c r="B813" s="53"/>
    </row>
    <row r="814">
      <c r="B814" s="53"/>
    </row>
    <row r="815">
      <c r="B815" s="53"/>
    </row>
    <row r="816">
      <c r="B816" s="53"/>
    </row>
    <row r="817">
      <c r="B817" s="53"/>
    </row>
    <row r="818">
      <c r="B818" s="53"/>
    </row>
    <row r="819">
      <c r="B819" s="53"/>
    </row>
    <row r="820">
      <c r="B820" s="53"/>
    </row>
    <row r="821">
      <c r="B821" s="53"/>
    </row>
    <row r="822">
      <c r="B822" s="53"/>
    </row>
    <row r="823">
      <c r="B823" s="53"/>
    </row>
    <row r="824">
      <c r="B824" s="53"/>
    </row>
    <row r="825">
      <c r="B825" s="53"/>
    </row>
    <row r="826">
      <c r="B826" s="53"/>
    </row>
    <row r="827">
      <c r="B827" s="53"/>
    </row>
    <row r="828">
      <c r="B828" s="53"/>
    </row>
    <row r="829">
      <c r="B829" s="53"/>
    </row>
    <row r="830">
      <c r="B830" s="53"/>
    </row>
    <row r="831">
      <c r="B831" s="53"/>
    </row>
    <row r="832">
      <c r="B832" s="53"/>
    </row>
    <row r="833">
      <c r="B833" s="53"/>
    </row>
    <row r="834">
      <c r="B834" s="53"/>
    </row>
    <row r="835">
      <c r="B835" s="53"/>
    </row>
    <row r="836">
      <c r="B836" s="53"/>
    </row>
    <row r="837">
      <c r="B837" s="53"/>
    </row>
    <row r="838">
      <c r="B838" s="53"/>
    </row>
    <row r="839">
      <c r="B839" s="53"/>
    </row>
    <row r="840">
      <c r="B840" s="53"/>
    </row>
    <row r="841">
      <c r="B841" s="53"/>
    </row>
    <row r="842">
      <c r="B842" s="53"/>
    </row>
    <row r="843">
      <c r="B843" s="53"/>
    </row>
    <row r="844">
      <c r="B844" s="53"/>
    </row>
    <row r="845">
      <c r="B845" s="53"/>
    </row>
    <row r="846">
      <c r="B846" s="53"/>
    </row>
    <row r="847">
      <c r="B847" s="53"/>
    </row>
    <row r="848">
      <c r="B848" s="53"/>
    </row>
    <row r="849">
      <c r="B849" s="53"/>
    </row>
    <row r="850">
      <c r="B850" s="53"/>
    </row>
    <row r="851">
      <c r="B851" s="53"/>
    </row>
    <row r="852">
      <c r="B852" s="53"/>
    </row>
    <row r="853">
      <c r="B853" s="53"/>
    </row>
    <row r="854">
      <c r="B854" s="53"/>
    </row>
    <row r="855">
      <c r="B855" s="53"/>
    </row>
    <row r="856">
      <c r="B856" s="53"/>
    </row>
    <row r="857">
      <c r="B857" s="53"/>
    </row>
    <row r="858">
      <c r="B858" s="53"/>
    </row>
    <row r="859">
      <c r="B859" s="53"/>
    </row>
    <row r="860">
      <c r="B860" s="53"/>
    </row>
    <row r="861">
      <c r="B861" s="53"/>
    </row>
    <row r="862">
      <c r="B862" s="53"/>
    </row>
    <row r="863">
      <c r="B863" s="53"/>
    </row>
    <row r="864">
      <c r="B864" s="53"/>
    </row>
    <row r="865">
      <c r="B865" s="53"/>
    </row>
    <row r="866">
      <c r="B866" s="53"/>
    </row>
    <row r="867">
      <c r="B867" s="53"/>
    </row>
    <row r="868">
      <c r="B868" s="53"/>
    </row>
    <row r="869">
      <c r="B869" s="53"/>
    </row>
    <row r="870">
      <c r="B870" s="53"/>
    </row>
    <row r="871">
      <c r="B871" s="53"/>
    </row>
    <row r="872">
      <c r="B872" s="53"/>
    </row>
    <row r="873">
      <c r="B873" s="53"/>
    </row>
    <row r="874">
      <c r="B874" s="53"/>
    </row>
    <row r="875">
      <c r="B875" s="53"/>
    </row>
    <row r="876">
      <c r="B876" s="53"/>
    </row>
    <row r="877">
      <c r="B877" s="53"/>
    </row>
    <row r="878">
      <c r="B878" s="53"/>
    </row>
    <row r="879">
      <c r="B879" s="53"/>
    </row>
    <row r="880">
      <c r="B880" s="53"/>
    </row>
    <row r="881">
      <c r="B881" s="53"/>
    </row>
    <row r="882">
      <c r="B882" s="53"/>
    </row>
    <row r="883">
      <c r="B883" s="53"/>
    </row>
    <row r="884">
      <c r="B884" s="53"/>
    </row>
    <row r="885">
      <c r="B885" s="53"/>
    </row>
    <row r="886">
      <c r="B886" s="53"/>
    </row>
    <row r="887">
      <c r="B887" s="53"/>
    </row>
    <row r="888">
      <c r="B888" s="53"/>
    </row>
    <row r="889">
      <c r="B889" s="53"/>
    </row>
    <row r="890">
      <c r="B890" s="53"/>
    </row>
    <row r="891">
      <c r="B891" s="53"/>
    </row>
    <row r="892">
      <c r="B892" s="53"/>
    </row>
    <row r="893">
      <c r="B893" s="53"/>
    </row>
    <row r="894">
      <c r="B894" s="53"/>
    </row>
    <row r="895">
      <c r="B895" s="53"/>
    </row>
    <row r="896">
      <c r="B896" s="53"/>
    </row>
    <row r="897">
      <c r="B897" s="53"/>
    </row>
    <row r="898">
      <c r="B898" s="53"/>
    </row>
    <row r="899">
      <c r="B899" s="53"/>
    </row>
    <row r="900">
      <c r="B900" s="53"/>
    </row>
    <row r="901">
      <c r="B901" s="53"/>
    </row>
    <row r="902">
      <c r="B902" s="53"/>
    </row>
    <row r="903">
      <c r="B903" s="53"/>
    </row>
    <row r="904">
      <c r="B904" s="53"/>
    </row>
    <row r="905">
      <c r="B905" s="53"/>
    </row>
    <row r="906">
      <c r="B906" s="53"/>
    </row>
    <row r="907">
      <c r="B907" s="53"/>
    </row>
    <row r="908">
      <c r="B908" s="53"/>
    </row>
    <row r="909">
      <c r="B909" s="53"/>
    </row>
    <row r="910">
      <c r="B910" s="53"/>
    </row>
    <row r="911">
      <c r="B911" s="53"/>
    </row>
    <row r="912">
      <c r="B912" s="53"/>
    </row>
    <row r="913">
      <c r="B913" s="53"/>
    </row>
    <row r="914">
      <c r="B914" s="53"/>
    </row>
    <row r="915">
      <c r="B915" s="53"/>
    </row>
    <row r="916">
      <c r="B916" s="53"/>
    </row>
    <row r="917">
      <c r="B917" s="53"/>
    </row>
    <row r="918">
      <c r="B918" s="53"/>
    </row>
    <row r="919">
      <c r="B919" s="53"/>
    </row>
    <row r="920">
      <c r="B920" s="53"/>
    </row>
    <row r="921">
      <c r="B921" s="53"/>
    </row>
    <row r="922">
      <c r="B922" s="53"/>
    </row>
    <row r="923">
      <c r="B923" s="53"/>
    </row>
    <row r="924">
      <c r="B924" s="53"/>
    </row>
    <row r="925">
      <c r="B925" s="53"/>
    </row>
    <row r="926">
      <c r="B926" s="53"/>
    </row>
    <row r="927">
      <c r="B927" s="53"/>
    </row>
    <row r="928">
      <c r="B928" s="53"/>
    </row>
    <row r="929">
      <c r="B929" s="53"/>
    </row>
    <row r="930">
      <c r="B930" s="53"/>
    </row>
    <row r="931">
      <c r="B931" s="53"/>
    </row>
    <row r="932">
      <c r="B932" s="53"/>
    </row>
    <row r="933">
      <c r="B933" s="53"/>
    </row>
    <row r="934">
      <c r="B934" s="53"/>
    </row>
    <row r="935">
      <c r="B935" s="53"/>
    </row>
    <row r="936">
      <c r="B936" s="53"/>
    </row>
    <row r="937">
      <c r="B937" s="53"/>
    </row>
    <row r="938">
      <c r="B938" s="53"/>
    </row>
    <row r="939">
      <c r="B939" s="53"/>
    </row>
    <row r="940">
      <c r="B940" s="53"/>
    </row>
    <row r="941">
      <c r="B941" s="53"/>
    </row>
    <row r="942">
      <c r="B942" s="53"/>
    </row>
    <row r="943">
      <c r="B943" s="53"/>
    </row>
    <row r="944">
      <c r="B944" s="53"/>
    </row>
    <row r="945">
      <c r="B945" s="53"/>
    </row>
    <row r="946">
      <c r="B946" s="53"/>
    </row>
    <row r="947">
      <c r="B947" s="53"/>
    </row>
    <row r="948">
      <c r="B948" s="53"/>
    </row>
    <row r="949">
      <c r="B949" s="53"/>
    </row>
    <row r="950">
      <c r="B950" s="53"/>
    </row>
    <row r="951">
      <c r="B951" s="53"/>
    </row>
    <row r="952">
      <c r="B952" s="53"/>
    </row>
    <row r="953">
      <c r="B953" s="53"/>
    </row>
    <row r="954">
      <c r="B954" s="53"/>
    </row>
    <row r="955">
      <c r="B955" s="53"/>
    </row>
    <row r="956">
      <c r="B956" s="53"/>
    </row>
    <row r="957">
      <c r="B957" s="53"/>
    </row>
    <row r="958">
      <c r="B958" s="53"/>
    </row>
    <row r="959">
      <c r="B959" s="53"/>
    </row>
    <row r="960">
      <c r="B960" s="53"/>
    </row>
    <row r="961">
      <c r="B961" s="53"/>
    </row>
    <row r="962">
      <c r="B962" s="53"/>
    </row>
    <row r="963">
      <c r="B963" s="53"/>
    </row>
    <row r="964">
      <c r="B964" s="53"/>
    </row>
    <row r="965">
      <c r="B965" s="53"/>
    </row>
    <row r="966">
      <c r="B966" s="53"/>
    </row>
    <row r="967">
      <c r="B967" s="53"/>
    </row>
    <row r="968">
      <c r="B968" s="53"/>
    </row>
    <row r="969">
      <c r="B969" s="53"/>
    </row>
    <row r="970">
      <c r="B970" s="53"/>
    </row>
    <row r="971">
      <c r="B971" s="53"/>
    </row>
    <row r="972">
      <c r="B972" s="53"/>
    </row>
    <row r="973">
      <c r="B973" s="53"/>
    </row>
    <row r="974">
      <c r="B974" s="53"/>
    </row>
    <row r="975">
      <c r="B975" s="53"/>
    </row>
    <row r="976">
      <c r="B976" s="53"/>
    </row>
    <row r="977">
      <c r="B977" s="53"/>
    </row>
    <row r="978">
      <c r="B978" s="53"/>
    </row>
    <row r="979">
      <c r="B979" s="53"/>
    </row>
    <row r="980">
      <c r="B980" s="53"/>
    </row>
    <row r="981">
      <c r="B981" s="53"/>
    </row>
    <row r="982">
      <c r="B982" s="53"/>
    </row>
    <row r="983">
      <c r="B983" s="53"/>
    </row>
    <row r="984">
      <c r="B984" s="53"/>
    </row>
    <row r="985">
      <c r="B985" s="53"/>
    </row>
    <row r="986">
      <c r="B986" s="53"/>
    </row>
    <row r="987">
      <c r="B987" s="53"/>
    </row>
    <row r="988">
      <c r="B988" s="53"/>
    </row>
    <row r="989">
      <c r="B989" s="53"/>
    </row>
    <row r="990">
      <c r="B990" s="53"/>
    </row>
    <row r="991">
      <c r="B991" s="53"/>
    </row>
    <row r="992">
      <c r="B992" s="53"/>
    </row>
    <row r="993">
      <c r="B993" s="53"/>
    </row>
    <row r="994">
      <c r="B994" s="53"/>
    </row>
    <row r="995">
      <c r="B995" s="53"/>
    </row>
    <row r="996">
      <c r="B996" s="53"/>
    </row>
    <row r="997">
      <c r="B997" s="53"/>
    </row>
    <row r="998">
      <c r="B998" s="53"/>
    </row>
    <row r="999">
      <c r="B999" s="53"/>
    </row>
    <row r="1000">
      <c r="B1000" s="53"/>
    </row>
    <row r="1001">
      <c r="B1001" s="53"/>
    </row>
    <row r="1002">
      <c r="B1002" s="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75"/>
    <col customWidth="1" min="2" max="2" width="33.75"/>
    <col customWidth="1" min="3" max="3" width="63.63"/>
    <col customWidth="1" min="4" max="4" width="16.75"/>
    <col customWidth="1" min="5" max="5" width="19.5"/>
    <col customWidth="1" min="7" max="7" width="9.25"/>
    <col customWidth="1" min="10" max="10" width="14.88"/>
    <col customWidth="1" min="11" max="11" width="21.38"/>
  </cols>
  <sheetData>
    <row r="1">
      <c r="A1" s="59" t="s">
        <v>29</v>
      </c>
      <c r="B1" s="60" t="s">
        <v>87</v>
      </c>
      <c r="C1" s="59" t="s">
        <v>88</v>
      </c>
      <c r="D1" s="61" t="s">
        <v>89</v>
      </c>
      <c r="E1" s="61" t="s">
        <v>90</v>
      </c>
      <c r="F1" s="62" t="s">
        <v>30</v>
      </c>
      <c r="G1" s="59" t="s">
        <v>91</v>
      </c>
      <c r="H1" s="59" t="s">
        <v>92</v>
      </c>
      <c r="I1" s="62" t="s">
        <v>93</v>
      </c>
      <c r="J1" s="63" t="s">
        <v>94</v>
      </c>
      <c r="K1" s="62" t="s">
        <v>39</v>
      </c>
      <c r="L1" s="59" t="s">
        <v>40</v>
      </c>
      <c r="M1" s="59" t="s">
        <v>41</v>
      </c>
      <c r="N1" s="59" t="s">
        <v>42</v>
      </c>
      <c r="O1" s="59" t="s">
        <v>43</v>
      </c>
    </row>
    <row r="2">
      <c r="A2" s="45">
        <v>46025.79431712963</v>
      </c>
      <c r="B2" s="8" t="s">
        <v>95</v>
      </c>
      <c r="C2" s="7" t="s">
        <v>96</v>
      </c>
      <c r="D2" s="64">
        <v>1.0</v>
      </c>
      <c r="E2" s="7"/>
      <c r="F2" s="47">
        <v>82.33</v>
      </c>
      <c r="G2" s="65">
        <v>0.0</v>
      </c>
      <c r="H2" s="7"/>
      <c r="I2" s="47">
        <v>3.92</v>
      </c>
      <c r="J2" s="66">
        <f t="shared" ref="J2:J366" si="1">F2-I2</f>
        <v>78.41</v>
      </c>
      <c r="K2" s="8"/>
      <c r="L2" s="7"/>
      <c r="M2" s="7"/>
      <c r="N2" s="7"/>
      <c r="O2" s="7"/>
    </row>
    <row r="3">
      <c r="A3" s="45">
        <v>46021.18019675926</v>
      </c>
      <c r="B3" s="8" t="s">
        <v>97</v>
      </c>
      <c r="C3" s="67" t="s">
        <v>98</v>
      </c>
      <c r="D3" s="64">
        <v>1.0</v>
      </c>
      <c r="E3" s="64">
        <v>1.0</v>
      </c>
      <c r="F3" s="47">
        <v>160.22</v>
      </c>
      <c r="G3" s="65">
        <v>0.0</v>
      </c>
      <c r="H3" s="7"/>
      <c r="I3" s="47">
        <v>4.95</v>
      </c>
      <c r="J3" s="66">
        <f t="shared" si="1"/>
        <v>155.27</v>
      </c>
      <c r="K3" s="8"/>
      <c r="L3" s="7"/>
      <c r="M3" s="7"/>
      <c r="N3" s="7"/>
      <c r="O3" s="7"/>
    </row>
    <row r="4">
      <c r="A4" s="45">
        <v>46020.675787037035</v>
      </c>
      <c r="B4" s="8" t="s">
        <v>99</v>
      </c>
      <c r="C4" s="67" t="s">
        <v>98</v>
      </c>
      <c r="D4" s="64">
        <v>1.0</v>
      </c>
      <c r="E4" s="64">
        <v>1.0</v>
      </c>
      <c r="F4" s="47">
        <v>183.68</v>
      </c>
      <c r="G4" s="65">
        <v>0.0</v>
      </c>
      <c r="H4" s="7"/>
      <c r="I4" s="47">
        <v>8.38</v>
      </c>
      <c r="J4" s="66">
        <f t="shared" si="1"/>
        <v>175.3</v>
      </c>
      <c r="K4" s="8"/>
      <c r="L4" s="7"/>
      <c r="M4" s="7"/>
      <c r="N4" s="7"/>
      <c r="O4" s="7"/>
    </row>
    <row r="5">
      <c r="A5" s="45">
        <v>46015.302453703705</v>
      </c>
      <c r="B5" s="8" t="s">
        <v>100</v>
      </c>
      <c r="C5" s="7" t="s">
        <v>96</v>
      </c>
      <c r="D5" s="64">
        <v>1.0</v>
      </c>
      <c r="E5" s="7"/>
      <c r="F5" s="47">
        <v>82.33</v>
      </c>
      <c r="G5" s="65">
        <v>0.0</v>
      </c>
      <c r="H5" s="7"/>
      <c r="I5" s="47">
        <v>3.92</v>
      </c>
      <c r="J5" s="66">
        <f t="shared" si="1"/>
        <v>78.41</v>
      </c>
      <c r="K5" s="8"/>
      <c r="L5" s="7"/>
      <c r="M5" s="7"/>
      <c r="N5" s="7"/>
      <c r="O5" s="7"/>
    </row>
    <row r="6">
      <c r="A6" s="45">
        <v>46007.24901620371</v>
      </c>
      <c r="B6" s="8" t="s">
        <v>101</v>
      </c>
      <c r="C6" s="7" t="s">
        <v>96</v>
      </c>
      <c r="D6" s="64">
        <v>1.0</v>
      </c>
      <c r="E6" s="7"/>
      <c r="F6" s="47">
        <v>62.92</v>
      </c>
      <c r="G6" s="65">
        <v>0.0</v>
      </c>
      <c r="H6" s="7"/>
      <c r="I6" s="47">
        <v>2.12</v>
      </c>
      <c r="J6" s="66">
        <f t="shared" si="1"/>
        <v>60.8</v>
      </c>
      <c r="K6" s="8"/>
      <c r="L6" s="7"/>
      <c r="M6" s="7"/>
      <c r="N6" s="7"/>
      <c r="O6" s="7"/>
    </row>
    <row r="7">
      <c r="A7" s="45">
        <v>46002.93185185185</v>
      </c>
      <c r="B7" s="8" t="s">
        <v>102</v>
      </c>
      <c r="C7" s="7" t="s">
        <v>96</v>
      </c>
      <c r="D7" s="64">
        <v>1.0</v>
      </c>
      <c r="E7" s="7"/>
      <c r="F7" s="47">
        <v>65.47</v>
      </c>
      <c r="G7" s="65">
        <v>0.0</v>
      </c>
      <c r="H7" s="7"/>
      <c r="I7" s="47">
        <v>2.2</v>
      </c>
      <c r="J7" s="66">
        <f t="shared" si="1"/>
        <v>63.27</v>
      </c>
      <c r="K7" s="8"/>
      <c r="L7" s="7"/>
      <c r="M7" s="7"/>
      <c r="N7" s="7"/>
      <c r="O7" s="7"/>
    </row>
    <row r="8">
      <c r="A8" s="45">
        <v>45989.881053240744</v>
      </c>
      <c r="B8" s="8" t="s">
        <v>103</v>
      </c>
      <c r="C8" s="7" t="s">
        <v>96</v>
      </c>
      <c r="D8" s="64">
        <v>1.0</v>
      </c>
      <c r="E8" s="7"/>
      <c r="F8" s="47">
        <v>60.22</v>
      </c>
      <c r="G8" s="65">
        <v>0.0</v>
      </c>
      <c r="H8" s="7"/>
      <c r="I8" s="47">
        <v>2.05</v>
      </c>
      <c r="J8" s="66">
        <f t="shared" si="1"/>
        <v>58.17</v>
      </c>
      <c r="K8" s="8"/>
      <c r="L8" s="7"/>
      <c r="M8" s="7"/>
      <c r="N8" s="7"/>
      <c r="O8" s="7"/>
    </row>
    <row r="9">
      <c r="A9" s="45">
        <v>45982.01219907407</v>
      </c>
      <c r="B9" s="8" t="s">
        <v>104</v>
      </c>
      <c r="C9" s="7" t="s">
        <v>96</v>
      </c>
      <c r="D9" s="64">
        <v>1.0</v>
      </c>
      <c r="E9" s="7"/>
      <c r="F9" s="47">
        <v>60.22</v>
      </c>
      <c r="G9" s="65">
        <v>0.0</v>
      </c>
      <c r="H9" s="7"/>
      <c r="I9" s="47">
        <v>2.05</v>
      </c>
      <c r="J9" s="66">
        <f t="shared" si="1"/>
        <v>58.17</v>
      </c>
      <c r="K9" s="8"/>
      <c r="L9" s="7"/>
      <c r="M9" s="7"/>
      <c r="N9" s="7"/>
      <c r="O9" s="7"/>
    </row>
    <row r="10">
      <c r="A10" s="45">
        <v>45966.647361111114</v>
      </c>
      <c r="B10" s="8" t="s">
        <v>105</v>
      </c>
      <c r="C10" s="7" t="s">
        <v>96</v>
      </c>
      <c r="D10" s="64">
        <v>1.0</v>
      </c>
      <c r="E10" s="7"/>
      <c r="F10" s="47">
        <v>60.22</v>
      </c>
      <c r="G10" s="65">
        <v>0.0</v>
      </c>
      <c r="H10" s="7"/>
      <c r="I10" s="47">
        <v>2.05</v>
      </c>
      <c r="J10" s="66">
        <f t="shared" si="1"/>
        <v>58.17</v>
      </c>
      <c r="K10" s="8"/>
      <c r="L10" s="7"/>
      <c r="M10" s="7"/>
      <c r="N10" s="7"/>
      <c r="O10" s="7"/>
    </row>
    <row r="11">
      <c r="A11" s="45">
        <v>45965.29686342592</v>
      </c>
      <c r="B11" s="8" t="s">
        <v>106</v>
      </c>
      <c r="C11" s="7" t="s">
        <v>96</v>
      </c>
      <c r="D11" s="64">
        <v>1.0</v>
      </c>
      <c r="E11" s="7"/>
      <c r="F11" s="47">
        <v>64.1</v>
      </c>
      <c r="G11" s="65">
        <v>0.0</v>
      </c>
      <c r="H11" s="7"/>
      <c r="I11" s="47">
        <v>2.16</v>
      </c>
      <c r="J11" s="66">
        <f t="shared" si="1"/>
        <v>61.94</v>
      </c>
      <c r="K11" s="8"/>
      <c r="L11" s="7"/>
      <c r="M11" s="7"/>
      <c r="N11" s="7"/>
      <c r="O11" s="7"/>
    </row>
    <row r="12">
      <c r="A12" s="45">
        <v>45962.81853009259</v>
      </c>
      <c r="B12" s="8" t="s">
        <v>107</v>
      </c>
      <c r="C12" s="7" t="s">
        <v>96</v>
      </c>
      <c r="D12" s="64">
        <v>1.0</v>
      </c>
      <c r="E12" s="7"/>
      <c r="F12" s="47">
        <v>60.22</v>
      </c>
      <c r="G12" s="65">
        <v>0.0</v>
      </c>
      <c r="H12" s="7"/>
      <c r="I12" s="47">
        <v>2.05</v>
      </c>
      <c r="J12" s="66">
        <f t="shared" si="1"/>
        <v>58.17</v>
      </c>
      <c r="K12" s="8"/>
      <c r="L12" s="7"/>
      <c r="M12" s="7"/>
      <c r="N12" s="7"/>
      <c r="O12" s="7"/>
    </row>
    <row r="13">
      <c r="A13" s="45">
        <v>45962.6325</v>
      </c>
      <c r="B13" s="8" t="s">
        <v>108</v>
      </c>
      <c r="C13" s="7" t="s">
        <v>96</v>
      </c>
      <c r="D13" s="64">
        <v>1.0</v>
      </c>
      <c r="E13" s="7"/>
      <c r="F13" s="47">
        <v>73.13</v>
      </c>
      <c r="G13" s="65">
        <v>0.0</v>
      </c>
      <c r="H13" s="7"/>
      <c r="I13" s="47">
        <v>3.52</v>
      </c>
      <c r="J13" s="66">
        <f t="shared" si="1"/>
        <v>69.61</v>
      </c>
      <c r="K13" s="8"/>
      <c r="L13" s="7"/>
      <c r="M13" s="7"/>
      <c r="N13" s="7"/>
      <c r="O13" s="7"/>
    </row>
    <row r="14">
      <c r="A14" s="45">
        <v>45962.52506944445</v>
      </c>
      <c r="B14" s="8" t="s">
        <v>109</v>
      </c>
      <c r="C14" s="7" t="s">
        <v>96</v>
      </c>
      <c r="D14" s="64">
        <v>1.0</v>
      </c>
      <c r="E14" s="7"/>
      <c r="F14" s="47">
        <v>73.1</v>
      </c>
      <c r="G14" s="65">
        <v>0.0</v>
      </c>
      <c r="H14" s="7"/>
      <c r="I14" s="47">
        <v>3.52</v>
      </c>
      <c r="J14" s="66">
        <f t="shared" si="1"/>
        <v>69.58</v>
      </c>
      <c r="K14" s="8"/>
      <c r="L14" s="7"/>
      <c r="M14" s="7"/>
      <c r="N14" s="7"/>
      <c r="O14" s="7"/>
    </row>
    <row r="15">
      <c r="A15" s="45">
        <v>45962.50246527778</v>
      </c>
      <c r="B15" s="8" t="s">
        <v>110</v>
      </c>
      <c r="C15" s="67" t="s">
        <v>98</v>
      </c>
      <c r="D15" s="64">
        <v>1.0</v>
      </c>
      <c r="E15" s="64">
        <v>1.0</v>
      </c>
      <c r="F15" s="47">
        <v>183.44</v>
      </c>
      <c r="G15" s="65">
        <v>0.0</v>
      </c>
      <c r="H15" s="7"/>
      <c r="I15" s="47">
        <v>8.37</v>
      </c>
      <c r="J15" s="66">
        <f t="shared" si="1"/>
        <v>175.07</v>
      </c>
      <c r="K15" s="8"/>
      <c r="L15" s="7"/>
      <c r="M15" s="7"/>
      <c r="N15" s="7"/>
      <c r="O15" s="7"/>
    </row>
    <row r="16">
      <c r="A16" s="45">
        <v>45962.42481481482</v>
      </c>
      <c r="B16" s="8" t="s">
        <v>111</v>
      </c>
      <c r="C16" s="7" t="s">
        <v>96</v>
      </c>
      <c r="D16" s="64">
        <v>1.0</v>
      </c>
      <c r="E16" s="7"/>
      <c r="F16" s="47">
        <v>65.6</v>
      </c>
      <c r="G16" s="65">
        <v>0.0</v>
      </c>
      <c r="H16" s="7"/>
      <c r="I16" s="47">
        <v>2.2</v>
      </c>
      <c r="J16" s="66">
        <f t="shared" si="1"/>
        <v>63.4</v>
      </c>
      <c r="K16" s="8"/>
      <c r="L16" s="7"/>
      <c r="M16" s="7"/>
      <c r="N16" s="7"/>
      <c r="O16" s="7"/>
    </row>
    <row r="17">
      <c r="A17" s="45">
        <v>45962.42383101852</v>
      </c>
      <c r="B17" s="8" t="s">
        <v>112</v>
      </c>
      <c r="C17" s="7" t="s">
        <v>96</v>
      </c>
      <c r="D17" s="64">
        <v>1.0</v>
      </c>
      <c r="E17" s="7"/>
      <c r="F17" s="47">
        <v>73.13</v>
      </c>
      <c r="G17" s="65">
        <v>0.0</v>
      </c>
      <c r="H17" s="7"/>
      <c r="I17" s="47">
        <v>3.52</v>
      </c>
      <c r="J17" s="66">
        <f t="shared" si="1"/>
        <v>69.61</v>
      </c>
      <c r="K17" s="8"/>
      <c r="L17" s="7"/>
      <c r="M17" s="7"/>
      <c r="N17" s="7"/>
      <c r="O17" s="7"/>
    </row>
    <row r="18">
      <c r="A18" s="45">
        <v>45962.338368055556</v>
      </c>
      <c r="B18" s="8" t="s">
        <v>113</v>
      </c>
      <c r="C18" s="67" t="s">
        <v>98</v>
      </c>
      <c r="D18" s="64">
        <v>1.0</v>
      </c>
      <c r="E18" s="64">
        <v>1.0</v>
      </c>
      <c r="F18" s="47">
        <v>184.6</v>
      </c>
      <c r="G18" s="65">
        <v>0.0</v>
      </c>
      <c r="H18" s="7"/>
      <c r="I18" s="47">
        <v>8.42</v>
      </c>
      <c r="J18" s="66">
        <f t="shared" si="1"/>
        <v>176.18</v>
      </c>
      <c r="K18" s="8"/>
      <c r="L18" s="7"/>
      <c r="M18" s="7"/>
      <c r="N18" s="7"/>
      <c r="O18" s="7"/>
    </row>
    <row r="19">
      <c r="A19" s="45">
        <v>45962.27946759259</v>
      </c>
      <c r="B19" s="8" t="s">
        <v>114</v>
      </c>
      <c r="C19" s="7" t="s">
        <v>96</v>
      </c>
      <c r="D19" s="64">
        <v>1.0</v>
      </c>
      <c r="E19" s="7"/>
      <c r="F19" s="47">
        <v>86.26</v>
      </c>
      <c r="G19" s="65">
        <v>0.0</v>
      </c>
      <c r="H19" s="7"/>
      <c r="I19" s="47">
        <v>4.1</v>
      </c>
      <c r="J19" s="66">
        <f t="shared" si="1"/>
        <v>82.16</v>
      </c>
      <c r="K19" s="8"/>
      <c r="L19" s="7"/>
      <c r="M19" s="7"/>
      <c r="N19" s="7"/>
      <c r="O19" s="7"/>
    </row>
    <row r="20">
      <c r="A20" s="45">
        <v>45962.21434027778</v>
      </c>
      <c r="B20" s="8" t="s">
        <v>115</v>
      </c>
      <c r="C20" s="7" t="s">
        <v>96</v>
      </c>
      <c r="D20" s="64">
        <v>1.0</v>
      </c>
      <c r="E20" s="7"/>
      <c r="F20" s="47">
        <v>62.16</v>
      </c>
      <c r="G20" s="65">
        <v>0.0</v>
      </c>
      <c r="H20" s="7"/>
      <c r="I20" s="47">
        <v>2.1</v>
      </c>
      <c r="J20" s="66">
        <f t="shared" si="1"/>
        <v>60.06</v>
      </c>
      <c r="K20" s="8"/>
      <c r="L20" s="7"/>
      <c r="M20" s="7"/>
      <c r="N20" s="7"/>
      <c r="O20" s="7"/>
    </row>
    <row r="21">
      <c r="A21" s="45">
        <v>45962.07050925926</v>
      </c>
      <c r="B21" s="8" t="s">
        <v>116</v>
      </c>
      <c r="C21" s="7" t="s">
        <v>96</v>
      </c>
      <c r="D21" s="64">
        <v>1.0</v>
      </c>
      <c r="E21" s="7"/>
      <c r="F21" s="47">
        <v>60.22</v>
      </c>
      <c r="G21" s="65">
        <v>0.0</v>
      </c>
      <c r="H21" s="7"/>
      <c r="I21" s="47">
        <v>2.05</v>
      </c>
      <c r="J21" s="66">
        <f t="shared" si="1"/>
        <v>58.17</v>
      </c>
      <c r="K21" s="8"/>
      <c r="L21" s="7"/>
      <c r="M21" s="7"/>
      <c r="N21" s="7"/>
      <c r="O21" s="7"/>
    </row>
    <row r="22">
      <c r="A22" s="45">
        <v>45962.04927083333</v>
      </c>
      <c r="B22" s="8" t="s">
        <v>117</v>
      </c>
      <c r="C22" s="7" t="s">
        <v>96</v>
      </c>
      <c r="D22" s="64">
        <v>1.0</v>
      </c>
      <c r="E22" s="7"/>
      <c r="F22" s="47">
        <v>60.22</v>
      </c>
      <c r="G22" s="65">
        <v>0.0</v>
      </c>
      <c r="H22" s="7"/>
      <c r="I22" s="47">
        <v>2.05</v>
      </c>
      <c r="J22" s="66">
        <f t="shared" si="1"/>
        <v>58.17</v>
      </c>
      <c r="K22" s="8"/>
      <c r="L22" s="7"/>
      <c r="M22" s="7"/>
      <c r="N22" s="7"/>
      <c r="O22" s="7"/>
    </row>
    <row r="23">
      <c r="A23" s="45">
        <v>45962.00803240741</v>
      </c>
      <c r="B23" s="8" t="s">
        <v>118</v>
      </c>
      <c r="C23" s="7" t="s">
        <v>96</v>
      </c>
      <c r="D23" s="64">
        <v>1.0</v>
      </c>
      <c r="E23" s="7"/>
      <c r="F23" s="47">
        <v>65.03</v>
      </c>
      <c r="G23" s="65">
        <v>0.0</v>
      </c>
      <c r="H23" s="7"/>
      <c r="I23" s="47">
        <v>3.16</v>
      </c>
      <c r="J23" s="66">
        <f t="shared" si="1"/>
        <v>61.87</v>
      </c>
      <c r="K23" s="8"/>
      <c r="L23" s="7"/>
      <c r="M23" s="7"/>
      <c r="N23" s="7"/>
      <c r="O23" s="7"/>
    </row>
    <row r="24">
      <c r="A24" s="45">
        <v>45961.80888888889</v>
      </c>
      <c r="B24" s="8" t="s">
        <v>119</v>
      </c>
      <c r="C24" s="67" t="s">
        <v>98</v>
      </c>
      <c r="D24" s="64">
        <v>1.0</v>
      </c>
      <c r="E24" s="64">
        <v>1.0</v>
      </c>
      <c r="F24" s="47">
        <v>184.9</v>
      </c>
      <c r="G24" s="65">
        <v>0.0</v>
      </c>
      <c r="H24" s="7"/>
      <c r="I24" s="47">
        <v>8.44</v>
      </c>
      <c r="J24" s="66">
        <f t="shared" si="1"/>
        <v>176.46</v>
      </c>
      <c r="K24" s="8"/>
      <c r="L24" s="7"/>
      <c r="M24" s="7"/>
      <c r="N24" s="7"/>
      <c r="O24" s="7"/>
    </row>
    <row r="25">
      <c r="A25" s="45">
        <v>45961.782013888886</v>
      </c>
      <c r="B25" s="8" t="s">
        <v>120</v>
      </c>
      <c r="C25" s="67" t="s">
        <v>98</v>
      </c>
      <c r="D25" s="64">
        <v>1.0</v>
      </c>
      <c r="E25" s="64">
        <v>1.0</v>
      </c>
      <c r="F25" s="47">
        <v>160.22</v>
      </c>
      <c r="G25" s="65">
        <v>0.0</v>
      </c>
      <c r="H25" s="7"/>
      <c r="I25" s="47">
        <v>4.95</v>
      </c>
      <c r="J25" s="66">
        <f t="shared" si="1"/>
        <v>155.27</v>
      </c>
      <c r="K25" s="8"/>
      <c r="L25" s="7"/>
      <c r="M25" s="7"/>
      <c r="N25" s="7"/>
      <c r="O25" s="7"/>
    </row>
    <row r="26">
      <c r="A26" s="45">
        <v>45961.776655092595</v>
      </c>
      <c r="B26" s="8" t="s">
        <v>121</v>
      </c>
      <c r="C26" s="7" t="s">
        <v>96</v>
      </c>
      <c r="D26" s="64">
        <v>1.0</v>
      </c>
      <c r="E26" s="7"/>
      <c r="F26" s="47">
        <v>60.22</v>
      </c>
      <c r="G26" s="65">
        <v>0.0</v>
      </c>
      <c r="H26" s="7"/>
      <c r="I26" s="47">
        <v>2.95</v>
      </c>
      <c r="J26" s="66">
        <f t="shared" si="1"/>
        <v>57.27</v>
      </c>
      <c r="K26" s="8"/>
      <c r="L26" s="7"/>
      <c r="M26" s="7"/>
      <c r="N26" s="7"/>
      <c r="O26" s="7"/>
    </row>
    <row r="27">
      <c r="A27" s="45">
        <v>45961.73607638889</v>
      </c>
      <c r="B27" s="8" t="s">
        <v>122</v>
      </c>
      <c r="C27" s="7" t="s">
        <v>96</v>
      </c>
      <c r="D27" s="64">
        <v>1.0</v>
      </c>
      <c r="E27" s="7"/>
      <c r="F27" s="47">
        <v>60.22</v>
      </c>
      <c r="G27" s="65">
        <v>0.0</v>
      </c>
      <c r="H27" s="7"/>
      <c r="I27" s="47">
        <v>2.05</v>
      </c>
      <c r="J27" s="66">
        <f t="shared" si="1"/>
        <v>58.17</v>
      </c>
      <c r="K27" s="8"/>
      <c r="L27" s="7"/>
      <c r="M27" s="7"/>
      <c r="N27" s="7"/>
      <c r="O27" s="7"/>
    </row>
    <row r="28">
      <c r="A28" s="45">
        <v>45961.669375</v>
      </c>
      <c r="B28" s="8" t="s">
        <v>123</v>
      </c>
      <c r="C28" s="7" t="s">
        <v>96</v>
      </c>
      <c r="D28" s="64">
        <v>1.0</v>
      </c>
      <c r="E28" s="7"/>
      <c r="F28" s="47">
        <v>60.22</v>
      </c>
      <c r="G28" s="65">
        <v>0.0</v>
      </c>
      <c r="H28" s="7"/>
      <c r="I28" s="47">
        <v>2.05</v>
      </c>
      <c r="J28" s="66">
        <f t="shared" si="1"/>
        <v>58.17</v>
      </c>
      <c r="K28" s="8"/>
      <c r="L28" s="7"/>
      <c r="M28" s="7"/>
      <c r="N28" s="7"/>
      <c r="O28" s="7"/>
    </row>
    <row r="29">
      <c r="A29" s="45">
        <v>45961.54284722222</v>
      </c>
      <c r="B29" s="8" t="s">
        <v>124</v>
      </c>
      <c r="C29" s="7" t="s">
        <v>96</v>
      </c>
      <c r="D29" s="64">
        <v>1.0</v>
      </c>
      <c r="E29" s="7"/>
      <c r="F29" s="47">
        <v>66.28</v>
      </c>
      <c r="G29" s="65">
        <v>0.0</v>
      </c>
      <c r="H29" s="7"/>
      <c r="I29" s="47">
        <v>3.22</v>
      </c>
      <c r="J29" s="66">
        <f t="shared" si="1"/>
        <v>63.06</v>
      </c>
      <c r="K29" s="8"/>
      <c r="L29" s="7"/>
      <c r="M29" s="7"/>
      <c r="N29" s="7"/>
      <c r="O29" s="7"/>
    </row>
    <row r="30">
      <c r="A30" s="45">
        <v>45961.51797453704</v>
      </c>
      <c r="B30" s="8" t="s">
        <v>125</v>
      </c>
      <c r="C30" s="7" t="s">
        <v>96</v>
      </c>
      <c r="D30" s="64">
        <v>1.0</v>
      </c>
      <c r="E30" s="7"/>
      <c r="F30" s="47">
        <v>60.22</v>
      </c>
      <c r="G30" s="65">
        <v>0.0</v>
      </c>
      <c r="H30" s="7"/>
      <c r="I30" s="47">
        <v>2.05</v>
      </c>
      <c r="J30" s="66">
        <f t="shared" si="1"/>
        <v>58.17</v>
      </c>
      <c r="K30" s="8"/>
      <c r="L30" s="7"/>
      <c r="M30" s="7"/>
      <c r="N30" s="7"/>
      <c r="O30" s="7"/>
    </row>
    <row r="31">
      <c r="A31" s="45">
        <v>45961.3840162037</v>
      </c>
      <c r="B31" s="8" t="s">
        <v>126</v>
      </c>
      <c r="C31" s="7" t="s">
        <v>96</v>
      </c>
      <c r="D31" s="64">
        <v>1.0</v>
      </c>
      <c r="E31" s="7"/>
      <c r="F31" s="47">
        <v>73.13</v>
      </c>
      <c r="G31" s="65">
        <v>0.0</v>
      </c>
      <c r="H31" s="7"/>
      <c r="I31" s="47">
        <v>3.52</v>
      </c>
      <c r="J31" s="66">
        <f t="shared" si="1"/>
        <v>69.61</v>
      </c>
      <c r="K31" s="8"/>
      <c r="L31" s="7"/>
      <c r="M31" s="7"/>
      <c r="N31" s="7"/>
      <c r="O31" s="7"/>
    </row>
    <row r="32">
      <c r="A32" s="45">
        <v>45961.34185185185</v>
      </c>
      <c r="B32" s="8" t="s">
        <v>127</v>
      </c>
      <c r="C32" s="7" t="s">
        <v>96</v>
      </c>
      <c r="D32" s="64">
        <v>1.0</v>
      </c>
      <c r="E32" s="7"/>
      <c r="F32" s="47">
        <v>77.24</v>
      </c>
      <c r="G32" s="65">
        <v>0.0</v>
      </c>
      <c r="H32" s="7"/>
      <c r="I32" s="47">
        <v>3.7</v>
      </c>
      <c r="J32" s="66">
        <f t="shared" si="1"/>
        <v>73.54</v>
      </c>
      <c r="K32" s="8"/>
      <c r="L32" s="7"/>
      <c r="M32" s="7"/>
      <c r="N32" s="7"/>
      <c r="O32" s="7"/>
    </row>
    <row r="33">
      <c r="A33" s="45">
        <v>45961.07048611111</v>
      </c>
      <c r="B33" s="8" t="s">
        <v>128</v>
      </c>
      <c r="C33" s="7" t="s">
        <v>96</v>
      </c>
      <c r="D33" s="64">
        <v>1.0</v>
      </c>
      <c r="E33" s="7"/>
      <c r="F33" s="47">
        <v>60.22</v>
      </c>
      <c r="G33" s="65">
        <v>0.0</v>
      </c>
      <c r="H33" s="7"/>
      <c r="I33" s="47">
        <v>2.95</v>
      </c>
      <c r="J33" s="66">
        <f t="shared" si="1"/>
        <v>57.27</v>
      </c>
      <c r="K33" s="8"/>
      <c r="L33" s="7"/>
      <c r="M33" s="7"/>
      <c r="N33" s="7"/>
      <c r="O33" s="7"/>
    </row>
    <row r="34">
      <c r="A34" s="45">
        <v>45961.00877314815</v>
      </c>
      <c r="B34" s="8" t="s">
        <v>129</v>
      </c>
      <c r="C34" s="7" t="s">
        <v>96</v>
      </c>
      <c r="D34" s="64">
        <v>1.0</v>
      </c>
      <c r="E34" s="7"/>
      <c r="F34" s="47">
        <v>77.24</v>
      </c>
      <c r="G34" s="65">
        <v>0.0</v>
      </c>
      <c r="H34" s="7"/>
      <c r="I34" s="47">
        <v>3.7</v>
      </c>
      <c r="J34" s="66">
        <f t="shared" si="1"/>
        <v>73.54</v>
      </c>
      <c r="K34" s="8"/>
      <c r="L34" s="7"/>
      <c r="M34" s="7"/>
      <c r="N34" s="7"/>
      <c r="O34" s="7"/>
    </row>
    <row r="35">
      <c r="A35" s="45">
        <v>45960.95207175926</v>
      </c>
      <c r="B35" s="8" t="s">
        <v>130</v>
      </c>
      <c r="C35" s="7" t="s">
        <v>96</v>
      </c>
      <c r="D35" s="64">
        <v>1.0</v>
      </c>
      <c r="E35" s="7"/>
      <c r="F35" s="47">
        <v>83.22</v>
      </c>
      <c r="G35" s="65">
        <v>0.0</v>
      </c>
      <c r="H35" s="7"/>
      <c r="I35" s="47">
        <v>3.96</v>
      </c>
      <c r="J35" s="66">
        <f t="shared" si="1"/>
        <v>79.26</v>
      </c>
      <c r="K35" s="8"/>
      <c r="L35" s="7"/>
      <c r="M35" s="7"/>
      <c r="N35" s="7"/>
      <c r="O35" s="7"/>
    </row>
    <row r="36">
      <c r="A36" s="45">
        <v>45960.94615740741</v>
      </c>
      <c r="B36" s="8" t="s">
        <v>131</v>
      </c>
      <c r="C36" s="7" t="s">
        <v>96</v>
      </c>
      <c r="D36" s="64">
        <v>1.0</v>
      </c>
      <c r="E36" s="7"/>
      <c r="F36" s="47">
        <v>102.98</v>
      </c>
      <c r="G36" s="65">
        <v>0.0</v>
      </c>
      <c r="H36" s="7"/>
      <c r="I36" s="47">
        <v>4.83</v>
      </c>
      <c r="J36" s="66">
        <f t="shared" si="1"/>
        <v>98.15</v>
      </c>
      <c r="K36" s="8"/>
      <c r="L36" s="7"/>
      <c r="M36" s="7"/>
      <c r="N36" s="7"/>
      <c r="O36" s="7"/>
    </row>
    <row r="37">
      <c r="A37" s="45">
        <v>45960.78155092592</v>
      </c>
      <c r="B37" s="8" t="s">
        <v>132</v>
      </c>
      <c r="C37" s="7" t="s">
        <v>96</v>
      </c>
      <c r="D37" s="64">
        <v>1.0</v>
      </c>
      <c r="E37" s="7"/>
      <c r="F37" s="47">
        <v>83.22</v>
      </c>
      <c r="G37" s="65">
        <v>0.0</v>
      </c>
      <c r="H37" s="7"/>
      <c r="I37" s="47">
        <v>3.96</v>
      </c>
      <c r="J37" s="66">
        <f t="shared" si="1"/>
        <v>79.26</v>
      </c>
      <c r="K37" s="8"/>
      <c r="L37" s="7"/>
      <c r="M37" s="7"/>
      <c r="N37" s="7"/>
      <c r="O37" s="7"/>
    </row>
    <row r="38">
      <c r="A38" s="45">
        <v>45960.09517361111</v>
      </c>
      <c r="B38" s="8" t="s">
        <v>133</v>
      </c>
      <c r="C38" s="7" t="s">
        <v>96</v>
      </c>
      <c r="D38" s="64">
        <v>1.0</v>
      </c>
      <c r="E38" s="7"/>
      <c r="F38" s="47">
        <v>60.22</v>
      </c>
      <c r="G38" s="65">
        <v>0.0</v>
      </c>
      <c r="H38" s="7"/>
      <c r="I38" s="47">
        <v>2.05</v>
      </c>
      <c r="J38" s="66">
        <f t="shared" si="1"/>
        <v>58.17</v>
      </c>
      <c r="K38" s="8"/>
      <c r="L38" s="7"/>
      <c r="M38" s="7"/>
      <c r="N38" s="7"/>
      <c r="O38" s="7"/>
    </row>
    <row r="39">
      <c r="A39" s="45">
        <v>45959.79821759259</v>
      </c>
      <c r="B39" s="8" t="s">
        <v>134</v>
      </c>
      <c r="C39" s="7" t="s">
        <v>96</v>
      </c>
      <c r="D39" s="64">
        <v>1.0</v>
      </c>
      <c r="E39" s="7"/>
      <c r="F39" s="47">
        <v>77.24</v>
      </c>
      <c r="G39" s="65">
        <v>0.0</v>
      </c>
      <c r="H39" s="7"/>
      <c r="I39" s="47">
        <v>3.7</v>
      </c>
      <c r="J39" s="66">
        <f t="shared" si="1"/>
        <v>73.54</v>
      </c>
      <c r="K39" s="8"/>
      <c r="L39" s="7"/>
      <c r="M39" s="7"/>
      <c r="N39" s="7"/>
      <c r="O39" s="7"/>
    </row>
    <row r="40">
      <c r="A40" s="45">
        <v>45959.27953703704</v>
      </c>
      <c r="B40" s="8" t="s">
        <v>135</v>
      </c>
      <c r="C40" s="7" t="s">
        <v>96</v>
      </c>
      <c r="D40" s="64">
        <v>1.0</v>
      </c>
      <c r="E40" s="7"/>
      <c r="F40" s="47">
        <v>62.16</v>
      </c>
      <c r="G40" s="65">
        <v>0.0</v>
      </c>
      <c r="H40" s="7"/>
      <c r="I40" s="47">
        <v>2.1</v>
      </c>
      <c r="J40" s="66">
        <f t="shared" si="1"/>
        <v>60.06</v>
      </c>
      <c r="K40" s="8"/>
      <c r="L40" s="7"/>
      <c r="M40" s="7"/>
      <c r="N40" s="7"/>
      <c r="O40" s="7"/>
    </row>
    <row r="41">
      <c r="A41" s="45">
        <v>45958.70923611111</v>
      </c>
      <c r="B41" s="8" t="s">
        <v>136</v>
      </c>
      <c r="C41" s="7" t="s">
        <v>96</v>
      </c>
      <c r="D41" s="64">
        <v>1.0</v>
      </c>
      <c r="E41" s="7"/>
      <c r="F41" s="47">
        <v>60.22</v>
      </c>
      <c r="G41" s="65">
        <v>0.0</v>
      </c>
      <c r="H41" s="7"/>
      <c r="I41" s="47">
        <v>2.05</v>
      </c>
      <c r="J41" s="66">
        <f t="shared" si="1"/>
        <v>58.17</v>
      </c>
      <c r="K41" s="8"/>
      <c r="L41" s="7"/>
      <c r="M41" s="7"/>
      <c r="N41" s="7"/>
      <c r="O41" s="7"/>
    </row>
    <row r="42">
      <c r="A42" s="45">
        <v>45958.70900462963</v>
      </c>
      <c r="B42" s="8" t="s">
        <v>137</v>
      </c>
      <c r="C42" s="67" t="s">
        <v>98</v>
      </c>
      <c r="D42" s="64">
        <v>1.0</v>
      </c>
      <c r="E42" s="64">
        <v>1.0</v>
      </c>
      <c r="F42" s="47">
        <v>160.22</v>
      </c>
      <c r="G42" s="65">
        <v>0.0</v>
      </c>
      <c r="H42" s="7"/>
      <c r="I42" s="47">
        <v>4.95</v>
      </c>
      <c r="J42" s="66">
        <f t="shared" si="1"/>
        <v>155.27</v>
      </c>
      <c r="K42" s="8"/>
      <c r="L42" s="7"/>
      <c r="M42" s="7"/>
      <c r="N42" s="7"/>
      <c r="O42" s="7"/>
    </row>
    <row r="43">
      <c r="A43" s="45">
        <v>45958.343125</v>
      </c>
      <c r="B43" s="8" t="s">
        <v>138</v>
      </c>
      <c r="C43" s="7" t="s">
        <v>96</v>
      </c>
      <c r="D43" s="64">
        <v>1.0</v>
      </c>
      <c r="E43" s="7"/>
      <c r="F43" s="47">
        <v>60.22</v>
      </c>
      <c r="G43" s="65">
        <v>0.0</v>
      </c>
      <c r="H43" s="7"/>
      <c r="I43" s="47">
        <v>2.95</v>
      </c>
      <c r="J43" s="66">
        <f t="shared" si="1"/>
        <v>57.27</v>
      </c>
      <c r="K43" s="8"/>
      <c r="L43" s="7"/>
      <c r="M43" s="7"/>
      <c r="N43" s="7"/>
      <c r="O43" s="7"/>
    </row>
    <row r="44">
      <c r="A44" s="45">
        <v>45958.14052083333</v>
      </c>
      <c r="B44" s="8" t="s">
        <v>139</v>
      </c>
      <c r="C44" s="7" t="s">
        <v>96</v>
      </c>
      <c r="D44" s="64">
        <v>1.0</v>
      </c>
      <c r="E44" s="7"/>
      <c r="F44" s="47">
        <v>60.22</v>
      </c>
      <c r="G44" s="65">
        <v>0.0</v>
      </c>
      <c r="H44" s="7"/>
      <c r="I44" s="47">
        <v>2.05</v>
      </c>
      <c r="J44" s="66">
        <f t="shared" si="1"/>
        <v>58.17</v>
      </c>
      <c r="K44" s="8"/>
      <c r="L44" s="7"/>
      <c r="M44" s="7"/>
      <c r="N44" s="7"/>
      <c r="O44" s="7"/>
    </row>
    <row r="45">
      <c r="A45" s="45">
        <v>45957.168900462966</v>
      </c>
      <c r="B45" s="8" t="s">
        <v>140</v>
      </c>
      <c r="C45" s="7" t="s">
        <v>96</v>
      </c>
      <c r="D45" s="64">
        <v>1.0</v>
      </c>
      <c r="E45" s="7"/>
      <c r="F45" s="47">
        <v>60.22</v>
      </c>
      <c r="G45" s="65">
        <v>0.0</v>
      </c>
      <c r="H45" s="7"/>
      <c r="I45" s="47">
        <v>2.05</v>
      </c>
      <c r="J45" s="66">
        <f t="shared" si="1"/>
        <v>58.17</v>
      </c>
      <c r="K45" s="8"/>
      <c r="L45" s="7"/>
      <c r="M45" s="7"/>
      <c r="N45" s="7"/>
      <c r="O45" s="7"/>
    </row>
    <row r="46">
      <c r="A46" s="45">
        <v>45957.05902777778</v>
      </c>
      <c r="B46" s="8" t="s">
        <v>141</v>
      </c>
      <c r="C46" s="7" t="s">
        <v>96</v>
      </c>
      <c r="D46" s="64">
        <v>1.0</v>
      </c>
      <c r="E46" s="7"/>
      <c r="F46" s="47">
        <v>60.22</v>
      </c>
      <c r="G46" s="65">
        <v>0.0</v>
      </c>
      <c r="H46" s="7"/>
      <c r="I46" s="47">
        <v>2.05</v>
      </c>
      <c r="J46" s="66">
        <f t="shared" si="1"/>
        <v>58.17</v>
      </c>
      <c r="K46" s="8"/>
      <c r="L46" s="7"/>
      <c r="M46" s="7"/>
      <c r="N46" s="7"/>
      <c r="O46" s="7"/>
    </row>
    <row r="47">
      <c r="A47" s="45">
        <v>45956.902025462965</v>
      </c>
      <c r="B47" s="8" t="s">
        <v>142</v>
      </c>
      <c r="C47" s="64" t="s">
        <v>143</v>
      </c>
      <c r="D47" s="64">
        <v>4.0</v>
      </c>
      <c r="E47" s="7"/>
      <c r="F47" s="47">
        <v>210.22</v>
      </c>
      <c r="G47" s="65">
        <v>0.0</v>
      </c>
      <c r="H47" s="7"/>
      <c r="I47" s="47">
        <v>9.55</v>
      </c>
      <c r="J47" s="66">
        <f t="shared" si="1"/>
        <v>200.67</v>
      </c>
      <c r="K47" s="8"/>
      <c r="L47" s="7"/>
      <c r="M47" s="7"/>
      <c r="N47" s="7"/>
      <c r="O47" s="7"/>
    </row>
    <row r="48">
      <c r="A48" s="45">
        <v>45956.58278935185</v>
      </c>
      <c r="B48" s="8" t="s">
        <v>144</v>
      </c>
      <c r="C48" s="7" t="s">
        <v>96</v>
      </c>
      <c r="D48" s="64">
        <v>1.0</v>
      </c>
      <c r="E48" s="7"/>
      <c r="F48" s="47">
        <v>86.26</v>
      </c>
      <c r="G48" s="65">
        <v>0.0</v>
      </c>
      <c r="H48" s="7"/>
      <c r="I48" s="47">
        <v>4.1</v>
      </c>
      <c r="J48" s="66">
        <f t="shared" si="1"/>
        <v>82.16</v>
      </c>
      <c r="K48" s="8"/>
      <c r="L48" s="7"/>
      <c r="M48" s="7"/>
      <c r="N48" s="7"/>
      <c r="O48" s="7"/>
    </row>
    <row r="49">
      <c r="A49" s="45">
        <v>45956.264918981484</v>
      </c>
      <c r="B49" s="8" t="s">
        <v>145</v>
      </c>
      <c r="C49" s="7" t="s">
        <v>96</v>
      </c>
      <c r="D49" s="64">
        <v>1.0</v>
      </c>
      <c r="E49" s="7"/>
      <c r="F49" s="47">
        <v>67.96</v>
      </c>
      <c r="G49" s="65">
        <v>0.0</v>
      </c>
      <c r="H49" s="7"/>
      <c r="I49" s="47">
        <v>2.27</v>
      </c>
      <c r="J49" s="66">
        <f t="shared" si="1"/>
        <v>65.69</v>
      </c>
      <c r="K49" s="8"/>
      <c r="L49" s="7"/>
      <c r="M49" s="7"/>
      <c r="N49" s="7"/>
      <c r="O49" s="7"/>
    </row>
    <row r="50">
      <c r="A50" s="45">
        <v>45955.82616898148</v>
      </c>
      <c r="B50" s="8" t="s">
        <v>146</v>
      </c>
      <c r="C50" s="7" t="s">
        <v>96</v>
      </c>
      <c r="D50" s="64">
        <v>1.0</v>
      </c>
      <c r="E50" s="7"/>
      <c r="F50" s="47">
        <v>84.9</v>
      </c>
      <c r="G50" s="65">
        <v>0.0</v>
      </c>
      <c r="H50" s="7"/>
      <c r="I50" s="47">
        <v>4.04</v>
      </c>
      <c r="J50" s="66">
        <f t="shared" si="1"/>
        <v>80.86</v>
      </c>
      <c r="K50" s="8"/>
      <c r="L50" s="7"/>
      <c r="M50" s="7"/>
      <c r="N50" s="7"/>
      <c r="O50" s="7"/>
    </row>
    <row r="51">
      <c r="A51" s="45">
        <v>45955.49829861111</v>
      </c>
      <c r="B51" s="8" t="s">
        <v>147</v>
      </c>
      <c r="C51" s="7" t="s">
        <v>96</v>
      </c>
      <c r="D51" s="64">
        <v>1.0</v>
      </c>
      <c r="E51" s="7"/>
      <c r="F51" s="47">
        <v>77.24</v>
      </c>
      <c r="G51" s="65">
        <v>0.0</v>
      </c>
      <c r="H51" s="7"/>
      <c r="I51" s="47">
        <v>3.7</v>
      </c>
      <c r="J51" s="66">
        <f t="shared" si="1"/>
        <v>73.54</v>
      </c>
      <c r="K51" s="8"/>
      <c r="L51" s="7"/>
      <c r="M51" s="7"/>
      <c r="N51" s="7"/>
      <c r="O51" s="7"/>
    </row>
    <row r="52">
      <c r="A52" s="45">
        <v>45955.1915625</v>
      </c>
      <c r="B52" s="8" t="s">
        <v>148</v>
      </c>
      <c r="C52" s="67" t="s">
        <v>98</v>
      </c>
      <c r="D52" s="64">
        <v>1.0</v>
      </c>
      <c r="E52" s="64">
        <v>1.0</v>
      </c>
      <c r="F52" s="47">
        <v>160.22</v>
      </c>
      <c r="G52" s="65">
        <v>0.0</v>
      </c>
      <c r="H52" s="7"/>
      <c r="I52" s="47">
        <v>4.95</v>
      </c>
      <c r="J52" s="66">
        <f t="shared" si="1"/>
        <v>155.27</v>
      </c>
      <c r="K52" s="8"/>
      <c r="L52" s="7"/>
      <c r="M52" s="7"/>
      <c r="N52" s="7"/>
      <c r="O52" s="7"/>
    </row>
    <row r="53">
      <c r="A53" s="45">
        <v>45955.071805555555</v>
      </c>
      <c r="B53" s="8" t="s">
        <v>149</v>
      </c>
      <c r="C53" s="7" t="s">
        <v>96</v>
      </c>
      <c r="D53" s="64">
        <v>1.0</v>
      </c>
      <c r="E53" s="7"/>
      <c r="F53" s="47">
        <v>84.9</v>
      </c>
      <c r="G53" s="65">
        <v>0.0</v>
      </c>
      <c r="H53" s="7"/>
      <c r="I53" s="47">
        <v>4.04</v>
      </c>
      <c r="J53" s="66">
        <f t="shared" si="1"/>
        <v>80.86</v>
      </c>
      <c r="K53" s="8"/>
      <c r="L53" s="7"/>
      <c r="M53" s="7"/>
      <c r="N53" s="7"/>
      <c r="O53" s="7"/>
    </row>
    <row r="54">
      <c r="A54" s="45">
        <v>45954.83385416667</v>
      </c>
      <c r="B54" s="8" t="s">
        <v>150</v>
      </c>
      <c r="C54" s="67" t="s">
        <v>98</v>
      </c>
      <c r="D54" s="64">
        <v>1.0</v>
      </c>
      <c r="E54" s="64">
        <v>1.0</v>
      </c>
      <c r="F54" s="47">
        <v>160.22</v>
      </c>
      <c r="G54" s="65">
        <v>0.0</v>
      </c>
      <c r="H54" s="7"/>
      <c r="I54" s="47">
        <v>4.95</v>
      </c>
      <c r="J54" s="66">
        <f t="shared" si="1"/>
        <v>155.27</v>
      </c>
      <c r="K54" s="8"/>
      <c r="L54" s="7"/>
      <c r="M54" s="7"/>
      <c r="N54" s="7"/>
      <c r="O54" s="7"/>
    </row>
    <row r="55">
      <c r="A55" s="45">
        <v>45954.743738425925</v>
      </c>
      <c r="B55" s="8" t="s">
        <v>151</v>
      </c>
      <c r="C55" s="7" t="s">
        <v>96</v>
      </c>
      <c r="D55" s="64">
        <v>1.0</v>
      </c>
      <c r="E55" s="7"/>
      <c r="F55" s="47">
        <v>60.22</v>
      </c>
      <c r="G55" s="65">
        <v>0.0</v>
      </c>
      <c r="H55" s="7"/>
      <c r="I55" s="47">
        <v>2.05</v>
      </c>
      <c r="J55" s="66">
        <f t="shared" si="1"/>
        <v>58.17</v>
      </c>
      <c r="K55" s="8"/>
      <c r="L55" s="7"/>
      <c r="M55" s="7"/>
      <c r="N55" s="7"/>
      <c r="O55" s="7"/>
    </row>
    <row r="56">
      <c r="A56" s="45">
        <v>45954.670590277776</v>
      </c>
      <c r="B56" s="8" t="s">
        <v>152</v>
      </c>
      <c r="C56" s="7" t="s">
        <v>96</v>
      </c>
      <c r="D56" s="64">
        <v>1.0</v>
      </c>
      <c r="E56" s="7"/>
      <c r="F56" s="47">
        <v>60.22</v>
      </c>
      <c r="G56" s="65">
        <v>0.0</v>
      </c>
      <c r="H56" s="7"/>
      <c r="I56" s="47">
        <v>2.05</v>
      </c>
      <c r="J56" s="66">
        <f t="shared" si="1"/>
        <v>58.17</v>
      </c>
      <c r="K56" s="8"/>
      <c r="L56" s="7"/>
      <c r="M56" s="7"/>
      <c r="N56" s="7"/>
      <c r="O56" s="7"/>
    </row>
    <row r="57">
      <c r="A57" s="45">
        <v>45954.57931712963</v>
      </c>
      <c r="B57" s="8" t="s">
        <v>153</v>
      </c>
      <c r="C57" s="7" t="s">
        <v>96</v>
      </c>
      <c r="D57" s="64">
        <v>1.0</v>
      </c>
      <c r="E57" s="7"/>
      <c r="F57" s="47">
        <v>64.1</v>
      </c>
      <c r="G57" s="65">
        <v>0.0</v>
      </c>
      <c r="H57" s="7"/>
      <c r="I57" s="47">
        <v>2.16</v>
      </c>
      <c r="J57" s="66">
        <f t="shared" si="1"/>
        <v>61.94</v>
      </c>
      <c r="K57" s="8"/>
      <c r="L57" s="7"/>
      <c r="M57" s="7"/>
      <c r="N57" s="7"/>
      <c r="O57" s="7"/>
    </row>
    <row r="58">
      <c r="A58" s="45">
        <v>45954.56791666667</v>
      </c>
      <c r="B58" s="8" t="s">
        <v>154</v>
      </c>
      <c r="C58" s="7" t="s">
        <v>96</v>
      </c>
      <c r="D58" s="64">
        <v>1.0</v>
      </c>
      <c r="E58" s="7"/>
      <c r="F58" s="47">
        <v>60.22</v>
      </c>
      <c r="G58" s="65">
        <v>0.0</v>
      </c>
      <c r="H58" s="7"/>
      <c r="I58" s="47">
        <v>2.05</v>
      </c>
      <c r="J58" s="66">
        <f t="shared" si="1"/>
        <v>58.17</v>
      </c>
      <c r="K58" s="8"/>
      <c r="L58" s="7"/>
      <c r="M58" s="7"/>
      <c r="N58" s="7"/>
      <c r="O58" s="7"/>
    </row>
    <row r="59">
      <c r="A59" s="45">
        <v>45954.55907407407</v>
      </c>
      <c r="B59" s="8" t="s">
        <v>155</v>
      </c>
      <c r="C59" s="7" t="s">
        <v>96</v>
      </c>
      <c r="D59" s="64">
        <v>1.0</v>
      </c>
      <c r="E59" s="7"/>
      <c r="F59" s="47">
        <v>81.25</v>
      </c>
      <c r="G59" s="65">
        <v>0.0</v>
      </c>
      <c r="H59" s="7"/>
      <c r="I59" s="47">
        <v>3.88</v>
      </c>
      <c r="J59" s="66">
        <f t="shared" si="1"/>
        <v>77.37</v>
      </c>
      <c r="K59" s="8"/>
      <c r="L59" s="7"/>
      <c r="M59" s="7"/>
      <c r="N59" s="7"/>
      <c r="O59" s="7"/>
    </row>
    <row r="60">
      <c r="A60" s="45">
        <v>45954.47158564815</v>
      </c>
      <c r="B60" s="8" t="s">
        <v>156</v>
      </c>
      <c r="C60" s="67" t="s">
        <v>98</v>
      </c>
      <c r="D60" s="64">
        <v>1.0</v>
      </c>
      <c r="E60" s="64">
        <v>1.0</v>
      </c>
      <c r="F60" s="47">
        <v>176.98</v>
      </c>
      <c r="G60" s="65">
        <v>0.0</v>
      </c>
      <c r="H60" s="7"/>
      <c r="I60" s="47">
        <v>8.09</v>
      </c>
      <c r="J60" s="66">
        <f t="shared" si="1"/>
        <v>168.89</v>
      </c>
      <c r="K60" s="8"/>
      <c r="L60" s="7"/>
      <c r="M60" s="7"/>
      <c r="N60" s="7"/>
      <c r="O60" s="7"/>
    </row>
    <row r="61">
      <c r="A61" s="45">
        <v>45954.22184027778</v>
      </c>
      <c r="B61" s="8" t="s">
        <v>157</v>
      </c>
      <c r="C61" s="7" t="s">
        <v>96</v>
      </c>
      <c r="D61" s="64">
        <v>1.0</v>
      </c>
      <c r="E61" s="7"/>
      <c r="F61" s="47">
        <v>81.25</v>
      </c>
      <c r="G61" s="65">
        <v>0.0</v>
      </c>
      <c r="H61" s="7"/>
      <c r="I61" s="47">
        <v>3.88</v>
      </c>
      <c r="J61" s="66">
        <f t="shared" si="1"/>
        <v>77.37</v>
      </c>
      <c r="K61" s="8"/>
      <c r="L61" s="7"/>
      <c r="M61" s="7"/>
      <c r="N61" s="7"/>
      <c r="O61" s="7"/>
    </row>
    <row r="62">
      <c r="A62" s="45">
        <v>45953.7184375</v>
      </c>
      <c r="B62" s="8" t="s">
        <v>158</v>
      </c>
      <c r="C62" s="7" t="s">
        <v>96</v>
      </c>
      <c r="D62" s="64">
        <v>1.0</v>
      </c>
      <c r="E62" s="7"/>
      <c r="F62" s="47">
        <v>76.98</v>
      </c>
      <c r="G62" s="65">
        <v>0.0</v>
      </c>
      <c r="H62" s="7"/>
      <c r="I62" s="47">
        <v>3.69</v>
      </c>
      <c r="J62" s="66">
        <f t="shared" si="1"/>
        <v>73.29</v>
      </c>
      <c r="K62" s="8"/>
      <c r="L62" s="7"/>
      <c r="M62" s="7"/>
      <c r="N62" s="7"/>
      <c r="O62" s="7"/>
    </row>
    <row r="63">
      <c r="A63" s="45">
        <v>45953.69862268519</v>
      </c>
      <c r="B63" s="8" t="s">
        <v>159</v>
      </c>
      <c r="C63" s="7" t="s">
        <v>96</v>
      </c>
      <c r="D63" s="64">
        <v>1.0</v>
      </c>
      <c r="E63" s="7"/>
      <c r="F63" s="47">
        <v>60.22</v>
      </c>
      <c r="G63" s="65">
        <v>0.0</v>
      </c>
      <c r="H63" s="7"/>
      <c r="I63" s="47">
        <v>2.05</v>
      </c>
      <c r="J63" s="66">
        <f t="shared" si="1"/>
        <v>58.17</v>
      </c>
      <c r="K63" s="8"/>
      <c r="L63" s="7"/>
      <c r="M63" s="7"/>
      <c r="N63" s="7"/>
      <c r="O63" s="7"/>
    </row>
    <row r="64">
      <c r="A64" s="45">
        <v>45953.68505787037</v>
      </c>
      <c r="B64" s="8" t="s">
        <v>160</v>
      </c>
      <c r="C64" s="7" t="s">
        <v>96</v>
      </c>
      <c r="D64" s="64">
        <v>1.0</v>
      </c>
      <c r="E64" s="7"/>
      <c r="F64" s="47">
        <v>60.22</v>
      </c>
      <c r="G64" s="65">
        <v>0.0</v>
      </c>
      <c r="H64" s="7"/>
      <c r="I64" s="47">
        <v>2.95</v>
      </c>
      <c r="J64" s="66">
        <f t="shared" si="1"/>
        <v>57.27</v>
      </c>
      <c r="K64" s="8"/>
      <c r="L64" s="7"/>
      <c r="M64" s="7"/>
      <c r="N64" s="7"/>
      <c r="O64" s="7"/>
    </row>
    <row r="65">
      <c r="A65" s="45">
        <v>45953.591458333336</v>
      </c>
      <c r="B65" s="8" t="s">
        <v>161</v>
      </c>
      <c r="C65" s="7" t="s">
        <v>96</v>
      </c>
      <c r="D65" s="64">
        <v>1.0</v>
      </c>
      <c r="E65" s="7"/>
      <c r="F65" s="47">
        <v>60.22</v>
      </c>
      <c r="G65" s="65">
        <v>0.0</v>
      </c>
      <c r="H65" s="7"/>
      <c r="I65" s="47">
        <v>2.05</v>
      </c>
      <c r="J65" s="66">
        <f t="shared" si="1"/>
        <v>58.17</v>
      </c>
      <c r="K65" s="8"/>
      <c r="L65" s="7"/>
      <c r="M65" s="7"/>
      <c r="N65" s="7"/>
      <c r="O65" s="7"/>
    </row>
    <row r="66">
      <c r="A66" s="45">
        <v>45953.50510416667</v>
      </c>
      <c r="B66" s="8" t="s">
        <v>162</v>
      </c>
      <c r="C66" s="67" t="s">
        <v>98</v>
      </c>
      <c r="D66" s="64">
        <v>1.0</v>
      </c>
      <c r="E66" s="64">
        <v>1.0</v>
      </c>
      <c r="F66" s="47">
        <v>176.98</v>
      </c>
      <c r="G66" s="65">
        <v>0.0</v>
      </c>
      <c r="H66" s="7"/>
      <c r="I66" s="47">
        <v>8.09</v>
      </c>
      <c r="J66" s="66">
        <f t="shared" si="1"/>
        <v>168.89</v>
      </c>
      <c r="K66" s="8"/>
      <c r="L66" s="7"/>
      <c r="M66" s="7"/>
      <c r="N66" s="7"/>
      <c r="O66" s="7"/>
    </row>
    <row r="67">
      <c r="A67" s="45">
        <v>45953.42833333334</v>
      </c>
      <c r="B67" s="8" t="s">
        <v>163</v>
      </c>
      <c r="C67" s="7" t="s">
        <v>96</v>
      </c>
      <c r="D67" s="64">
        <v>1.0</v>
      </c>
      <c r="E67" s="7"/>
      <c r="F67" s="47">
        <v>81.25</v>
      </c>
      <c r="G67" s="65">
        <v>0.0</v>
      </c>
      <c r="H67" s="7"/>
      <c r="I67" s="47">
        <v>3.88</v>
      </c>
      <c r="J67" s="66">
        <f t="shared" si="1"/>
        <v>77.37</v>
      </c>
      <c r="K67" s="8"/>
      <c r="L67" s="7"/>
      <c r="M67" s="7"/>
      <c r="N67" s="7"/>
      <c r="O67" s="7"/>
    </row>
    <row r="68">
      <c r="A68" s="45">
        <v>45953.35388888889</v>
      </c>
      <c r="B68" s="8" t="s">
        <v>164</v>
      </c>
      <c r="C68" s="7" t="s">
        <v>96</v>
      </c>
      <c r="D68" s="64">
        <v>1.0</v>
      </c>
      <c r="E68" s="7"/>
      <c r="F68" s="47">
        <v>81.25</v>
      </c>
      <c r="G68" s="65">
        <v>0.0</v>
      </c>
      <c r="H68" s="7"/>
      <c r="I68" s="47">
        <v>3.88</v>
      </c>
      <c r="J68" s="66">
        <f t="shared" si="1"/>
        <v>77.37</v>
      </c>
      <c r="K68" s="8"/>
      <c r="L68" s="7"/>
      <c r="M68" s="7"/>
      <c r="N68" s="7"/>
      <c r="O68" s="7"/>
    </row>
    <row r="69">
      <c r="A69" s="45">
        <v>45953.32144675926</v>
      </c>
      <c r="B69" s="8" t="s">
        <v>165</v>
      </c>
      <c r="C69" s="67" t="s">
        <v>98</v>
      </c>
      <c r="D69" s="64">
        <v>1.0</v>
      </c>
      <c r="E69" s="64">
        <v>1.0</v>
      </c>
      <c r="F69" s="47">
        <v>160.22</v>
      </c>
      <c r="G69" s="65">
        <v>0.0</v>
      </c>
      <c r="H69" s="7"/>
      <c r="I69" s="47">
        <v>4.95</v>
      </c>
      <c r="J69" s="66">
        <f t="shared" si="1"/>
        <v>155.27</v>
      </c>
      <c r="K69" s="8"/>
      <c r="L69" s="7"/>
      <c r="M69" s="7"/>
      <c r="N69" s="7"/>
      <c r="O69" s="7"/>
    </row>
    <row r="70">
      <c r="A70" s="45">
        <v>45952.55111111111</v>
      </c>
      <c r="B70" s="8" t="s">
        <v>166</v>
      </c>
      <c r="C70" s="7" t="s">
        <v>96</v>
      </c>
      <c r="D70" s="64">
        <v>1.0</v>
      </c>
      <c r="E70" s="7"/>
      <c r="F70" s="47">
        <v>89.2</v>
      </c>
      <c r="G70" s="65">
        <v>0.0</v>
      </c>
      <c r="H70" s="7"/>
      <c r="I70" s="47">
        <v>4.22</v>
      </c>
      <c r="J70" s="66">
        <f t="shared" si="1"/>
        <v>84.98</v>
      </c>
      <c r="K70" s="8"/>
      <c r="L70" s="7"/>
      <c r="M70" s="7"/>
      <c r="N70" s="7"/>
      <c r="O70" s="7"/>
    </row>
    <row r="71">
      <c r="A71" s="45">
        <v>45952.34851851852</v>
      </c>
      <c r="B71" s="8" t="s">
        <v>167</v>
      </c>
      <c r="C71" s="7" t="s">
        <v>96</v>
      </c>
      <c r="D71" s="64">
        <v>1.0</v>
      </c>
      <c r="E71" s="7"/>
      <c r="F71" s="47">
        <v>81.25</v>
      </c>
      <c r="G71" s="65">
        <v>0.0</v>
      </c>
      <c r="H71" s="7"/>
      <c r="I71" s="47">
        <v>3.88</v>
      </c>
      <c r="J71" s="66">
        <f t="shared" si="1"/>
        <v>77.37</v>
      </c>
      <c r="K71" s="8"/>
      <c r="L71" s="7"/>
      <c r="M71" s="7"/>
      <c r="N71" s="7"/>
      <c r="O71" s="7"/>
    </row>
    <row r="72">
      <c r="A72" s="45">
        <v>45952.0687962963</v>
      </c>
      <c r="B72" s="8" t="s">
        <v>168</v>
      </c>
      <c r="C72" s="67" t="s">
        <v>98</v>
      </c>
      <c r="D72" s="64">
        <v>1.0</v>
      </c>
      <c r="E72" s="64">
        <v>1.0</v>
      </c>
      <c r="F72" s="47">
        <v>160.22</v>
      </c>
      <c r="G72" s="65">
        <v>0.0</v>
      </c>
      <c r="H72" s="7"/>
      <c r="I72" s="47">
        <v>4.95</v>
      </c>
      <c r="J72" s="66">
        <f t="shared" si="1"/>
        <v>155.27</v>
      </c>
      <c r="K72" s="8"/>
      <c r="L72" s="7"/>
      <c r="M72" s="7"/>
      <c r="N72" s="7"/>
      <c r="O72" s="7"/>
    </row>
    <row r="73">
      <c r="A73" s="45">
        <v>45951.701261574075</v>
      </c>
      <c r="B73" s="8" t="s">
        <v>169</v>
      </c>
      <c r="C73" s="7" t="s">
        <v>96</v>
      </c>
      <c r="D73" s="64">
        <v>1.0</v>
      </c>
      <c r="E73" s="7"/>
      <c r="F73" s="47">
        <v>60.22</v>
      </c>
      <c r="G73" s="65">
        <v>0.0</v>
      </c>
      <c r="H73" s="7"/>
      <c r="I73" s="47">
        <v>2.05</v>
      </c>
      <c r="J73" s="66">
        <f t="shared" si="1"/>
        <v>58.17</v>
      </c>
      <c r="K73" s="8"/>
      <c r="L73" s="7"/>
      <c r="M73" s="7"/>
      <c r="N73" s="7"/>
      <c r="O73" s="7"/>
    </row>
    <row r="74">
      <c r="A74" s="45">
        <v>45951.157800925925</v>
      </c>
      <c r="B74" s="8" t="s">
        <v>170</v>
      </c>
      <c r="C74" s="67" t="s">
        <v>98</v>
      </c>
      <c r="D74" s="64">
        <v>1.0</v>
      </c>
      <c r="E74" s="64">
        <v>1.0</v>
      </c>
      <c r="F74" s="47">
        <v>181.25</v>
      </c>
      <c r="G74" s="65">
        <v>0.0</v>
      </c>
      <c r="H74" s="7"/>
      <c r="I74" s="47">
        <v>8.28</v>
      </c>
      <c r="J74" s="66">
        <f t="shared" si="1"/>
        <v>172.97</v>
      </c>
      <c r="K74" s="8"/>
      <c r="L74" s="7"/>
      <c r="M74" s="7"/>
      <c r="N74" s="7"/>
      <c r="O74" s="7"/>
    </row>
    <row r="75">
      <c r="A75" s="45">
        <v>45951.14098379629</v>
      </c>
      <c r="B75" s="8" t="s">
        <v>171</v>
      </c>
      <c r="C75" s="7" t="s">
        <v>96</v>
      </c>
      <c r="D75" s="64">
        <v>1.0</v>
      </c>
      <c r="E75" s="7"/>
      <c r="F75" s="47">
        <v>60.22</v>
      </c>
      <c r="G75" s="65">
        <v>0.0</v>
      </c>
      <c r="H75" s="7"/>
      <c r="I75" s="47">
        <v>2.05</v>
      </c>
      <c r="J75" s="66">
        <f t="shared" si="1"/>
        <v>58.17</v>
      </c>
      <c r="K75" s="8"/>
      <c r="L75" s="7"/>
      <c r="M75" s="7"/>
      <c r="N75" s="7"/>
      <c r="O75" s="7"/>
    </row>
    <row r="76">
      <c r="A76" s="45">
        <v>45951.12204861111</v>
      </c>
      <c r="B76" s="8" t="s">
        <v>172</v>
      </c>
      <c r="C76" s="7" t="s">
        <v>96</v>
      </c>
      <c r="D76" s="64">
        <v>1.0</v>
      </c>
      <c r="E76" s="7"/>
      <c r="F76" s="47">
        <v>60.22</v>
      </c>
      <c r="G76" s="65">
        <v>0.0</v>
      </c>
      <c r="H76" s="7"/>
      <c r="I76" s="47">
        <v>2.05</v>
      </c>
      <c r="J76" s="66">
        <f t="shared" si="1"/>
        <v>58.17</v>
      </c>
      <c r="K76" s="8"/>
      <c r="L76" s="7"/>
      <c r="M76" s="7"/>
      <c r="N76" s="7"/>
      <c r="O76" s="7"/>
    </row>
    <row r="77">
      <c r="A77" s="45">
        <v>45951.05809027778</v>
      </c>
      <c r="B77" s="8" t="s">
        <v>173</v>
      </c>
      <c r="C77" s="7" t="s">
        <v>96</v>
      </c>
      <c r="D77" s="64">
        <v>1.0</v>
      </c>
      <c r="E77" s="7"/>
      <c r="F77" s="47">
        <v>76.98</v>
      </c>
      <c r="G77" s="65">
        <v>0.0</v>
      </c>
      <c r="H77" s="7"/>
      <c r="I77" s="47">
        <v>3.69</v>
      </c>
      <c r="J77" s="66">
        <f t="shared" si="1"/>
        <v>73.29</v>
      </c>
      <c r="K77" s="8"/>
      <c r="L77" s="7"/>
      <c r="M77" s="7"/>
      <c r="N77" s="7"/>
      <c r="O77" s="7"/>
    </row>
    <row r="78">
      <c r="A78" s="45">
        <v>45950.736875</v>
      </c>
      <c r="B78" s="8" t="s">
        <v>174</v>
      </c>
      <c r="C78" s="7" t="s">
        <v>96</v>
      </c>
      <c r="D78" s="64">
        <v>1.0</v>
      </c>
      <c r="E78" s="7"/>
      <c r="F78" s="47">
        <v>74.5</v>
      </c>
      <c r="G78" s="65">
        <v>0.0</v>
      </c>
      <c r="H78" s="7"/>
      <c r="I78" s="47">
        <v>3.58</v>
      </c>
      <c r="J78" s="66">
        <f t="shared" si="1"/>
        <v>70.92</v>
      </c>
      <c r="K78" s="8"/>
      <c r="L78" s="7"/>
      <c r="M78" s="7"/>
      <c r="N78" s="7"/>
      <c r="O78" s="7"/>
    </row>
    <row r="79">
      <c r="A79" s="45">
        <v>45950.73118055556</v>
      </c>
      <c r="B79" s="8" t="s">
        <v>175</v>
      </c>
      <c r="C79" s="7" t="s">
        <v>96</v>
      </c>
      <c r="D79" s="64">
        <v>1.0</v>
      </c>
      <c r="E79" s="7"/>
      <c r="F79" s="47">
        <v>89.2</v>
      </c>
      <c r="G79" s="65">
        <v>0.0</v>
      </c>
      <c r="H79" s="7"/>
      <c r="I79" s="47">
        <v>4.22</v>
      </c>
      <c r="J79" s="66">
        <f t="shared" si="1"/>
        <v>84.98</v>
      </c>
      <c r="K79" s="8"/>
      <c r="L79" s="7"/>
      <c r="M79" s="7"/>
      <c r="N79" s="7"/>
      <c r="O79" s="7"/>
    </row>
    <row r="80">
      <c r="A80" s="45">
        <v>45950.66238425926</v>
      </c>
      <c r="B80" s="8" t="s">
        <v>176</v>
      </c>
      <c r="C80" s="7" t="s">
        <v>96</v>
      </c>
      <c r="D80" s="64">
        <v>1.0</v>
      </c>
      <c r="E80" s="7"/>
      <c r="F80" s="47">
        <v>60.22</v>
      </c>
      <c r="G80" s="65">
        <v>0.0</v>
      </c>
      <c r="H80" s="7"/>
      <c r="I80" s="47">
        <v>2.05</v>
      </c>
      <c r="J80" s="66">
        <f t="shared" si="1"/>
        <v>58.17</v>
      </c>
      <c r="K80" s="8"/>
      <c r="L80" s="7"/>
      <c r="M80" s="7"/>
      <c r="N80" s="7"/>
      <c r="O80" s="7"/>
    </row>
    <row r="81">
      <c r="A81" s="45">
        <v>45950.179189814815</v>
      </c>
      <c r="B81" s="8" t="s">
        <v>177</v>
      </c>
      <c r="C81" s="67" t="s">
        <v>98</v>
      </c>
      <c r="D81" s="64">
        <v>1.0</v>
      </c>
      <c r="E81" s="64">
        <v>1.0</v>
      </c>
      <c r="F81" s="47">
        <v>190.65</v>
      </c>
      <c r="G81" s="65">
        <v>0.0</v>
      </c>
      <c r="H81" s="7"/>
      <c r="I81" s="47">
        <v>8.69</v>
      </c>
      <c r="J81" s="66">
        <f t="shared" si="1"/>
        <v>181.96</v>
      </c>
      <c r="K81" s="8"/>
      <c r="L81" s="7"/>
      <c r="M81" s="7"/>
      <c r="N81" s="7"/>
      <c r="O81" s="7"/>
    </row>
    <row r="82">
      <c r="A82" s="45">
        <v>45950.02434027778</v>
      </c>
      <c r="B82" s="8" t="s">
        <v>178</v>
      </c>
      <c r="C82" s="7" t="s">
        <v>96</v>
      </c>
      <c r="D82" s="64">
        <v>1.0</v>
      </c>
      <c r="E82" s="7"/>
      <c r="F82" s="47">
        <v>60.22</v>
      </c>
      <c r="G82" s="65">
        <v>0.0</v>
      </c>
      <c r="H82" s="7"/>
      <c r="I82" s="47">
        <v>2.05</v>
      </c>
      <c r="J82" s="66">
        <f t="shared" si="1"/>
        <v>58.17</v>
      </c>
      <c r="K82" s="8"/>
      <c r="L82" s="7"/>
      <c r="M82" s="7"/>
      <c r="N82" s="7"/>
      <c r="O82" s="7"/>
    </row>
    <row r="83">
      <c r="A83" s="45">
        <v>45949.93116898148</v>
      </c>
      <c r="B83" s="8" t="s">
        <v>179</v>
      </c>
      <c r="C83" s="7" t="s">
        <v>96</v>
      </c>
      <c r="D83" s="64">
        <v>1.0</v>
      </c>
      <c r="E83" s="7"/>
      <c r="F83" s="47">
        <v>60.22</v>
      </c>
      <c r="G83" s="65">
        <v>0.0</v>
      </c>
      <c r="H83" s="7"/>
      <c r="I83" s="47">
        <v>2.05</v>
      </c>
      <c r="J83" s="66">
        <f t="shared" si="1"/>
        <v>58.17</v>
      </c>
      <c r="K83" s="8"/>
      <c r="L83" s="7"/>
      <c r="M83" s="7"/>
      <c r="N83" s="7"/>
      <c r="O83" s="7"/>
    </row>
    <row r="84">
      <c r="A84" s="45">
        <v>45949.894421296296</v>
      </c>
      <c r="B84" s="8" t="s">
        <v>180</v>
      </c>
      <c r="C84" s="7" t="s">
        <v>96</v>
      </c>
      <c r="D84" s="64">
        <v>1.0</v>
      </c>
      <c r="E84" s="7"/>
      <c r="F84" s="47">
        <v>76.98</v>
      </c>
      <c r="G84" s="65">
        <v>0.0</v>
      </c>
      <c r="H84" s="7"/>
      <c r="I84" s="47">
        <v>3.69</v>
      </c>
      <c r="J84" s="66">
        <f t="shared" si="1"/>
        <v>73.29</v>
      </c>
      <c r="K84" s="8"/>
      <c r="L84" s="7"/>
      <c r="M84" s="7"/>
      <c r="N84" s="7"/>
      <c r="O84" s="7"/>
    </row>
    <row r="85">
      <c r="A85" s="45">
        <v>45949.80572916667</v>
      </c>
      <c r="B85" s="8" t="s">
        <v>181</v>
      </c>
      <c r="C85" s="7" t="s">
        <v>182</v>
      </c>
      <c r="D85" s="64">
        <v>2.0</v>
      </c>
      <c r="E85" s="7"/>
      <c r="F85" s="47">
        <v>139.2</v>
      </c>
      <c r="G85" s="65">
        <v>0.0</v>
      </c>
      <c r="H85" s="7"/>
      <c r="I85" s="47">
        <v>6.42</v>
      </c>
      <c r="J85" s="66">
        <f t="shared" si="1"/>
        <v>132.78</v>
      </c>
      <c r="K85" s="8"/>
      <c r="L85" s="7"/>
      <c r="M85" s="7"/>
      <c r="N85" s="7"/>
      <c r="O85" s="7"/>
    </row>
    <row r="86">
      <c r="A86" s="45">
        <v>45949.71371527778</v>
      </c>
      <c r="B86" s="8" t="s">
        <v>183</v>
      </c>
      <c r="C86" s="7" t="s">
        <v>96</v>
      </c>
      <c r="D86" s="64">
        <v>1.0</v>
      </c>
      <c r="E86" s="7"/>
      <c r="F86" s="47">
        <v>60.22</v>
      </c>
      <c r="G86" s="65">
        <v>0.0</v>
      </c>
      <c r="H86" s="7"/>
      <c r="I86" s="47">
        <v>2.05</v>
      </c>
      <c r="J86" s="66">
        <f t="shared" si="1"/>
        <v>58.17</v>
      </c>
      <c r="K86" s="8"/>
      <c r="L86" s="7"/>
      <c r="M86" s="7"/>
      <c r="N86" s="7"/>
      <c r="O86" s="7"/>
    </row>
    <row r="87">
      <c r="A87" s="45">
        <v>45949.57633101852</v>
      </c>
      <c r="B87" s="8" t="s">
        <v>184</v>
      </c>
      <c r="C87" s="7" t="s">
        <v>185</v>
      </c>
      <c r="D87" s="64">
        <v>4.0</v>
      </c>
      <c r="E87" s="7"/>
      <c r="F87" s="47">
        <v>234.9</v>
      </c>
      <c r="G87" s="65">
        <v>0.0</v>
      </c>
      <c r="H87" s="7"/>
      <c r="I87" s="47">
        <v>10.64</v>
      </c>
      <c r="J87" s="66">
        <f t="shared" si="1"/>
        <v>224.26</v>
      </c>
      <c r="K87" s="8"/>
      <c r="L87" s="7"/>
      <c r="M87" s="7"/>
      <c r="N87" s="7"/>
      <c r="O87" s="7"/>
    </row>
    <row r="88">
      <c r="A88" s="45">
        <v>45949.26699074074</v>
      </c>
      <c r="B88" s="8" t="s">
        <v>186</v>
      </c>
      <c r="C88" s="7" t="s">
        <v>96</v>
      </c>
      <c r="D88" s="64">
        <v>1.0</v>
      </c>
      <c r="E88" s="7"/>
      <c r="F88" s="47">
        <v>63.83</v>
      </c>
      <c r="G88" s="65">
        <v>0.0</v>
      </c>
      <c r="H88" s="7"/>
      <c r="I88" s="47">
        <v>2.15</v>
      </c>
      <c r="J88" s="66">
        <f t="shared" si="1"/>
        <v>61.68</v>
      </c>
      <c r="K88" s="8"/>
      <c r="L88" s="7"/>
      <c r="M88" s="7"/>
      <c r="N88" s="7"/>
      <c r="O88" s="7"/>
    </row>
    <row r="89">
      <c r="A89" s="45">
        <v>45949.151875</v>
      </c>
      <c r="B89" s="8" t="s">
        <v>187</v>
      </c>
      <c r="C89" s="67" t="s">
        <v>98</v>
      </c>
      <c r="D89" s="64">
        <v>1.0</v>
      </c>
      <c r="E89" s="64">
        <v>1.0</v>
      </c>
      <c r="F89" s="47">
        <v>160.22</v>
      </c>
      <c r="G89" s="65">
        <v>0.0</v>
      </c>
      <c r="H89" s="7"/>
      <c r="I89" s="47">
        <v>4.95</v>
      </c>
      <c r="J89" s="66">
        <f t="shared" si="1"/>
        <v>155.27</v>
      </c>
      <c r="K89" s="8"/>
      <c r="L89" s="7"/>
      <c r="M89" s="7"/>
      <c r="N89" s="7"/>
      <c r="O89" s="7"/>
    </row>
    <row r="90">
      <c r="A90" s="45">
        <v>45949.1322337963</v>
      </c>
      <c r="B90" s="8" t="s">
        <v>188</v>
      </c>
      <c r="C90" s="67" t="s">
        <v>98</v>
      </c>
      <c r="D90" s="64">
        <v>1.0</v>
      </c>
      <c r="E90" s="64">
        <v>1.0</v>
      </c>
      <c r="F90" s="47">
        <v>220.59</v>
      </c>
      <c r="G90" s="65">
        <v>0.0</v>
      </c>
      <c r="H90" s="7"/>
      <c r="I90" s="47">
        <v>10.01</v>
      </c>
      <c r="J90" s="66">
        <f t="shared" si="1"/>
        <v>210.58</v>
      </c>
      <c r="K90" s="8"/>
      <c r="L90" s="7"/>
      <c r="M90" s="7"/>
      <c r="N90" s="7"/>
      <c r="O90" s="7"/>
    </row>
    <row r="91">
      <c r="A91" s="45">
        <v>45949.10476851852</v>
      </c>
      <c r="B91" s="8" t="s">
        <v>189</v>
      </c>
      <c r="C91" s="7" t="s">
        <v>96</v>
      </c>
      <c r="D91" s="64">
        <v>1.0</v>
      </c>
      <c r="E91" s="7"/>
      <c r="F91" s="47">
        <v>63.83</v>
      </c>
      <c r="G91" s="65">
        <v>0.0</v>
      </c>
      <c r="H91" s="7"/>
      <c r="I91" s="47">
        <v>2.15</v>
      </c>
      <c r="J91" s="66">
        <f t="shared" si="1"/>
        <v>61.68</v>
      </c>
      <c r="K91" s="8"/>
      <c r="L91" s="7"/>
      <c r="M91" s="7"/>
      <c r="N91" s="7"/>
      <c r="O91" s="7"/>
    </row>
    <row r="92">
      <c r="A92" s="45">
        <v>45948.96537037037</v>
      </c>
      <c r="B92" s="8" t="s">
        <v>190</v>
      </c>
      <c r="C92" s="7" t="s">
        <v>96</v>
      </c>
      <c r="D92" s="64">
        <v>1.0</v>
      </c>
      <c r="E92" s="7"/>
      <c r="F92" s="47">
        <v>86.0</v>
      </c>
      <c r="G92" s="65">
        <v>0.0</v>
      </c>
      <c r="H92" s="7"/>
      <c r="I92" s="47">
        <v>4.08</v>
      </c>
      <c r="J92" s="66">
        <f t="shared" si="1"/>
        <v>81.92</v>
      </c>
      <c r="K92" s="8"/>
      <c r="L92" s="7"/>
      <c r="M92" s="7"/>
      <c r="N92" s="7"/>
      <c r="O92" s="7"/>
    </row>
    <row r="93">
      <c r="A93" s="45">
        <v>45948.945625</v>
      </c>
      <c r="B93" s="8" t="s">
        <v>191</v>
      </c>
      <c r="C93" s="67" t="s">
        <v>98</v>
      </c>
      <c r="D93" s="64">
        <v>1.0</v>
      </c>
      <c r="E93" s="64">
        <v>1.0</v>
      </c>
      <c r="F93" s="47">
        <v>160.22</v>
      </c>
      <c r="G93" s="65">
        <v>0.0</v>
      </c>
      <c r="H93" s="7"/>
      <c r="I93" s="47">
        <v>4.95</v>
      </c>
      <c r="J93" s="66">
        <f t="shared" si="1"/>
        <v>155.27</v>
      </c>
      <c r="K93" s="8"/>
      <c r="L93" s="7"/>
      <c r="M93" s="7"/>
      <c r="N93" s="7"/>
      <c r="O93" s="7"/>
    </row>
    <row r="94">
      <c r="A94" s="45">
        <v>45948.92428240741</v>
      </c>
      <c r="B94" s="8" t="s">
        <v>192</v>
      </c>
      <c r="C94" s="7" t="s">
        <v>96</v>
      </c>
      <c r="D94" s="64">
        <v>1.0</v>
      </c>
      <c r="E94" s="7"/>
      <c r="F94" s="47">
        <v>82.92</v>
      </c>
      <c r="G94" s="65">
        <v>0.0</v>
      </c>
      <c r="H94" s="7"/>
      <c r="I94" s="47">
        <v>3.95</v>
      </c>
      <c r="J94" s="66">
        <f t="shared" si="1"/>
        <v>78.97</v>
      </c>
      <c r="K94" s="8"/>
      <c r="L94" s="7"/>
      <c r="M94" s="7"/>
      <c r="N94" s="7"/>
      <c r="O94" s="7"/>
    </row>
    <row r="95">
      <c r="A95" s="45">
        <v>45948.86240740741</v>
      </c>
      <c r="B95" s="8" t="s">
        <v>193</v>
      </c>
      <c r="C95" s="7" t="s">
        <v>96</v>
      </c>
      <c r="D95" s="64">
        <v>1.0</v>
      </c>
      <c r="E95" s="7"/>
      <c r="F95" s="47">
        <v>65.1</v>
      </c>
      <c r="G95" s="65">
        <v>0.0</v>
      </c>
      <c r="H95" s="7"/>
      <c r="I95" s="47">
        <v>2.19</v>
      </c>
      <c r="J95" s="66">
        <f t="shared" si="1"/>
        <v>62.91</v>
      </c>
      <c r="K95" s="8"/>
      <c r="L95" s="7"/>
      <c r="M95" s="7"/>
      <c r="N95" s="7"/>
      <c r="O95" s="7"/>
    </row>
    <row r="96">
      <c r="A96" s="45">
        <v>45948.85885416667</v>
      </c>
      <c r="B96" s="8" t="s">
        <v>194</v>
      </c>
      <c r="C96" s="7" t="s">
        <v>96</v>
      </c>
      <c r="D96" s="64">
        <v>1.0</v>
      </c>
      <c r="E96" s="7"/>
      <c r="F96" s="47">
        <v>84.5</v>
      </c>
      <c r="G96" s="65">
        <v>0.0</v>
      </c>
      <c r="H96" s="7"/>
      <c r="I96" s="47">
        <v>4.02</v>
      </c>
      <c r="J96" s="66">
        <f t="shared" si="1"/>
        <v>80.48</v>
      </c>
      <c r="K96" s="8"/>
      <c r="L96" s="7"/>
      <c r="M96" s="7"/>
      <c r="N96" s="7"/>
      <c r="O96" s="7"/>
    </row>
    <row r="97">
      <c r="A97" s="45">
        <v>45948.85144675926</v>
      </c>
      <c r="B97" s="8" t="s">
        <v>195</v>
      </c>
      <c r="C97" s="7" t="s">
        <v>96</v>
      </c>
      <c r="D97" s="64">
        <v>1.0</v>
      </c>
      <c r="E97" s="7"/>
      <c r="F97" s="47">
        <v>60.22</v>
      </c>
      <c r="G97" s="65">
        <v>0.0</v>
      </c>
      <c r="H97" s="7"/>
      <c r="I97" s="47">
        <v>2.05</v>
      </c>
      <c r="J97" s="66">
        <f t="shared" si="1"/>
        <v>58.17</v>
      </c>
      <c r="K97" s="8"/>
      <c r="L97" s="7"/>
      <c r="M97" s="7"/>
      <c r="N97" s="7"/>
      <c r="O97" s="7"/>
    </row>
    <row r="98">
      <c r="A98" s="45">
        <v>45948.80736111111</v>
      </c>
      <c r="B98" s="8" t="s">
        <v>196</v>
      </c>
      <c r="C98" s="67" t="s">
        <v>98</v>
      </c>
      <c r="D98" s="64">
        <v>1.0</v>
      </c>
      <c r="E98" s="64">
        <v>1.0</v>
      </c>
      <c r="F98" s="47">
        <v>160.22</v>
      </c>
      <c r="G98" s="65">
        <v>0.0</v>
      </c>
      <c r="H98" s="7"/>
      <c r="I98" s="47">
        <v>4.95</v>
      </c>
      <c r="J98" s="66">
        <f t="shared" si="1"/>
        <v>155.27</v>
      </c>
      <c r="K98" s="8"/>
      <c r="L98" s="7"/>
      <c r="M98" s="7"/>
      <c r="N98" s="7"/>
      <c r="O98" s="7"/>
    </row>
    <row r="99">
      <c r="A99" s="45">
        <v>45948.766909722224</v>
      </c>
      <c r="B99" s="8" t="s">
        <v>197</v>
      </c>
      <c r="C99" s="7" t="s">
        <v>96</v>
      </c>
      <c r="D99" s="64">
        <v>1.0</v>
      </c>
      <c r="E99" s="7"/>
      <c r="F99" s="47">
        <v>60.22</v>
      </c>
      <c r="G99" s="65">
        <v>0.0</v>
      </c>
      <c r="H99" s="7"/>
      <c r="I99" s="47">
        <v>2.05</v>
      </c>
      <c r="J99" s="66">
        <f t="shared" si="1"/>
        <v>58.17</v>
      </c>
      <c r="K99" s="8"/>
      <c r="L99" s="7"/>
      <c r="M99" s="7"/>
      <c r="N99" s="7"/>
      <c r="O99" s="7"/>
    </row>
    <row r="100">
      <c r="A100" s="45">
        <v>45948.75204861111</v>
      </c>
      <c r="B100" s="8" t="s">
        <v>198</v>
      </c>
      <c r="C100" s="7" t="s">
        <v>96</v>
      </c>
      <c r="D100" s="64">
        <v>1.0</v>
      </c>
      <c r="E100" s="7"/>
      <c r="F100" s="47">
        <v>60.22</v>
      </c>
      <c r="G100" s="65">
        <v>0.0</v>
      </c>
      <c r="H100" s="7"/>
      <c r="I100" s="47">
        <v>2.05</v>
      </c>
      <c r="J100" s="66">
        <f t="shared" si="1"/>
        <v>58.17</v>
      </c>
      <c r="K100" s="8"/>
      <c r="L100" s="7"/>
      <c r="M100" s="7"/>
      <c r="N100" s="7"/>
      <c r="O100" s="7"/>
    </row>
    <row r="101">
      <c r="A101" s="45">
        <v>45948.70253472222</v>
      </c>
      <c r="B101" s="8" t="s">
        <v>199</v>
      </c>
      <c r="C101" s="7" t="s">
        <v>96</v>
      </c>
      <c r="D101" s="64">
        <v>1.0</v>
      </c>
      <c r="E101" s="7"/>
      <c r="F101" s="47">
        <v>76.98</v>
      </c>
      <c r="G101" s="65">
        <v>0.0</v>
      </c>
      <c r="H101" s="7"/>
      <c r="I101" s="47">
        <v>3.69</v>
      </c>
      <c r="J101" s="66">
        <f t="shared" si="1"/>
        <v>73.29</v>
      </c>
      <c r="K101" s="8"/>
      <c r="L101" s="7"/>
      <c r="M101" s="7"/>
      <c r="N101" s="7"/>
      <c r="O101" s="7"/>
    </row>
    <row r="102">
      <c r="A102" s="45">
        <v>45948.69994212963</v>
      </c>
      <c r="B102" s="8" t="s">
        <v>200</v>
      </c>
      <c r="C102" s="7" t="s">
        <v>96</v>
      </c>
      <c r="D102" s="64">
        <v>1.0</v>
      </c>
      <c r="E102" s="7"/>
      <c r="F102" s="47">
        <v>60.22</v>
      </c>
      <c r="G102" s="65">
        <v>0.0</v>
      </c>
      <c r="H102" s="7"/>
      <c r="I102" s="47">
        <v>2.05</v>
      </c>
      <c r="J102" s="66">
        <f t="shared" si="1"/>
        <v>58.17</v>
      </c>
      <c r="K102" s="8"/>
      <c r="L102" s="7"/>
      <c r="M102" s="7"/>
      <c r="N102" s="7"/>
      <c r="O102" s="7"/>
    </row>
    <row r="103">
      <c r="A103" s="45">
        <v>45948.696435185186</v>
      </c>
      <c r="B103" s="8" t="s">
        <v>201</v>
      </c>
      <c r="C103" s="67" t="s">
        <v>98</v>
      </c>
      <c r="D103" s="64">
        <v>1.0</v>
      </c>
      <c r="E103" s="64">
        <v>1.0</v>
      </c>
      <c r="F103" s="47">
        <v>183.44</v>
      </c>
      <c r="G103" s="65">
        <v>0.0</v>
      </c>
      <c r="H103" s="7"/>
      <c r="I103" s="47">
        <v>8.37</v>
      </c>
      <c r="J103" s="66">
        <f t="shared" si="1"/>
        <v>175.07</v>
      </c>
      <c r="K103" s="8"/>
      <c r="L103" s="7"/>
      <c r="M103" s="7"/>
      <c r="N103" s="7"/>
      <c r="O103" s="7"/>
    </row>
    <row r="104">
      <c r="A104" s="45">
        <v>45948.66284722222</v>
      </c>
      <c r="B104" s="8" t="s">
        <v>202</v>
      </c>
      <c r="C104" s="7" t="s">
        <v>96</v>
      </c>
      <c r="D104" s="64">
        <v>1.0</v>
      </c>
      <c r="E104" s="7"/>
      <c r="F104" s="47">
        <v>60.22</v>
      </c>
      <c r="G104" s="65">
        <v>0.0</v>
      </c>
      <c r="H104" s="7"/>
      <c r="I104" s="47">
        <v>2.05</v>
      </c>
      <c r="J104" s="66">
        <f t="shared" si="1"/>
        <v>58.17</v>
      </c>
      <c r="K104" s="8"/>
      <c r="L104" s="7"/>
      <c r="M104" s="7"/>
      <c r="N104" s="7"/>
      <c r="O104" s="7"/>
    </row>
    <row r="105">
      <c r="A105" s="45">
        <v>45948.65671296296</v>
      </c>
      <c r="B105" s="8" t="s">
        <v>203</v>
      </c>
      <c r="C105" s="67" t="s">
        <v>98</v>
      </c>
      <c r="D105" s="64">
        <v>1.0</v>
      </c>
      <c r="E105" s="64">
        <v>1.0</v>
      </c>
      <c r="F105" s="47">
        <v>231.84</v>
      </c>
      <c r="G105" s="65">
        <v>0.0</v>
      </c>
      <c r="H105" s="7"/>
      <c r="I105" s="47">
        <v>10.5</v>
      </c>
      <c r="J105" s="66">
        <f t="shared" si="1"/>
        <v>221.34</v>
      </c>
      <c r="K105" s="8"/>
      <c r="L105" s="7"/>
      <c r="M105" s="7"/>
      <c r="N105" s="7"/>
      <c r="O105" s="7"/>
    </row>
    <row r="106">
      <c r="A106" s="45">
        <v>45948.648564814815</v>
      </c>
      <c r="B106" s="8" t="s">
        <v>204</v>
      </c>
      <c r="C106" s="7" t="s">
        <v>96</v>
      </c>
      <c r="D106" s="64">
        <v>1.0</v>
      </c>
      <c r="E106" s="7"/>
      <c r="F106" s="47">
        <v>76.98</v>
      </c>
      <c r="G106" s="65">
        <v>0.0</v>
      </c>
      <c r="H106" s="7"/>
      <c r="I106" s="47">
        <v>3.69</v>
      </c>
      <c r="J106" s="66">
        <f t="shared" si="1"/>
        <v>73.29</v>
      </c>
      <c r="K106" s="8"/>
      <c r="L106" s="7"/>
      <c r="M106" s="7"/>
      <c r="N106" s="7"/>
      <c r="O106" s="7"/>
    </row>
    <row r="107">
      <c r="A107" s="45">
        <v>45948.63521990741</v>
      </c>
      <c r="B107" s="8" t="s">
        <v>205</v>
      </c>
      <c r="C107" s="7" t="s">
        <v>96</v>
      </c>
      <c r="D107" s="64">
        <v>1.0</v>
      </c>
      <c r="E107" s="7"/>
      <c r="F107" s="47">
        <v>83.44</v>
      </c>
      <c r="G107" s="65">
        <v>0.0</v>
      </c>
      <c r="H107" s="7"/>
      <c r="I107" s="47">
        <v>3.97</v>
      </c>
      <c r="J107" s="66">
        <f t="shared" si="1"/>
        <v>79.47</v>
      </c>
      <c r="K107" s="8"/>
      <c r="L107" s="7"/>
      <c r="M107" s="7"/>
      <c r="N107" s="7"/>
      <c r="O107" s="7"/>
    </row>
    <row r="108">
      <c r="A108" s="45">
        <v>45948.63412037037</v>
      </c>
      <c r="B108" s="8" t="s">
        <v>206</v>
      </c>
      <c r="C108" s="7" t="s">
        <v>96</v>
      </c>
      <c r="D108" s="64">
        <v>1.0</v>
      </c>
      <c r="E108" s="7"/>
      <c r="F108" s="47">
        <v>81.14</v>
      </c>
      <c r="G108" s="65">
        <v>0.0</v>
      </c>
      <c r="H108" s="7"/>
      <c r="I108" s="47">
        <v>3.87</v>
      </c>
      <c r="J108" s="66">
        <f t="shared" si="1"/>
        <v>77.27</v>
      </c>
      <c r="K108" s="8"/>
      <c r="L108" s="7"/>
      <c r="M108" s="7"/>
      <c r="N108" s="7"/>
      <c r="O108" s="7"/>
    </row>
    <row r="109">
      <c r="A109" s="45">
        <v>45948.633726851855</v>
      </c>
      <c r="B109" s="8" t="s">
        <v>207</v>
      </c>
      <c r="C109" s="67" t="s">
        <v>98</v>
      </c>
      <c r="D109" s="64">
        <v>1.0</v>
      </c>
      <c r="E109" s="64">
        <v>1.0</v>
      </c>
      <c r="F109" s="47">
        <v>176.98</v>
      </c>
      <c r="G109" s="65">
        <v>0.0</v>
      </c>
      <c r="H109" s="7"/>
      <c r="I109" s="47">
        <v>8.09</v>
      </c>
      <c r="J109" s="66">
        <f t="shared" si="1"/>
        <v>168.89</v>
      </c>
      <c r="K109" s="8"/>
      <c r="L109" s="7"/>
      <c r="M109" s="7"/>
      <c r="N109" s="7"/>
      <c r="O109" s="7"/>
    </row>
    <row r="110">
      <c r="A110" s="45">
        <v>45948.60737268518</v>
      </c>
      <c r="B110" s="8" t="s">
        <v>208</v>
      </c>
      <c r="C110" s="7" t="s">
        <v>96</v>
      </c>
      <c r="D110" s="64">
        <v>1.0</v>
      </c>
      <c r="E110" s="7"/>
      <c r="F110" s="47">
        <v>60.22</v>
      </c>
      <c r="G110" s="65">
        <v>0.0</v>
      </c>
      <c r="H110" s="7"/>
      <c r="I110" s="47">
        <v>2.05</v>
      </c>
      <c r="J110" s="66">
        <f t="shared" si="1"/>
        <v>58.17</v>
      </c>
      <c r="K110" s="8"/>
      <c r="L110" s="7"/>
      <c r="M110" s="7"/>
      <c r="N110" s="7"/>
      <c r="O110" s="7"/>
    </row>
    <row r="111">
      <c r="A111" s="45">
        <v>45948.60722222222</v>
      </c>
      <c r="B111" s="8" t="s">
        <v>209</v>
      </c>
      <c r="C111" s="7" t="s">
        <v>96</v>
      </c>
      <c r="D111" s="64">
        <v>1.0</v>
      </c>
      <c r="E111" s="7"/>
      <c r="F111" s="47">
        <v>60.22</v>
      </c>
      <c r="G111" s="65">
        <v>0.0</v>
      </c>
      <c r="H111" s="7"/>
      <c r="I111" s="47">
        <v>2.05</v>
      </c>
      <c r="J111" s="66">
        <f t="shared" si="1"/>
        <v>58.17</v>
      </c>
      <c r="K111" s="8"/>
      <c r="L111" s="7"/>
      <c r="M111" s="7"/>
      <c r="N111" s="7"/>
      <c r="O111" s="7"/>
    </row>
    <row r="112">
      <c r="A112" s="45">
        <v>45948.54371527778</v>
      </c>
      <c r="B112" s="8" t="s">
        <v>210</v>
      </c>
      <c r="C112" s="7" t="s">
        <v>96</v>
      </c>
      <c r="D112" s="64">
        <v>1.0</v>
      </c>
      <c r="E112" s="7"/>
      <c r="F112" s="47">
        <v>60.22</v>
      </c>
      <c r="G112" s="65">
        <v>0.0</v>
      </c>
      <c r="H112" s="7"/>
      <c r="I112" s="47">
        <v>2.05</v>
      </c>
      <c r="J112" s="66">
        <f t="shared" si="1"/>
        <v>58.17</v>
      </c>
      <c r="K112" s="8"/>
      <c r="L112" s="7"/>
      <c r="M112" s="7"/>
      <c r="N112" s="7"/>
      <c r="O112" s="7"/>
    </row>
    <row r="113">
      <c r="A113" s="45">
        <v>45948.49721064815</v>
      </c>
      <c r="B113" s="8" t="s">
        <v>211</v>
      </c>
      <c r="C113" s="7" t="s">
        <v>96</v>
      </c>
      <c r="D113" s="64">
        <v>1.0</v>
      </c>
      <c r="E113" s="7"/>
      <c r="F113" s="47">
        <v>60.22</v>
      </c>
      <c r="G113" s="65">
        <v>0.0</v>
      </c>
      <c r="H113" s="7"/>
      <c r="I113" s="47">
        <v>2.95</v>
      </c>
      <c r="J113" s="66">
        <f t="shared" si="1"/>
        <v>57.27</v>
      </c>
      <c r="K113" s="8"/>
      <c r="L113" s="7"/>
      <c r="M113" s="7"/>
      <c r="N113" s="7"/>
      <c r="O113" s="7"/>
    </row>
    <row r="114">
      <c r="A114" s="45">
        <v>45948.48886574074</v>
      </c>
      <c r="B114" s="8" t="s">
        <v>212</v>
      </c>
      <c r="C114" s="7" t="s">
        <v>96</v>
      </c>
      <c r="D114" s="64">
        <v>1.0</v>
      </c>
      <c r="E114" s="7"/>
      <c r="F114" s="47">
        <v>84.6</v>
      </c>
      <c r="G114" s="65">
        <v>0.0</v>
      </c>
      <c r="H114" s="7"/>
      <c r="I114" s="47">
        <v>4.02</v>
      </c>
      <c r="J114" s="66">
        <f t="shared" si="1"/>
        <v>80.58</v>
      </c>
      <c r="K114" s="8"/>
      <c r="L114" s="7"/>
      <c r="M114" s="7"/>
      <c r="N114" s="7"/>
      <c r="O114" s="7"/>
    </row>
    <row r="115">
      <c r="A115" s="45">
        <v>45948.43009259259</v>
      </c>
      <c r="B115" s="8" t="s">
        <v>213</v>
      </c>
      <c r="C115" s="7" t="s">
        <v>96</v>
      </c>
      <c r="D115" s="64">
        <v>1.0</v>
      </c>
      <c r="E115" s="7"/>
      <c r="F115" s="47">
        <v>81.14</v>
      </c>
      <c r="G115" s="65">
        <v>0.0</v>
      </c>
      <c r="H115" s="7"/>
      <c r="I115" s="47">
        <v>3.87</v>
      </c>
      <c r="J115" s="66">
        <f t="shared" si="1"/>
        <v>77.27</v>
      </c>
      <c r="K115" s="8"/>
      <c r="L115" s="7"/>
      <c r="M115" s="7"/>
      <c r="N115" s="7"/>
      <c r="O115" s="7"/>
    </row>
    <row r="116">
      <c r="A116" s="45">
        <v>45948.36570601852</v>
      </c>
      <c r="B116" s="8" t="s">
        <v>214</v>
      </c>
      <c r="C116" s="7" t="s">
        <v>96</v>
      </c>
      <c r="D116" s="64">
        <v>1.0</v>
      </c>
      <c r="E116" s="7"/>
      <c r="F116" s="47">
        <v>64.1</v>
      </c>
      <c r="G116" s="65">
        <v>0.0</v>
      </c>
      <c r="H116" s="7"/>
      <c r="I116" s="47">
        <v>2.16</v>
      </c>
      <c r="J116" s="66">
        <f t="shared" si="1"/>
        <v>61.94</v>
      </c>
      <c r="K116" s="8"/>
      <c r="L116" s="7"/>
      <c r="M116" s="7"/>
      <c r="N116" s="7"/>
      <c r="O116" s="7"/>
    </row>
    <row r="117">
      <c r="A117" s="45">
        <v>45948.3412962963</v>
      </c>
      <c r="B117" s="8" t="s">
        <v>215</v>
      </c>
      <c r="C117" s="67" t="s">
        <v>98</v>
      </c>
      <c r="D117" s="64">
        <v>1.0</v>
      </c>
      <c r="E117" s="64">
        <v>1.0</v>
      </c>
      <c r="F117" s="47">
        <v>181.14</v>
      </c>
      <c r="G117" s="65">
        <v>0.0</v>
      </c>
      <c r="H117" s="7"/>
      <c r="I117" s="47">
        <v>8.27</v>
      </c>
      <c r="J117" s="66">
        <f t="shared" si="1"/>
        <v>172.87</v>
      </c>
      <c r="K117" s="8"/>
      <c r="L117" s="7"/>
      <c r="M117" s="7"/>
      <c r="N117" s="7"/>
      <c r="O117" s="7"/>
    </row>
    <row r="118">
      <c r="A118" s="45">
        <v>45948.26765046296</v>
      </c>
      <c r="B118" s="8" t="s">
        <v>216</v>
      </c>
      <c r="C118" s="67" t="s">
        <v>98</v>
      </c>
      <c r="D118" s="64">
        <v>1.0</v>
      </c>
      <c r="E118" s="64">
        <v>1.0</v>
      </c>
      <c r="F118" s="47">
        <v>176.98</v>
      </c>
      <c r="G118" s="65">
        <v>0.0</v>
      </c>
      <c r="H118" s="7"/>
      <c r="I118" s="47">
        <v>8.09</v>
      </c>
      <c r="J118" s="66">
        <f t="shared" si="1"/>
        <v>168.89</v>
      </c>
      <c r="K118" s="8"/>
      <c r="L118" s="7"/>
      <c r="M118" s="7"/>
      <c r="N118" s="7"/>
      <c r="O118" s="7"/>
    </row>
    <row r="119">
      <c r="A119" s="45">
        <v>45948.266701388886</v>
      </c>
      <c r="B119" s="8" t="s">
        <v>217</v>
      </c>
      <c r="C119" s="7" t="s">
        <v>96</v>
      </c>
      <c r="D119" s="64">
        <v>1.0</v>
      </c>
      <c r="E119" s="7"/>
      <c r="F119" s="47">
        <v>84.5</v>
      </c>
      <c r="G119" s="65">
        <v>0.0</v>
      </c>
      <c r="H119" s="7"/>
      <c r="I119" s="47">
        <v>4.02</v>
      </c>
      <c r="J119" s="66">
        <f t="shared" si="1"/>
        <v>80.48</v>
      </c>
      <c r="K119" s="8"/>
      <c r="L119" s="7"/>
      <c r="M119" s="7"/>
      <c r="N119" s="7"/>
      <c r="O119" s="7"/>
    </row>
    <row r="120">
      <c r="A120" s="45">
        <v>45948.25288194444</v>
      </c>
      <c r="B120" s="8" t="s">
        <v>218</v>
      </c>
      <c r="C120" s="7" t="s">
        <v>96</v>
      </c>
      <c r="D120" s="64">
        <v>1.0</v>
      </c>
      <c r="E120" s="7"/>
      <c r="F120" s="47">
        <v>81.97</v>
      </c>
      <c r="G120" s="65">
        <v>0.0</v>
      </c>
      <c r="H120" s="7"/>
      <c r="I120" s="47">
        <v>3.91</v>
      </c>
      <c r="J120" s="66">
        <f t="shared" si="1"/>
        <v>78.06</v>
      </c>
      <c r="K120" s="8"/>
      <c r="L120" s="7"/>
      <c r="M120" s="7"/>
      <c r="N120" s="7"/>
      <c r="O120" s="7"/>
    </row>
    <row r="121">
      <c r="A121" s="45">
        <v>45948.252604166664</v>
      </c>
      <c r="B121" s="8" t="s">
        <v>219</v>
      </c>
      <c r="C121" s="7" t="s">
        <v>96</v>
      </c>
      <c r="D121" s="64">
        <v>1.0</v>
      </c>
      <c r="E121" s="7"/>
      <c r="F121" s="47">
        <v>60.22</v>
      </c>
      <c r="G121" s="65">
        <v>0.0</v>
      </c>
      <c r="H121" s="7"/>
      <c r="I121" s="47">
        <v>2.05</v>
      </c>
      <c r="J121" s="66">
        <f t="shared" si="1"/>
        <v>58.17</v>
      </c>
      <c r="K121" s="8"/>
      <c r="L121" s="7"/>
      <c r="M121" s="7"/>
      <c r="N121" s="7"/>
      <c r="O121" s="7"/>
    </row>
    <row r="122">
      <c r="A122" s="45">
        <v>45948.2055787037</v>
      </c>
      <c r="B122" s="8" t="s">
        <v>220</v>
      </c>
      <c r="C122" s="7" t="s">
        <v>96</v>
      </c>
      <c r="D122" s="64">
        <v>1.0</v>
      </c>
      <c r="E122" s="7"/>
      <c r="F122" s="47">
        <v>76.98</v>
      </c>
      <c r="G122" s="65">
        <v>0.0</v>
      </c>
      <c r="H122" s="7"/>
      <c r="I122" s="47">
        <v>3.69</v>
      </c>
      <c r="J122" s="66">
        <f t="shared" si="1"/>
        <v>73.29</v>
      </c>
      <c r="K122" s="8"/>
      <c r="L122" s="7"/>
      <c r="M122" s="7"/>
      <c r="N122" s="7"/>
      <c r="O122" s="7"/>
    </row>
    <row r="123">
      <c r="A123" s="45">
        <v>45948.17965277778</v>
      </c>
      <c r="B123" s="8" t="s">
        <v>221</v>
      </c>
      <c r="C123" s="7" t="s">
        <v>96</v>
      </c>
      <c r="D123" s="64">
        <v>1.0</v>
      </c>
      <c r="E123" s="7"/>
      <c r="F123" s="47">
        <v>72.87</v>
      </c>
      <c r="G123" s="65">
        <v>0.0</v>
      </c>
      <c r="H123" s="7"/>
      <c r="I123" s="47">
        <v>3.51</v>
      </c>
      <c r="J123" s="66">
        <f t="shared" si="1"/>
        <v>69.36</v>
      </c>
      <c r="K123" s="8"/>
      <c r="L123" s="7"/>
      <c r="M123" s="7"/>
      <c r="N123" s="7"/>
      <c r="O123" s="7"/>
    </row>
    <row r="124">
      <c r="A124" s="45">
        <v>45948.14424768519</v>
      </c>
      <c r="B124" s="8" t="s">
        <v>222</v>
      </c>
      <c r="C124" s="7" t="s">
        <v>96</v>
      </c>
      <c r="D124" s="64">
        <v>1.0</v>
      </c>
      <c r="E124" s="7"/>
      <c r="F124" s="47">
        <v>72.87</v>
      </c>
      <c r="G124" s="65">
        <v>0.0</v>
      </c>
      <c r="H124" s="7"/>
      <c r="I124" s="47">
        <v>3.51</v>
      </c>
      <c r="J124" s="66">
        <f t="shared" si="1"/>
        <v>69.36</v>
      </c>
      <c r="K124" s="8"/>
      <c r="L124" s="7"/>
      <c r="M124" s="7"/>
      <c r="N124" s="7"/>
      <c r="O124" s="7"/>
    </row>
    <row r="125">
      <c r="A125" s="45">
        <v>45948.14412037037</v>
      </c>
      <c r="B125" s="8" t="s">
        <v>223</v>
      </c>
      <c r="C125" s="67" t="s">
        <v>98</v>
      </c>
      <c r="D125" s="64">
        <v>1.0</v>
      </c>
      <c r="E125" s="64">
        <v>1.0</v>
      </c>
      <c r="F125" s="47">
        <v>163.14</v>
      </c>
      <c r="G125" s="65">
        <v>0.0</v>
      </c>
      <c r="H125" s="7"/>
      <c r="I125" s="47">
        <v>5.03</v>
      </c>
      <c r="J125" s="66">
        <f t="shared" si="1"/>
        <v>158.11</v>
      </c>
      <c r="K125" s="8"/>
      <c r="L125" s="7"/>
      <c r="M125" s="7"/>
      <c r="N125" s="7"/>
      <c r="O125" s="7"/>
    </row>
    <row r="126">
      <c r="A126" s="45">
        <v>45948.128912037035</v>
      </c>
      <c r="B126" s="8" t="s">
        <v>224</v>
      </c>
      <c r="C126" s="7" t="s">
        <v>96</v>
      </c>
      <c r="D126" s="64">
        <v>1.0</v>
      </c>
      <c r="E126" s="7"/>
      <c r="F126" s="47">
        <v>89.2</v>
      </c>
      <c r="G126" s="65">
        <v>0.0</v>
      </c>
      <c r="H126" s="7"/>
      <c r="I126" s="47">
        <v>4.22</v>
      </c>
      <c r="J126" s="66">
        <f t="shared" si="1"/>
        <v>84.98</v>
      </c>
      <c r="K126" s="8"/>
      <c r="L126" s="7"/>
      <c r="M126" s="7"/>
      <c r="N126" s="7"/>
      <c r="O126" s="7"/>
    </row>
    <row r="127">
      <c r="A127" s="45">
        <v>45948.11771990741</v>
      </c>
      <c r="B127" s="8" t="s">
        <v>225</v>
      </c>
      <c r="C127" s="7" t="s">
        <v>96</v>
      </c>
      <c r="D127" s="64">
        <v>1.0</v>
      </c>
      <c r="E127" s="7"/>
      <c r="F127" s="47">
        <v>60.22</v>
      </c>
      <c r="G127" s="65">
        <v>0.0</v>
      </c>
      <c r="H127" s="7"/>
      <c r="I127" s="47">
        <v>2.05</v>
      </c>
      <c r="J127" s="66">
        <f t="shared" si="1"/>
        <v>58.17</v>
      </c>
      <c r="K127" s="8"/>
      <c r="L127" s="7"/>
      <c r="M127" s="7"/>
      <c r="N127" s="7"/>
      <c r="O127" s="7"/>
    </row>
    <row r="128">
      <c r="A128" s="45">
        <v>45948.107152777775</v>
      </c>
      <c r="B128" s="8" t="s">
        <v>226</v>
      </c>
      <c r="C128" s="7" t="s">
        <v>96</v>
      </c>
      <c r="D128" s="64">
        <v>1.0</v>
      </c>
      <c r="E128" s="7"/>
      <c r="F128" s="47">
        <v>60.22</v>
      </c>
      <c r="G128" s="65">
        <v>0.0</v>
      </c>
      <c r="H128" s="7"/>
      <c r="I128" s="47">
        <v>2.05</v>
      </c>
      <c r="J128" s="66">
        <f t="shared" si="1"/>
        <v>58.17</v>
      </c>
      <c r="K128" s="8"/>
      <c r="L128" s="7"/>
      <c r="M128" s="7"/>
      <c r="N128" s="7"/>
      <c r="O128" s="7"/>
    </row>
    <row r="129">
      <c r="A129" s="45">
        <v>45948.10371527778</v>
      </c>
      <c r="B129" s="8" t="s">
        <v>227</v>
      </c>
      <c r="C129" s="7" t="s">
        <v>96</v>
      </c>
      <c r="D129" s="64">
        <v>1.0</v>
      </c>
      <c r="E129" s="7"/>
      <c r="F129" s="47">
        <v>60.22</v>
      </c>
      <c r="G129" s="65">
        <v>0.0</v>
      </c>
      <c r="H129" s="7"/>
      <c r="I129" s="47">
        <v>2.05</v>
      </c>
      <c r="J129" s="66">
        <f t="shared" si="1"/>
        <v>58.17</v>
      </c>
      <c r="K129" s="8"/>
      <c r="L129" s="7"/>
      <c r="M129" s="7"/>
      <c r="N129" s="7"/>
      <c r="O129" s="7"/>
    </row>
    <row r="130">
      <c r="A130" s="45">
        <v>45948.1033912037</v>
      </c>
      <c r="B130" s="8" t="s">
        <v>228</v>
      </c>
      <c r="C130" s="67" t="s">
        <v>98</v>
      </c>
      <c r="D130" s="64">
        <v>1.0</v>
      </c>
      <c r="E130" s="64">
        <v>1.0</v>
      </c>
      <c r="F130" s="47">
        <v>160.22</v>
      </c>
      <c r="G130" s="65">
        <v>0.0</v>
      </c>
      <c r="H130" s="7"/>
      <c r="I130" s="47">
        <v>4.95</v>
      </c>
      <c r="J130" s="66">
        <f t="shared" si="1"/>
        <v>155.27</v>
      </c>
      <c r="K130" s="8"/>
      <c r="L130" s="7"/>
      <c r="M130" s="7"/>
      <c r="N130" s="7"/>
      <c r="O130" s="7"/>
    </row>
    <row r="131">
      <c r="A131" s="45">
        <v>45948.0965625</v>
      </c>
      <c r="B131" s="8" t="s">
        <v>229</v>
      </c>
      <c r="C131" s="7" t="s">
        <v>96</v>
      </c>
      <c r="D131" s="64">
        <v>1.0</v>
      </c>
      <c r="E131" s="7"/>
      <c r="F131" s="47">
        <v>73.07</v>
      </c>
      <c r="G131" s="65">
        <v>0.0</v>
      </c>
      <c r="H131" s="7"/>
      <c r="I131" s="47">
        <v>3.52</v>
      </c>
      <c r="J131" s="66">
        <f t="shared" si="1"/>
        <v>69.55</v>
      </c>
      <c r="K131" s="8"/>
      <c r="L131" s="7"/>
      <c r="M131" s="7"/>
      <c r="N131" s="7"/>
      <c r="O131" s="7"/>
    </row>
    <row r="132">
      <c r="A132" s="45">
        <v>45948.08015046296</v>
      </c>
      <c r="B132" s="8" t="s">
        <v>230</v>
      </c>
      <c r="C132" s="67" t="s">
        <v>231</v>
      </c>
      <c r="D132" s="64">
        <v>2.0</v>
      </c>
      <c r="E132" s="64">
        <v>1.0</v>
      </c>
      <c r="F132" s="47">
        <v>210.22</v>
      </c>
      <c r="G132" s="65">
        <v>0.0</v>
      </c>
      <c r="H132" s="7"/>
      <c r="I132" s="47">
        <v>6.4</v>
      </c>
      <c r="J132" s="66">
        <f t="shared" si="1"/>
        <v>203.82</v>
      </c>
      <c r="K132" s="8"/>
      <c r="L132" s="7"/>
      <c r="M132" s="7"/>
      <c r="N132" s="7"/>
      <c r="O132" s="7"/>
    </row>
    <row r="133">
      <c r="A133" s="45">
        <v>45948.07670138889</v>
      </c>
      <c r="B133" s="8" t="s">
        <v>232</v>
      </c>
      <c r="C133" s="67" t="s">
        <v>98</v>
      </c>
      <c r="D133" s="64">
        <v>1.0</v>
      </c>
      <c r="E133" s="64">
        <v>1.0</v>
      </c>
      <c r="F133" s="47">
        <v>160.22</v>
      </c>
      <c r="G133" s="65">
        <v>0.0</v>
      </c>
      <c r="H133" s="7"/>
      <c r="I133" s="47">
        <v>4.95</v>
      </c>
      <c r="J133" s="66">
        <f t="shared" si="1"/>
        <v>155.27</v>
      </c>
      <c r="K133" s="8"/>
      <c r="L133" s="7"/>
      <c r="M133" s="7"/>
      <c r="N133" s="7"/>
      <c r="O133" s="7"/>
    </row>
    <row r="134">
      <c r="A134" s="45">
        <v>45948.073425925926</v>
      </c>
      <c r="B134" s="8" t="s">
        <v>233</v>
      </c>
      <c r="C134" s="67" t="s">
        <v>98</v>
      </c>
      <c r="D134" s="64">
        <v>1.0</v>
      </c>
      <c r="E134" s="64">
        <v>1.0</v>
      </c>
      <c r="F134" s="47">
        <v>160.22</v>
      </c>
      <c r="G134" s="65">
        <v>0.0</v>
      </c>
      <c r="H134" s="7"/>
      <c r="I134" s="47">
        <v>4.95</v>
      </c>
      <c r="J134" s="66">
        <f t="shared" si="1"/>
        <v>155.27</v>
      </c>
      <c r="K134" s="8"/>
      <c r="L134" s="7"/>
      <c r="M134" s="7"/>
      <c r="N134" s="7"/>
      <c r="O134" s="7"/>
    </row>
    <row r="135">
      <c r="A135" s="45">
        <v>45948.068923611114</v>
      </c>
      <c r="B135" s="8" t="s">
        <v>234</v>
      </c>
      <c r="C135" s="7" t="s">
        <v>96</v>
      </c>
      <c r="D135" s="64">
        <v>1.0</v>
      </c>
      <c r="E135" s="7"/>
      <c r="F135" s="47">
        <v>60.22</v>
      </c>
      <c r="G135" s="65">
        <v>0.0</v>
      </c>
      <c r="H135" s="7"/>
      <c r="I135" s="47">
        <v>2.05</v>
      </c>
      <c r="J135" s="66">
        <f t="shared" si="1"/>
        <v>58.17</v>
      </c>
      <c r="K135" s="8"/>
      <c r="L135" s="7"/>
      <c r="M135" s="7"/>
      <c r="N135" s="7"/>
      <c r="O135" s="7"/>
    </row>
    <row r="136">
      <c r="A136" s="45">
        <v>45948.068553240744</v>
      </c>
      <c r="B136" s="8" t="s">
        <v>235</v>
      </c>
      <c r="C136" s="7" t="s">
        <v>96</v>
      </c>
      <c r="D136" s="64">
        <v>1.0</v>
      </c>
      <c r="E136" s="7"/>
      <c r="F136" s="47">
        <v>63.83</v>
      </c>
      <c r="G136" s="65">
        <v>0.0</v>
      </c>
      <c r="H136" s="7"/>
      <c r="I136" s="47">
        <v>2.15</v>
      </c>
      <c r="J136" s="66">
        <f t="shared" si="1"/>
        <v>61.68</v>
      </c>
      <c r="K136" s="8"/>
      <c r="L136" s="7"/>
      <c r="M136" s="7"/>
      <c r="N136" s="7"/>
      <c r="O136" s="7"/>
    </row>
    <row r="137">
      <c r="A137" s="45">
        <v>45948.067245370374</v>
      </c>
      <c r="B137" s="8" t="s">
        <v>236</v>
      </c>
      <c r="C137" s="7" t="s">
        <v>96</v>
      </c>
      <c r="D137" s="64">
        <v>1.0</v>
      </c>
      <c r="E137" s="7"/>
      <c r="F137" s="47">
        <v>60.22</v>
      </c>
      <c r="G137" s="65">
        <v>0.0</v>
      </c>
      <c r="H137" s="7"/>
      <c r="I137" s="47">
        <v>2.05</v>
      </c>
      <c r="J137" s="66">
        <f t="shared" si="1"/>
        <v>58.17</v>
      </c>
      <c r="K137" s="8"/>
      <c r="L137" s="7"/>
      <c r="M137" s="7"/>
      <c r="N137" s="7"/>
      <c r="O137" s="7"/>
    </row>
    <row r="138">
      <c r="A138" s="45">
        <v>45948.05873842593</v>
      </c>
      <c r="B138" s="8" t="s">
        <v>237</v>
      </c>
      <c r="C138" s="67" t="s">
        <v>98</v>
      </c>
      <c r="D138" s="64">
        <v>1.0</v>
      </c>
      <c r="E138" s="64">
        <v>1.0</v>
      </c>
      <c r="F138" s="47">
        <v>160.22</v>
      </c>
      <c r="G138" s="65">
        <v>0.0</v>
      </c>
      <c r="H138" s="7"/>
      <c r="I138" s="47">
        <v>4.95</v>
      </c>
      <c r="J138" s="66">
        <f t="shared" si="1"/>
        <v>155.27</v>
      </c>
      <c r="K138" s="8"/>
      <c r="L138" s="7"/>
      <c r="M138" s="7"/>
      <c r="N138" s="7"/>
      <c r="O138" s="7"/>
    </row>
    <row r="139">
      <c r="A139" s="45">
        <v>45948.023506944446</v>
      </c>
      <c r="B139" s="8" t="s">
        <v>238</v>
      </c>
      <c r="C139" s="7" t="s">
        <v>96</v>
      </c>
      <c r="D139" s="64">
        <v>1.0</v>
      </c>
      <c r="E139" s="7"/>
      <c r="F139" s="47">
        <v>60.22</v>
      </c>
      <c r="G139" s="65">
        <v>0.0</v>
      </c>
      <c r="H139" s="7"/>
      <c r="I139" s="47">
        <v>2.95</v>
      </c>
      <c r="J139" s="66">
        <f t="shared" si="1"/>
        <v>57.27</v>
      </c>
      <c r="K139" s="8"/>
      <c r="L139" s="7"/>
      <c r="M139" s="7"/>
      <c r="N139" s="7"/>
      <c r="O139" s="7"/>
    </row>
    <row r="140">
      <c r="A140" s="45">
        <v>45948.012650462966</v>
      </c>
      <c r="B140" s="8" t="s">
        <v>239</v>
      </c>
      <c r="C140" s="7" t="s">
        <v>96</v>
      </c>
      <c r="D140" s="64">
        <v>1.0</v>
      </c>
      <c r="E140" s="7"/>
      <c r="F140" s="47">
        <v>60.22</v>
      </c>
      <c r="G140" s="65">
        <v>0.0</v>
      </c>
      <c r="H140" s="7"/>
      <c r="I140" s="47">
        <v>2.05</v>
      </c>
      <c r="J140" s="66">
        <f t="shared" si="1"/>
        <v>58.17</v>
      </c>
      <c r="K140" s="8"/>
      <c r="L140" s="7"/>
      <c r="M140" s="7"/>
      <c r="N140" s="7"/>
      <c r="O140" s="7"/>
    </row>
    <row r="141">
      <c r="A141" s="45">
        <v>45948.00902777778</v>
      </c>
      <c r="B141" s="8" t="s">
        <v>240</v>
      </c>
      <c r="C141" s="7" t="s">
        <v>96</v>
      </c>
      <c r="D141" s="64">
        <v>1.0</v>
      </c>
      <c r="E141" s="7"/>
      <c r="F141" s="47">
        <v>64.4</v>
      </c>
      <c r="G141" s="65">
        <v>0.0</v>
      </c>
      <c r="H141" s="7"/>
      <c r="I141" s="47">
        <v>2.17</v>
      </c>
      <c r="J141" s="66">
        <f t="shared" si="1"/>
        <v>62.23</v>
      </c>
      <c r="K141" s="8"/>
      <c r="L141" s="7"/>
      <c r="M141" s="7"/>
      <c r="N141" s="7"/>
      <c r="O141" s="7"/>
    </row>
    <row r="142">
      <c r="A142" s="45">
        <v>45948.00412037037</v>
      </c>
      <c r="B142" s="8" t="s">
        <v>241</v>
      </c>
      <c r="C142" s="7" t="s">
        <v>96</v>
      </c>
      <c r="D142" s="64">
        <v>1.0</v>
      </c>
      <c r="E142" s="7"/>
      <c r="F142" s="47">
        <v>60.22</v>
      </c>
      <c r="G142" s="65">
        <v>0.0</v>
      </c>
      <c r="H142" s="7"/>
      <c r="I142" s="47">
        <v>2.05</v>
      </c>
      <c r="J142" s="66">
        <f t="shared" si="1"/>
        <v>58.17</v>
      </c>
      <c r="K142" s="8"/>
      <c r="L142" s="7"/>
      <c r="M142" s="7"/>
      <c r="N142" s="7"/>
      <c r="O142" s="7"/>
    </row>
    <row r="143">
      <c r="A143" s="45">
        <v>45947.9783912037</v>
      </c>
      <c r="B143" s="8" t="s">
        <v>242</v>
      </c>
      <c r="C143" s="7" t="s">
        <v>96</v>
      </c>
      <c r="D143" s="64">
        <v>1.0</v>
      </c>
      <c r="E143" s="7"/>
      <c r="F143" s="47">
        <v>73.07</v>
      </c>
      <c r="G143" s="65">
        <v>0.0</v>
      </c>
      <c r="H143" s="7"/>
      <c r="I143" s="47">
        <v>3.52</v>
      </c>
      <c r="J143" s="66">
        <f t="shared" si="1"/>
        <v>69.55</v>
      </c>
      <c r="K143" s="8"/>
      <c r="L143" s="7"/>
      <c r="M143" s="7"/>
      <c r="N143" s="7"/>
      <c r="O143" s="7"/>
    </row>
    <row r="144">
      <c r="A144" s="45">
        <v>45947.97424768518</v>
      </c>
      <c r="B144" s="8" t="s">
        <v>243</v>
      </c>
      <c r="C144" s="7" t="s">
        <v>96</v>
      </c>
      <c r="D144" s="64">
        <v>1.0</v>
      </c>
      <c r="E144" s="7"/>
      <c r="F144" s="47">
        <v>60.22</v>
      </c>
      <c r="G144" s="65">
        <v>0.0</v>
      </c>
      <c r="H144" s="7"/>
      <c r="I144" s="47">
        <v>2.05</v>
      </c>
      <c r="J144" s="66">
        <f t="shared" si="1"/>
        <v>58.17</v>
      </c>
      <c r="K144" s="8"/>
      <c r="L144" s="7"/>
      <c r="M144" s="7"/>
      <c r="N144" s="7"/>
      <c r="O144" s="7"/>
    </row>
    <row r="145">
      <c r="A145" s="45">
        <v>45947.97275462963</v>
      </c>
      <c r="B145" s="8" t="s">
        <v>244</v>
      </c>
      <c r="C145" s="67" t="s">
        <v>98</v>
      </c>
      <c r="D145" s="64">
        <v>1.0</v>
      </c>
      <c r="E145" s="64">
        <v>1.0</v>
      </c>
      <c r="F145" s="47">
        <v>160.22</v>
      </c>
      <c r="G145" s="65">
        <v>0.0</v>
      </c>
      <c r="H145" s="7"/>
      <c r="I145" s="47">
        <v>4.95</v>
      </c>
      <c r="J145" s="66">
        <f t="shared" si="1"/>
        <v>155.27</v>
      </c>
      <c r="K145" s="8"/>
      <c r="L145" s="7"/>
      <c r="M145" s="7"/>
      <c r="N145" s="7"/>
      <c r="O145" s="7"/>
    </row>
    <row r="146">
      <c r="A146" s="45">
        <v>45947.95724537037</v>
      </c>
      <c r="B146" s="8" t="s">
        <v>245</v>
      </c>
      <c r="C146" s="67" t="s">
        <v>98</v>
      </c>
      <c r="D146" s="64">
        <v>1.0</v>
      </c>
      <c r="E146" s="64">
        <v>1.0</v>
      </c>
      <c r="F146" s="47">
        <v>160.22</v>
      </c>
      <c r="G146" s="65">
        <v>0.0</v>
      </c>
      <c r="H146" s="7"/>
      <c r="I146" s="47">
        <v>4.95</v>
      </c>
      <c r="J146" s="66">
        <f t="shared" si="1"/>
        <v>155.27</v>
      </c>
      <c r="K146" s="8"/>
      <c r="L146" s="7"/>
      <c r="M146" s="7"/>
      <c r="N146" s="7"/>
      <c r="O146" s="7"/>
    </row>
    <row r="147">
      <c r="A147" s="45">
        <v>45947.95579861111</v>
      </c>
      <c r="B147" s="8" t="s">
        <v>246</v>
      </c>
      <c r="C147" s="67" t="s">
        <v>98</v>
      </c>
      <c r="D147" s="64">
        <v>1.0</v>
      </c>
      <c r="E147" s="64">
        <v>1.0</v>
      </c>
      <c r="F147" s="47">
        <v>191.4</v>
      </c>
      <c r="G147" s="65">
        <v>0.0</v>
      </c>
      <c r="H147" s="7"/>
      <c r="I147" s="47">
        <v>8.72</v>
      </c>
      <c r="J147" s="66">
        <f t="shared" si="1"/>
        <v>182.68</v>
      </c>
      <c r="K147" s="8"/>
      <c r="L147" s="7"/>
      <c r="M147" s="7"/>
      <c r="N147" s="7"/>
      <c r="O147" s="7"/>
    </row>
    <row r="148">
      <c r="A148" s="45">
        <v>45947.94163194444</v>
      </c>
      <c r="B148" s="8" t="s">
        <v>247</v>
      </c>
      <c r="C148" s="7" t="s">
        <v>96</v>
      </c>
      <c r="D148" s="64">
        <v>1.0</v>
      </c>
      <c r="E148" s="7"/>
      <c r="F148" s="47">
        <v>64.6</v>
      </c>
      <c r="G148" s="65">
        <v>0.0</v>
      </c>
      <c r="H148" s="7"/>
      <c r="I148" s="47">
        <v>2.17</v>
      </c>
      <c r="J148" s="66">
        <f t="shared" si="1"/>
        <v>62.43</v>
      </c>
      <c r="K148" s="8"/>
      <c r="L148" s="7"/>
      <c r="M148" s="7"/>
      <c r="N148" s="7"/>
      <c r="O148" s="7"/>
    </row>
    <row r="149">
      <c r="A149" s="45">
        <v>45947.916608796295</v>
      </c>
      <c r="B149" s="8" t="s">
        <v>248</v>
      </c>
      <c r="C149" s="7" t="s">
        <v>96</v>
      </c>
      <c r="D149" s="64">
        <v>1.0</v>
      </c>
      <c r="E149" s="7"/>
      <c r="F149" s="47">
        <v>81.14</v>
      </c>
      <c r="G149" s="65">
        <v>0.0</v>
      </c>
      <c r="H149" s="7"/>
      <c r="I149" s="47">
        <v>3.87</v>
      </c>
      <c r="J149" s="66">
        <f t="shared" si="1"/>
        <v>77.27</v>
      </c>
      <c r="K149" s="8"/>
      <c r="L149" s="7"/>
      <c r="M149" s="7"/>
      <c r="N149" s="7"/>
      <c r="O149" s="7"/>
    </row>
    <row r="150">
      <c r="A150" s="45">
        <v>45947.908483796295</v>
      </c>
      <c r="B150" s="8" t="s">
        <v>249</v>
      </c>
      <c r="C150" s="7" t="s">
        <v>96</v>
      </c>
      <c r="D150" s="64">
        <v>1.0</v>
      </c>
      <c r="E150" s="7"/>
      <c r="F150" s="47">
        <v>60.22</v>
      </c>
      <c r="G150" s="65">
        <v>0.0</v>
      </c>
      <c r="H150" s="7"/>
      <c r="I150" s="47">
        <v>2.05</v>
      </c>
      <c r="J150" s="66">
        <f t="shared" si="1"/>
        <v>58.17</v>
      </c>
      <c r="K150" s="8"/>
      <c r="L150" s="7"/>
      <c r="M150" s="7"/>
      <c r="N150" s="7"/>
      <c r="O150" s="7"/>
    </row>
    <row r="151">
      <c r="A151" s="45">
        <v>45947.90666666667</v>
      </c>
      <c r="B151" s="8" t="s">
        <v>250</v>
      </c>
      <c r="C151" s="7" t="s">
        <v>96</v>
      </c>
      <c r="D151" s="64">
        <v>1.0</v>
      </c>
      <c r="E151" s="7"/>
      <c r="F151" s="47">
        <v>76.98</v>
      </c>
      <c r="G151" s="65">
        <v>0.0</v>
      </c>
      <c r="H151" s="7"/>
      <c r="I151" s="47">
        <v>3.69</v>
      </c>
      <c r="J151" s="66">
        <f t="shared" si="1"/>
        <v>73.29</v>
      </c>
      <c r="K151" s="8"/>
      <c r="L151" s="7"/>
      <c r="M151" s="7"/>
      <c r="N151" s="7"/>
      <c r="O151" s="7"/>
    </row>
    <row r="152">
      <c r="A152" s="45">
        <v>45947.90591435185</v>
      </c>
      <c r="B152" s="8" t="s">
        <v>251</v>
      </c>
      <c r="C152" s="7" t="s">
        <v>96</v>
      </c>
      <c r="D152" s="64">
        <v>1.0</v>
      </c>
      <c r="E152" s="7"/>
      <c r="F152" s="47">
        <v>60.22</v>
      </c>
      <c r="G152" s="65">
        <v>0.0</v>
      </c>
      <c r="H152" s="7"/>
      <c r="I152" s="47">
        <v>2.95</v>
      </c>
      <c r="J152" s="66">
        <f t="shared" si="1"/>
        <v>57.27</v>
      </c>
      <c r="K152" s="8"/>
      <c r="L152" s="7"/>
      <c r="M152" s="7"/>
      <c r="N152" s="7"/>
      <c r="O152" s="7"/>
    </row>
    <row r="153">
      <c r="A153" s="45">
        <v>45947.896944444445</v>
      </c>
      <c r="B153" s="8" t="s">
        <v>252</v>
      </c>
      <c r="C153" s="67" t="s">
        <v>98</v>
      </c>
      <c r="D153" s="64">
        <v>1.0</v>
      </c>
      <c r="E153" s="64">
        <v>1.0</v>
      </c>
      <c r="F153" s="47">
        <v>167.4</v>
      </c>
      <c r="G153" s="65">
        <v>0.0</v>
      </c>
      <c r="H153" s="7"/>
      <c r="I153" s="47">
        <v>5.15</v>
      </c>
      <c r="J153" s="66">
        <f t="shared" si="1"/>
        <v>162.25</v>
      </c>
      <c r="K153" s="8"/>
      <c r="L153" s="7"/>
      <c r="M153" s="7"/>
      <c r="N153" s="7"/>
      <c r="O153" s="7"/>
    </row>
    <row r="154">
      <c r="A154" s="45">
        <v>45947.89616898148</v>
      </c>
      <c r="B154" s="8" t="s">
        <v>253</v>
      </c>
      <c r="C154" s="7" t="s">
        <v>96</v>
      </c>
      <c r="D154" s="64">
        <v>1.0</v>
      </c>
      <c r="E154" s="7"/>
      <c r="F154" s="47">
        <v>60.22</v>
      </c>
      <c r="G154" s="65">
        <v>0.0</v>
      </c>
      <c r="H154" s="7"/>
      <c r="I154" s="47">
        <v>2.05</v>
      </c>
      <c r="J154" s="66">
        <f t="shared" si="1"/>
        <v>58.17</v>
      </c>
      <c r="K154" s="8"/>
      <c r="L154" s="7"/>
      <c r="M154" s="7"/>
      <c r="N154" s="7"/>
      <c r="O154" s="7"/>
    </row>
    <row r="155">
      <c r="A155" s="45">
        <v>45947.89065972222</v>
      </c>
      <c r="B155" s="8" t="s">
        <v>254</v>
      </c>
      <c r="C155" s="7" t="s">
        <v>96</v>
      </c>
      <c r="D155" s="64">
        <v>1.0</v>
      </c>
      <c r="E155" s="7"/>
      <c r="F155" s="47">
        <v>60.22</v>
      </c>
      <c r="G155" s="65">
        <v>0.0</v>
      </c>
      <c r="H155" s="7"/>
      <c r="I155" s="47">
        <v>2.05</v>
      </c>
      <c r="J155" s="66">
        <f t="shared" si="1"/>
        <v>58.17</v>
      </c>
      <c r="K155" s="8"/>
      <c r="L155" s="7"/>
      <c r="M155" s="7"/>
      <c r="N155" s="7"/>
      <c r="O155" s="7"/>
    </row>
    <row r="156">
      <c r="A156" s="45">
        <v>45947.88849537037</v>
      </c>
      <c r="B156" s="8" t="s">
        <v>255</v>
      </c>
      <c r="C156" s="7" t="s">
        <v>96</v>
      </c>
      <c r="D156" s="64">
        <v>1.0</v>
      </c>
      <c r="E156" s="7"/>
      <c r="F156" s="47">
        <v>86.13</v>
      </c>
      <c r="G156" s="65">
        <v>0.0</v>
      </c>
      <c r="H156" s="7"/>
      <c r="I156" s="47">
        <v>4.09</v>
      </c>
      <c r="J156" s="66">
        <f t="shared" si="1"/>
        <v>82.04</v>
      </c>
      <c r="K156" s="8"/>
      <c r="L156" s="7"/>
      <c r="M156" s="7"/>
      <c r="N156" s="7"/>
      <c r="O156" s="7"/>
    </row>
    <row r="157">
      <c r="A157" s="45">
        <v>45947.87930555556</v>
      </c>
      <c r="B157" s="8" t="s">
        <v>256</v>
      </c>
      <c r="C157" s="67" t="s">
        <v>98</v>
      </c>
      <c r="D157" s="64">
        <v>1.0</v>
      </c>
      <c r="E157" s="64">
        <v>1.0</v>
      </c>
      <c r="F157" s="47">
        <v>160.22</v>
      </c>
      <c r="G157" s="65">
        <v>0.0</v>
      </c>
      <c r="H157" s="7"/>
      <c r="I157" s="47">
        <v>4.95</v>
      </c>
      <c r="J157" s="66">
        <f t="shared" si="1"/>
        <v>155.27</v>
      </c>
      <c r="K157" s="8"/>
      <c r="L157" s="7"/>
      <c r="M157" s="7"/>
      <c r="N157" s="7"/>
      <c r="O157" s="7"/>
    </row>
    <row r="158">
      <c r="A158" s="45">
        <v>45947.87532407408</v>
      </c>
      <c r="B158" s="8" t="s">
        <v>257</v>
      </c>
      <c r="C158" s="7" t="s">
        <v>96</v>
      </c>
      <c r="D158" s="64">
        <v>1.0</v>
      </c>
      <c r="E158" s="7"/>
      <c r="F158" s="47">
        <v>67.74</v>
      </c>
      <c r="G158" s="65">
        <v>0.0</v>
      </c>
      <c r="H158" s="7"/>
      <c r="I158" s="47">
        <v>2.26</v>
      </c>
      <c r="J158" s="66">
        <f t="shared" si="1"/>
        <v>65.48</v>
      </c>
      <c r="K158" s="8"/>
      <c r="L158" s="7"/>
      <c r="M158" s="7"/>
      <c r="N158" s="7"/>
      <c r="O158" s="7"/>
    </row>
    <row r="159">
      <c r="A159" s="68">
        <v>45947.86502314815</v>
      </c>
      <c r="B159" s="69" t="s">
        <v>258</v>
      </c>
      <c r="C159" s="70"/>
      <c r="D159" s="71"/>
      <c r="E159" s="71">
        <v>1.0</v>
      </c>
      <c r="F159" s="72">
        <v>100.0</v>
      </c>
      <c r="G159" s="73">
        <v>0.0</v>
      </c>
      <c r="H159" s="70" t="s">
        <v>259</v>
      </c>
      <c r="I159" s="47">
        <v>3.2</v>
      </c>
      <c r="J159" s="66">
        <f t="shared" si="1"/>
        <v>96.8</v>
      </c>
      <c r="K159" s="8"/>
      <c r="L159" s="7"/>
      <c r="M159" s="7"/>
      <c r="N159" s="7"/>
      <c r="O159" s="7"/>
    </row>
    <row r="160">
      <c r="A160" s="45">
        <v>45947.864282407405</v>
      </c>
      <c r="B160" s="8" t="s">
        <v>260</v>
      </c>
      <c r="C160" s="7" t="s">
        <v>96</v>
      </c>
      <c r="D160" s="64">
        <v>1.0</v>
      </c>
      <c r="E160" s="7"/>
      <c r="F160" s="47">
        <v>60.22</v>
      </c>
      <c r="G160" s="65">
        <v>0.0</v>
      </c>
      <c r="H160" s="7"/>
      <c r="I160" s="47">
        <v>2.05</v>
      </c>
      <c r="J160" s="66">
        <f t="shared" si="1"/>
        <v>58.17</v>
      </c>
      <c r="K160" s="8"/>
      <c r="L160" s="7"/>
      <c r="M160" s="7"/>
      <c r="N160" s="7"/>
      <c r="O160" s="7"/>
    </row>
    <row r="161">
      <c r="A161" s="45">
        <v>45947.85959490741</v>
      </c>
      <c r="B161" s="8" t="s">
        <v>261</v>
      </c>
      <c r="C161" s="67" t="s">
        <v>98</v>
      </c>
      <c r="D161" s="64">
        <v>1.0</v>
      </c>
      <c r="E161" s="64">
        <v>1.0</v>
      </c>
      <c r="F161" s="47">
        <v>166.8</v>
      </c>
      <c r="G161" s="65">
        <v>0.0</v>
      </c>
      <c r="H161" s="7"/>
      <c r="I161" s="47">
        <v>5.14</v>
      </c>
      <c r="J161" s="66">
        <f t="shared" si="1"/>
        <v>161.66</v>
      </c>
      <c r="K161" s="8"/>
      <c r="L161" s="7"/>
      <c r="M161" s="7"/>
      <c r="N161" s="7"/>
      <c r="O161" s="7"/>
    </row>
    <row r="162">
      <c r="A162" s="45">
        <v>45947.84622685185</v>
      </c>
      <c r="B162" s="8" t="s">
        <v>262</v>
      </c>
      <c r="C162" s="7" t="s">
        <v>96</v>
      </c>
      <c r="D162" s="64">
        <v>1.0</v>
      </c>
      <c r="E162" s="7"/>
      <c r="F162" s="47">
        <v>73.14</v>
      </c>
      <c r="G162" s="65">
        <v>0.0</v>
      </c>
      <c r="H162" s="7"/>
      <c r="I162" s="47">
        <v>3.52</v>
      </c>
      <c r="J162" s="66">
        <f t="shared" si="1"/>
        <v>69.62</v>
      </c>
      <c r="K162" s="8"/>
      <c r="L162" s="7"/>
      <c r="M162" s="7"/>
      <c r="N162" s="7"/>
      <c r="O162" s="7"/>
    </row>
    <row r="163">
      <c r="A163" s="45">
        <v>45947.8440625</v>
      </c>
      <c r="B163" s="8" t="s">
        <v>263</v>
      </c>
      <c r="C163" s="67" t="s">
        <v>98</v>
      </c>
      <c r="D163" s="64">
        <v>1.0</v>
      </c>
      <c r="E163" s="64">
        <v>1.0</v>
      </c>
      <c r="F163" s="47">
        <v>160.22</v>
      </c>
      <c r="G163" s="65">
        <v>0.0</v>
      </c>
      <c r="H163" s="7"/>
      <c r="I163" s="47">
        <v>7.35</v>
      </c>
      <c r="J163" s="66">
        <f t="shared" si="1"/>
        <v>152.87</v>
      </c>
      <c r="K163" s="8"/>
      <c r="L163" s="7"/>
      <c r="M163" s="7"/>
      <c r="N163" s="7"/>
      <c r="O163" s="7"/>
    </row>
    <row r="164">
      <c r="A164" s="45">
        <v>45947.844039351854</v>
      </c>
      <c r="B164" s="8" t="s">
        <v>264</v>
      </c>
      <c r="C164" s="7" t="s">
        <v>96</v>
      </c>
      <c r="D164" s="64">
        <v>1.0</v>
      </c>
      <c r="E164" s="7"/>
      <c r="F164" s="47">
        <v>60.22</v>
      </c>
      <c r="G164" s="65">
        <v>0.0</v>
      </c>
      <c r="H164" s="7"/>
      <c r="I164" s="47">
        <v>2.05</v>
      </c>
      <c r="J164" s="66">
        <f t="shared" si="1"/>
        <v>58.17</v>
      </c>
      <c r="K164" s="8"/>
      <c r="L164" s="7"/>
      <c r="M164" s="7"/>
      <c r="N164" s="7"/>
      <c r="O164" s="7"/>
    </row>
    <row r="165">
      <c r="A165" s="45">
        <v>45947.83179398148</v>
      </c>
      <c r="B165" s="8" t="s">
        <v>265</v>
      </c>
      <c r="C165" s="7" t="s">
        <v>96</v>
      </c>
      <c r="D165" s="64">
        <v>1.0</v>
      </c>
      <c r="E165" s="7"/>
      <c r="F165" s="47">
        <v>73.05</v>
      </c>
      <c r="G165" s="65">
        <v>0.0</v>
      </c>
      <c r="H165" s="7"/>
      <c r="I165" s="47">
        <v>3.51</v>
      </c>
      <c r="J165" s="66">
        <f t="shared" si="1"/>
        <v>69.54</v>
      </c>
      <c r="K165" s="8"/>
      <c r="L165" s="7"/>
      <c r="M165" s="7"/>
      <c r="N165" s="7"/>
      <c r="O165" s="7"/>
    </row>
    <row r="166">
      <c r="A166" s="45">
        <v>45947.827418981484</v>
      </c>
      <c r="B166" s="8" t="s">
        <v>266</v>
      </c>
      <c r="C166" s="7" t="s">
        <v>96</v>
      </c>
      <c r="D166" s="64">
        <v>1.0</v>
      </c>
      <c r="E166" s="7"/>
      <c r="F166" s="47">
        <v>60.22</v>
      </c>
      <c r="G166" s="65">
        <v>0.0</v>
      </c>
      <c r="H166" s="7"/>
      <c r="I166" s="47">
        <v>2.05</v>
      </c>
      <c r="J166" s="66">
        <f t="shared" si="1"/>
        <v>58.17</v>
      </c>
      <c r="K166" s="8"/>
      <c r="L166" s="7"/>
      <c r="M166" s="7"/>
      <c r="N166" s="7"/>
      <c r="O166" s="7"/>
    </row>
    <row r="167">
      <c r="A167" s="45">
        <v>45947.82517361111</v>
      </c>
      <c r="B167" s="8" t="s">
        <v>267</v>
      </c>
      <c r="C167" s="7" t="s">
        <v>96</v>
      </c>
      <c r="D167" s="64">
        <v>1.0</v>
      </c>
      <c r="E167" s="7"/>
      <c r="F167" s="47">
        <v>63.85</v>
      </c>
      <c r="G167" s="65">
        <v>0.0</v>
      </c>
      <c r="H167" s="7"/>
      <c r="I167" s="47">
        <v>2.15</v>
      </c>
      <c r="J167" s="66">
        <f t="shared" si="1"/>
        <v>61.7</v>
      </c>
      <c r="K167" s="8"/>
      <c r="L167" s="7"/>
      <c r="M167" s="7"/>
      <c r="N167" s="7"/>
      <c r="O167" s="7"/>
    </row>
    <row r="168">
      <c r="A168" s="45">
        <v>45947.82300925926</v>
      </c>
      <c r="B168" s="8" t="s">
        <v>268</v>
      </c>
      <c r="C168" s="7" t="s">
        <v>96</v>
      </c>
      <c r="D168" s="64">
        <v>1.0</v>
      </c>
      <c r="E168" s="7"/>
      <c r="F168" s="47">
        <v>60.22</v>
      </c>
      <c r="G168" s="65">
        <v>0.0</v>
      </c>
      <c r="H168" s="7"/>
      <c r="I168" s="47">
        <v>2.05</v>
      </c>
      <c r="J168" s="66">
        <f t="shared" si="1"/>
        <v>58.17</v>
      </c>
      <c r="K168" s="8"/>
      <c r="L168" s="7"/>
      <c r="M168" s="7"/>
      <c r="N168" s="7"/>
      <c r="O168" s="7"/>
    </row>
    <row r="169">
      <c r="A169" s="45">
        <v>45947.81466435185</v>
      </c>
      <c r="B169" s="8" t="s">
        <v>269</v>
      </c>
      <c r="C169" s="7" t="s">
        <v>96</v>
      </c>
      <c r="D169" s="64">
        <v>1.0</v>
      </c>
      <c r="E169" s="7"/>
      <c r="F169" s="47">
        <v>60.22</v>
      </c>
      <c r="G169" s="65">
        <v>0.0</v>
      </c>
      <c r="H169" s="7"/>
      <c r="I169" s="47">
        <v>2.05</v>
      </c>
      <c r="J169" s="66">
        <f t="shared" si="1"/>
        <v>58.17</v>
      </c>
      <c r="K169" s="8"/>
      <c r="L169" s="7"/>
      <c r="M169" s="7"/>
      <c r="N169" s="7"/>
      <c r="O169" s="7"/>
    </row>
    <row r="170">
      <c r="A170" s="45">
        <v>45947.8124537037</v>
      </c>
      <c r="B170" s="8" t="s">
        <v>270</v>
      </c>
      <c r="C170" s="7" t="s">
        <v>96</v>
      </c>
      <c r="D170" s="64">
        <v>1.0</v>
      </c>
      <c r="E170" s="7"/>
      <c r="F170" s="47">
        <v>65.1</v>
      </c>
      <c r="G170" s="65">
        <v>0.0</v>
      </c>
      <c r="H170" s="7"/>
      <c r="I170" s="47">
        <v>2.19</v>
      </c>
      <c r="J170" s="66">
        <f t="shared" si="1"/>
        <v>62.91</v>
      </c>
      <c r="K170" s="8"/>
      <c r="L170" s="7"/>
      <c r="M170" s="7"/>
      <c r="N170" s="7"/>
      <c r="O170" s="7"/>
    </row>
    <row r="171">
      <c r="A171" s="45">
        <v>45947.81182870371</v>
      </c>
      <c r="B171" s="8" t="s">
        <v>271</v>
      </c>
      <c r="C171" s="7" t="s">
        <v>96</v>
      </c>
      <c r="D171" s="64">
        <v>1.0</v>
      </c>
      <c r="E171" s="7"/>
      <c r="F171" s="47">
        <v>60.22</v>
      </c>
      <c r="G171" s="65">
        <v>0.0</v>
      </c>
      <c r="H171" s="7"/>
      <c r="I171" s="47">
        <v>2.05</v>
      </c>
      <c r="J171" s="66">
        <f t="shared" si="1"/>
        <v>58.17</v>
      </c>
      <c r="K171" s="8"/>
      <c r="L171" s="7"/>
      <c r="M171" s="7"/>
      <c r="N171" s="7"/>
      <c r="O171" s="7"/>
    </row>
    <row r="172">
      <c r="A172" s="45">
        <v>45947.809907407405</v>
      </c>
      <c r="B172" s="8" t="s">
        <v>272</v>
      </c>
      <c r="C172" s="67" t="s">
        <v>98</v>
      </c>
      <c r="D172" s="64">
        <v>1.0</v>
      </c>
      <c r="E172" s="64">
        <v>1.0</v>
      </c>
      <c r="F172" s="47">
        <v>173.07</v>
      </c>
      <c r="G172" s="65">
        <v>0.0</v>
      </c>
      <c r="H172" s="7"/>
      <c r="I172" s="47">
        <v>7.92</v>
      </c>
      <c r="J172" s="66">
        <f t="shared" si="1"/>
        <v>165.15</v>
      </c>
      <c r="K172" s="8"/>
      <c r="L172" s="7"/>
      <c r="M172" s="7"/>
      <c r="N172" s="7"/>
      <c r="O172" s="7"/>
    </row>
    <row r="173">
      <c r="A173" s="45">
        <v>45947.80978009259</v>
      </c>
      <c r="B173" s="8" t="s">
        <v>273</v>
      </c>
      <c r="C173" s="7" t="s">
        <v>96</v>
      </c>
      <c r="D173" s="64">
        <v>1.0</v>
      </c>
      <c r="E173" s="7"/>
      <c r="F173" s="47">
        <v>60.22</v>
      </c>
      <c r="G173" s="65">
        <v>0.0</v>
      </c>
      <c r="H173" s="7"/>
      <c r="I173" s="47">
        <v>2.05</v>
      </c>
      <c r="J173" s="66">
        <f t="shared" si="1"/>
        <v>58.17</v>
      </c>
      <c r="K173" s="8"/>
      <c r="L173" s="7"/>
      <c r="M173" s="7"/>
      <c r="N173" s="7"/>
      <c r="O173" s="7"/>
    </row>
    <row r="174">
      <c r="A174" s="45">
        <v>45947.80850694444</v>
      </c>
      <c r="B174" s="8" t="s">
        <v>274</v>
      </c>
      <c r="C174" s="7" t="s">
        <v>96</v>
      </c>
      <c r="D174" s="64">
        <v>1.0</v>
      </c>
      <c r="E174" s="7"/>
      <c r="F174" s="47">
        <v>60.22</v>
      </c>
      <c r="G174" s="65">
        <v>0.0</v>
      </c>
      <c r="H174" s="7"/>
      <c r="I174" s="47">
        <v>2.05</v>
      </c>
      <c r="J174" s="66">
        <f t="shared" si="1"/>
        <v>58.17</v>
      </c>
      <c r="K174" s="8"/>
      <c r="L174" s="7"/>
      <c r="M174" s="7"/>
      <c r="N174" s="7"/>
      <c r="O174" s="7"/>
    </row>
    <row r="175">
      <c r="A175" s="45">
        <v>45947.80432870371</v>
      </c>
      <c r="B175" s="8" t="s">
        <v>275</v>
      </c>
      <c r="C175" s="67" t="s">
        <v>98</v>
      </c>
      <c r="D175" s="64">
        <v>1.0</v>
      </c>
      <c r="E175" s="64">
        <v>1.0</v>
      </c>
      <c r="F175" s="47">
        <v>160.22</v>
      </c>
      <c r="G175" s="65">
        <v>0.0</v>
      </c>
      <c r="H175" s="7"/>
      <c r="I175" s="47">
        <v>4.95</v>
      </c>
      <c r="J175" s="66">
        <f t="shared" si="1"/>
        <v>155.27</v>
      </c>
      <c r="K175" s="8"/>
      <c r="L175" s="7"/>
      <c r="M175" s="7"/>
      <c r="N175" s="7"/>
      <c r="O175" s="7"/>
    </row>
    <row r="176">
      <c r="A176" s="45">
        <v>45947.80228009259</v>
      </c>
      <c r="B176" s="8" t="s">
        <v>276</v>
      </c>
      <c r="C176" s="67" t="s">
        <v>98</v>
      </c>
      <c r="D176" s="64">
        <v>1.0</v>
      </c>
      <c r="E176" s="64">
        <v>1.0</v>
      </c>
      <c r="F176" s="47">
        <v>186.0</v>
      </c>
      <c r="G176" s="65">
        <v>0.0</v>
      </c>
      <c r="H176" s="7"/>
      <c r="I176" s="47">
        <v>8.48</v>
      </c>
      <c r="J176" s="66">
        <f t="shared" si="1"/>
        <v>177.52</v>
      </c>
      <c r="K176" s="8"/>
      <c r="L176" s="7"/>
      <c r="M176" s="7"/>
      <c r="N176" s="7"/>
      <c r="O176" s="7"/>
    </row>
    <row r="177">
      <c r="A177" s="45">
        <v>45947.802141203705</v>
      </c>
      <c r="B177" s="8" t="s">
        <v>277</v>
      </c>
      <c r="C177" s="7" t="s">
        <v>96</v>
      </c>
      <c r="D177" s="64">
        <v>1.0</v>
      </c>
      <c r="E177" s="7"/>
      <c r="F177" s="47">
        <v>91.4</v>
      </c>
      <c r="G177" s="65">
        <v>0.0</v>
      </c>
      <c r="H177" s="7"/>
      <c r="I177" s="47">
        <v>4.32</v>
      </c>
      <c r="J177" s="66">
        <f t="shared" si="1"/>
        <v>87.08</v>
      </c>
      <c r="K177" s="8"/>
      <c r="L177" s="7"/>
      <c r="M177" s="7"/>
      <c r="N177" s="7"/>
      <c r="O177" s="7"/>
    </row>
    <row r="178">
      <c r="A178" s="45">
        <v>45947.80152777778</v>
      </c>
      <c r="B178" s="8" t="s">
        <v>278</v>
      </c>
      <c r="C178" s="7" t="s">
        <v>96</v>
      </c>
      <c r="D178" s="64">
        <v>1.0</v>
      </c>
      <c r="E178" s="7"/>
      <c r="F178" s="47">
        <v>60.22</v>
      </c>
      <c r="G178" s="65">
        <v>0.0</v>
      </c>
      <c r="H178" s="7"/>
      <c r="I178" s="47">
        <v>2.05</v>
      </c>
      <c r="J178" s="66">
        <f t="shared" si="1"/>
        <v>58.17</v>
      </c>
      <c r="K178" s="8"/>
      <c r="L178" s="7"/>
      <c r="M178" s="7"/>
      <c r="N178" s="7"/>
      <c r="O178" s="7"/>
    </row>
    <row r="179">
      <c r="A179" s="45">
        <v>45947.800671296296</v>
      </c>
      <c r="B179" s="8" t="s">
        <v>279</v>
      </c>
      <c r="C179" s="7" t="s">
        <v>96</v>
      </c>
      <c r="D179" s="64">
        <v>1.0</v>
      </c>
      <c r="E179" s="7"/>
      <c r="F179" s="47">
        <v>63.23</v>
      </c>
      <c r="G179" s="65">
        <v>0.0</v>
      </c>
      <c r="H179" s="7"/>
      <c r="I179" s="47">
        <v>2.13</v>
      </c>
      <c r="J179" s="66">
        <f t="shared" si="1"/>
        <v>61.1</v>
      </c>
      <c r="K179" s="8"/>
      <c r="L179" s="7"/>
      <c r="M179" s="7"/>
      <c r="N179" s="7"/>
      <c r="O179" s="7"/>
    </row>
    <row r="180">
      <c r="A180" s="45">
        <v>45947.80006944444</v>
      </c>
      <c r="B180" s="8" t="s">
        <v>280</v>
      </c>
      <c r="C180" s="7" t="s">
        <v>96</v>
      </c>
      <c r="D180" s="64">
        <v>1.0</v>
      </c>
      <c r="E180" s="7"/>
      <c r="F180" s="47">
        <v>82.92</v>
      </c>
      <c r="G180" s="65">
        <v>0.0</v>
      </c>
      <c r="H180" s="7"/>
      <c r="I180" s="47">
        <v>3.95</v>
      </c>
      <c r="J180" s="66">
        <f t="shared" si="1"/>
        <v>78.97</v>
      </c>
      <c r="K180" s="8"/>
      <c r="L180" s="7"/>
      <c r="M180" s="7"/>
      <c r="N180" s="7"/>
      <c r="O180" s="7"/>
    </row>
    <row r="181">
      <c r="A181" s="45">
        <v>45947.79954861111</v>
      </c>
      <c r="B181" s="8" t="s">
        <v>281</v>
      </c>
      <c r="C181" s="7" t="s">
        <v>96</v>
      </c>
      <c r="D181" s="64">
        <v>1.0</v>
      </c>
      <c r="E181" s="7"/>
      <c r="F181" s="47">
        <v>60.22</v>
      </c>
      <c r="G181" s="65">
        <v>0.0</v>
      </c>
      <c r="H181" s="7"/>
      <c r="I181" s="47">
        <v>2.05</v>
      </c>
      <c r="J181" s="66">
        <f t="shared" si="1"/>
        <v>58.17</v>
      </c>
      <c r="K181" s="8"/>
      <c r="L181" s="7"/>
      <c r="M181" s="7"/>
      <c r="N181" s="7"/>
      <c r="O181" s="7"/>
    </row>
    <row r="182">
      <c r="A182" s="45">
        <v>45947.796944444446</v>
      </c>
      <c r="B182" s="8" t="s">
        <v>282</v>
      </c>
      <c r="C182" s="7" t="s">
        <v>96</v>
      </c>
      <c r="D182" s="64">
        <v>1.0</v>
      </c>
      <c r="E182" s="7"/>
      <c r="F182" s="47">
        <v>60.22</v>
      </c>
      <c r="G182" s="65">
        <v>0.0</v>
      </c>
      <c r="H182" s="7"/>
      <c r="I182" s="47">
        <v>2.05</v>
      </c>
      <c r="J182" s="66">
        <f t="shared" si="1"/>
        <v>58.17</v>
      </c>
      <c r="K182" s="8"/>
      <c r="L182" s="7"/>
      <c r="M182" s="7"/>
      <c r="N182" s="7"/>
      <c r="O182" s="7"/>
    </row>
    <row r="183">
      <c r="A183" s="45">
        <v>45947.79199074074</v>
      </c>
      <c r="B183" s="8" t="s">
        <v>283</v>
      </c>
      <c r="C183" s="7" t="s">
        <v>96</v>
      </c>
      <c r="D183" s="64">
        <v>1.0</v>
      </c>
      <c r="E183" s="7"/>
      <c r="F183" s="47">
        <v>60.22</v>
      </c>
      <c r="G183" s="65">
        <v>0.0</v>
      </c>
      <c r="H183" s="7"/>
      <c r="I183" s="47">
        <v>2.05</v>
      </c>
      <c r="J183" s="66">
        <f t="shared" si="1"/>
        <v>58.17</v>
      </c>
      <c r="K183" s="8"/>
      <c r="L183" s="7"/>
      <c r="M183" s="7"/>
      <c r="N183" s="7"/>
      <c r="O183" s="7"/>
    </row>
    <row r="184">
      <c r="A184" s="45">
        <v>45947.791666666664</v>
      </c>
      <c r="B184" s="8" t="s">
        <v>284</v>
      </c>
      <c r="C184" s="7" t="s">
        <v>96</v>
      </c>
      <c r="D184" s="64">
        <v>1.0</v>
      </c>
      <c r="E184" s="7"/>
      <c r="F184" s="47">
        <v>60.22</v>
      </c>
      <c r="G184" s="65">
        <v>0.0</v>
      </c>
      <c r="H184" s="7"/>
      <c r="I184" s="47">
        <v>2.05</v>
      </c>
      <c r="J184" s="66">
        <f t="shared" si="1"/>
        <v>58.17</v>
      </c>
      <c r="K184" s="8"/>
      <c r="L184" s="7"/>
      <c r="M184" s="7"/>
      <c r="N184" s="7"/>
      <c r="O184" s="7"/>
    </row>
    <row r="185">
      <c r="A185" s="45">
        <v>45947.787453703706</v>
      </c>
      <c r="B185" s="8" t="s">
        <v>285</v>
      </c>
      <c r="C185" s="7" t="s">
        <v>96</v>
      </c>
      <c r="D185" s="64">
        <v>1.0</v>
      </c>
      <c r="E185" s="7"/>
      <c r="F185" s="47">
        <v>80.27</v>
      </c>
      <c r="G185" s="65">
        <v>0.0</v>
      </c>
      <c r="H185" s="7"/>
      <c r="I185" s="47">
        <v>3.83</v>
      </c>
      <c r="J185" s="66">
        <f t="shared" si="1"/>
        <v>76.44</v>
      </c>
      <c r="K185" s="8"/>
      <c r="L185" s="7"/>
      <c r="M185" s="7"/>
      <c r="N185" s="7"/>
      <c r="O185" s="7"/>
    </row>
    <row r="186">
      <c r="A186" s="45">
        <v>45947.781331018516</v>
      </c>
      <c r="B186" s="8" t="s">
        <v>286</v>
      </c>
      <c r="C186" s="7" t="s">
        <v>96</v>
      </c>
      <c r="D186" s="64">
        <v>1.0</v>
      </c>
      <c r="E186" s="7"/>
      <c r="F186" s="47">
        <v>60.22</v>
      </c>
      <c r="G186" s="65">
        <v>0.0</v>
      </c>
      <c r="H186" s="7"/>
      <c r="I186" s="47">
        <v>2.05</v>
      </c>
      <c r="J186" s="66">
        <f t="shared" si="1"/>
        <v>58.17</v>
      </c>
      <c r="K186" s="8"/>
      <c r="L186" s="7"/>
      <c r="M186" s="7"/>
      <c r="N186" s="7"/>
      <c r="O186" s="7"/>
    </row>
    <row r="187">
      <c r="A187" s="45">
        <v>45947.781226851854</v>
      </c>
      <c r="B187" s="8" t="s">
        <v>287</v>
      </c>
      <c r="C187" s="7" t="s">
        <v>96</v>
      </c>
      <c r="D187" s="64">
        <v>1.0</v>
      </c>
      <c r="E187" s="7"/>
      <c r="F187" s="47">
        <v>60.22</v>
      </c>
      <c r="G187" s="65">
        <v>0.0</v>
      </c>
      <c r="H187" s="7"/>
      <c r="I187" s="47">
        <v>2.05</v>
      </c>
      <c r="J187" s="66">
        <f t="shared" si="1"/>
        <v>58.17</v>
      </c>
      <c r="K187" s="8"/>
      <c r="L187" s="7"/>
      <c r="M187" s="7"/>
      <c r="N187" s="7"/>
      <c r="O187" s="7"/>
    </row>
    <row r="188">
      <c r="A188" s="45">
        <v>45947.77989583334</v>
      </c>
      <c r="B188" s="8" t="s">
        <v>288</v>
      </c>
      <c r="C188" s="67" t="s">
        <v>98</v>
      </c>
      <c r="D188" s="64">
        <v>1.0</v>
      </c>
      <c r="E188" s="64">
        <v>1.0</v>
      </c>
      <c r="F188" s="47">
        <v>167.96</v>
      </c>
      <c r="G188" s="65">
        <v>0.0</v>
      </c>
      <c r="H188" s="7"/>
      <c r="I188" s="47">
        <v>5.17</v>
      </c>
      <c r="J188" s="66">
        <f t="shared" si="1"/>
        <v>162.79</v>
      </c>
      <c r="K188" s="8"/>
      <c r="L188" s="7"/>
      <c r="M188" s="7"/>
      <c r="N188" s="7"/>
      <c r="O188" s="7"/>
    </row>
    <row r="189">
      <c r="A189" s="45">
        <v>45947.7768287037</v>
      </c>
      <c r="B189" s="8" t="s">
        <v>289</v>
      </c>
      <c r="C189" s="7" t="s">
        <v>96</v>
      </c>
      <c r="D189" s="64">
        <v>1.0</v>
      </c>
      <c r="E189" s="7"/>
      <c r="F189" s="47">
        <v>60.22</v>
      </c>
      <c r="G189" s="65">
        <v>0.0</v>
      </c>
      <c r="H189" s="7"/>
      <c r="I189" s="47">
        <v>2.05</v>
      </c>
      <c r="J189" s="66">
        <f t="shared" si="1"/>
        <v>58.17</v>
      </c>
      <c r="K189" s="8"/>
      <c r="L189" s="7"/>
      <c r="M189" s="7"/>
      <c r="N189" s="7"/>
      <c r="O189" s="7"/>
    </row>
    <row r="190">
      <c r="A190" s="45">
        <v>45947.773460648146</v>
      </c>
      <c r="B190" s="8" t="s">
        <v>290</v>
      </c>
      <c r="C190" s="7" t="s">
        <v>96</v>
      </c>
      <c r="D190" s="64">
        <v>1.0</v>
      </c>
      <c r="E190" s="7"/>
      <c r="F190" s="47">
        <v>74.95</v>
      </c>
      <c r="G190" s="65">
        <v>0.0</v>
      </c>
      <c r="H190" s="7"/>
      <c r="I190" s="47">
        <v>3.6</v>
      </c>
      <c r="J190" s="66">
        <f t="shared" si="1"/>
        <v>71.35</v>
      </c>
      <c r="K190" s="8"/>
      <c r="L190" s="7"/>
      <c r="M190" s="7"/>
      <c r="N190" s="7"/>
      <c r="O190" s="7"/>
    </row>
    <row r="191">
      <c r="A191" s="45">
        <v>45947.77309027778</v>
      </c>
      <c r="B191" s="8" t="s">
        <v>291</v>
      </c>
      <c r="C191" s="7" t="s">
        <v>96</v>
      </c>
      <c r="D191" s="64">
        <v>1.0</v>
      </c>
      <c r="E191" s="7"/>
      <c r="F191" s="47">
        <v>60.22</v>
      </c>
      <c r="G191" s="65">
        <v>0.0</v>
      </c>
      <c r="H191" s="7"/>
      <c r="I191" s="47">
        <v>2.05</v>
      </c>
      <c r="J191" s="66">
        <f t="shared" si="1"/>
        <v>58.17</v>
      </c>
      <c r="K191" s="8"/>
      <c r="L191" s="7"/>
      <c r="M191" s="7"/>
      <c r="N191" s="7"/>
      <c r="O191" s="7"/>
    </row>
    <row r="192">
      <c r="A192" s="45">
        <v>45947.772199074076</v>
      </c>
      <c r="B192" s="8" t="s">
        <v>292</v>
      </c>
      <c r="C192" s="7" t="s">
        <v>96</v>
      </c>
      <c r="D192" s="64">
        <v>1.0</v>
      </c>
      <c r="E192" s="7"/>
      <c r="F192" s="47">
        <v>81.14</v>
      </c>
      <c r="G192" s="65">
        <v>0.0</v>
      </c>
      <c r="H192" s="7"/>
      <c r="I192" s="47">
        <v>3.87</v>
      </c>
      <c r="J192" s="66">
        <f t="shared" si="1"/>
        <v>77.27</v>
      </c>
      <c r="K192" s="8"/>
      <c r="L192" s="7"/>
      <c r="M192" s="7"/>
      <c r="N192" s="7"/>
      <c r="O192" s="7"/>
    </row>
    <row r="193">
      <c r="A193" s="45">
        <v>45947.77159722222</v>
      </c>
      <c r="B193" s="8" t="s">
        <v>293</v>
      </c>
      <c r="C193" s="7" t="s">
        <v>96</v>
      </c>
      <c r="D193" s="64">
        <v>1.0</v>
      </c>
      <c r="E193" s="7"/>
      <c r="F193" s="47">
        <v>81.14</v>
      </c>
      <c r="G193" s="65">
        <v>0.0</v>
      </c>
      <c r="H193" s="7"/>
      <c r="I193" s="47">
        <v>3.87</v>
      </c>
      <c r="J193" s="66">
        <f t="shared" si="1"/>
        <v>77.27</v>
      </c>
      <c r="K193" s="8"/>
      <c r="L193" s="7"/>
      <c r="M193" s="7"/>
      <c r="N193" s="7"/>
      <c r="O193" s="7"/>
    </row>
    <row r="194">
      <c r="A194" s="45">
        <v>45947.771319444444</v>
      </c>
      <c r="B194" s="8" t="s">
        <v>294</v>
      </c>
      <c r="C194" s="7" t="s">
        <v>96</v>
      </c>
      <c r="D194" s="64">
        <v>1.0</v>
      </c>
      <c r="E194" s="7"/>
      <c r="F194" s="47">
        <v>60.22</v>
      </c>
      <c r="G194" s="65">
        <v>0.0</v>
      </c>
      <c r="H194" s="7"/>
      <c r="I194" s="47">
        <v>2.95</v>
      </c>
      <c r="J194" s="66">
        <f t="shared" si="1"/>
        <v>57.27</v>
      </c>
      <c r="K194" s="8"/>
      <c r="L194" s="7"/>
      <c r="M194" s="7"/>
      <c r="N194" s="7"/>
      <c r="O194" s="7"/>
    </row>
    <row r="195">
      <c r="A195" s="45">
        <v>45947.7703125</v>
      </c>
      <c r="B195" s="8" t="s">
        <v>295</v>
      </c>
      <c r="C195" s="7" t="s">
        <v>96</v>
      </c>
      <c r="D195" s="64">
        <v>1.0</v>
      </c>
      <c r="E195" s="7"/>
      <c r="F195" s="47">
        <v>83.44</v>
      </c>
      <c r="G195" s="65">
        <v>0.0</v>
      </c>
      <c r="H195" s="7"/>
      <c r="I195" s="47">
        <v>3.97</v>
      </c>
      <c r="J195" s="66">
        <f t="shared" si="1"/>
        <v>79.47</v>
      </c>
      <c r="K195" s="8"/>
      <c r="L195" s="7"/>
      <c r="M195" s="7"/>
      <c r="N195" s="7"/>
      <c r="O195" s="7"/>
    </row>
    <row r="196">
      <c r="A196" s="45">
        <v>45947.7700462963</v>
      </c>
      <c r="B196" s="8" t="s">
        <v>296</v>
      </c>
      <c r="C196" s="7" t="s">
        <v>96</v>
      </c>
      <c r="D196" s="64">
        <v>1.0</v>
      </c>
      <c r="E196" s="7"/>
      <c r="F196" s="47">
        <v>81.14</v>
      </c>
      <c r="G196" s="65">
        <v>0.0</v>
      </c>
      <c r="H196" s="7"/>
      <c r="I196" s="47">
        <v>3.87</v>
      </c>
      <c r="J196" s="66">
        <f t="shared" si="1"/>
        <v>77.27</v>
      </c>
      <c r="K196" s="8"/>
      <c r="L196" s="7"/>
      <c r="M196" s="7"/>
      <c r="N196" s="7"/>
      <c r="O196" s="7"/>
    </row>
    <row r="197">
      <c r="A197" s="45">
        <v>45947.76241898148</v>
      </c>
      <c r="B197" s="8" t="s">
        <v>297</v>
      </c>
      <c r="C197" s="7" t="s">
        <v>96</v>
      </c>
      <c r="D197" s="64">
        <v>1.0</v>
      </c>
      <c r="E197" s="7"/>
      <c r="F197" s="47">
        <v>60.22</v>
      </c>
      <c r="G197" s="65">
        <v>0.0</v>
      </c>
      <c r="H197" s="7"/>
      <c r="I197" s="47">
        <v>2.05</v>
      </c>
      <c r="J197" s="66">
        <f t="shared" si="1"/>
        <v>58.17</v>
      </c>
      <c r="K197" s="8"/>
      <c r="L197" s="7"/>
      <c r="M197" s="7"/>
      <c r="N197" s="7"/>
      <c r="O197" s="7"/>
    </row>
    <row r="198">
      <c r="A198" s="45">
        <v>45947.76070601852</v>
      </c>
      <c r="B198" s="8" t="s">
        <v>298</v>
      </c>
      <c r="C198" s="7" t="s">
        <v>96</v>
      </c>
      <c r="D198" s="64">
        <v>1.0</v>
      </c>
      <c r="E198" s="7"/>
      <c r="F198" s="47">
        <v>60.22</v>
      </c>
      <c r="G198" s="65">
        <v>0.0</v>
      </c>
      <c r="H198" s="7"/>
      <c r="I198" s="47">
        <v>2.05</v>
      </c>
      <c r="J198" s="66">
        <f t="shared" si="1"/>
        <v>58.17</v>
      </c>
      <c r="K198" s="8"/>
      <c r="L198" s="7"/>
      <c r="M198" s="7"/>
      <c r="N198" s="7"/>
      <c r="O198" s="7"/>
    </row>
    <row r="199">
      <c r="A199" s="45">
        <v>45947.75892361111</v>
      </c>
      <c r="B199" s="8" t="s">
        <v>61</v>
      </c>
      <c r="C199" s="7" t="s">
        <v>96</v>
      </c>
      <c r="D199" s="64">
        <v>1.0</v>
      </c>
      <c r="E199" s="7"/>
      <c r="F199" s="47">
        <v>60.22</v>
      </c>
      <c r="G199" s="65">
        <v>0.0</v>
      </c>
      <c r="H199" s="7"/>
      <c r="I199" s="47">
        <v>2.05</v>
      </c>
      <c r="J199" s="66">
        <f t="shared" si="1"/>
        <v>58.17</v>
      </c>
      <c r="K199" s="8"/>
      <c r="L199" s="7"/>
      <c r="M199" s="7"/>
      <c r="N199" s="7"/>
      <c r="O199" s="7"/>
    </row>
    <row r="200">
      <c r="A200" s="45">
        <v>45947.756898148145</v>
      </c>
      <c r="B200" s="8" t="s">
        <v>299</v>
      </c>
      <c r="C200" s="67" t="s">
        <v>98</v>
      </c>
      <c r="D200" s="64">
        <v>1.0</v>
      </c>
      <c r="E200" s="64">
        <v>1.0</v>
      </c>
      <c r="F200" s="47">
        <v>181.97</v>
      </c>
      <c r="G200" s="65">
        <v>0.0</v>
      </c>
      <c r="H200" s="7"/>
      <c r="I200" s="47">
        <v>8.31</v>
      </c>
      <c r="J200" s="66">
        <f t="shared" si="1"/>
        <v>173.66</v>
      </c>
      <c r="K200" s="8"/>
      <c r="L200" s="7"/>
      <c r="M200" s="7"/>
      <c r="N200" s="7"/>
      <c r="O200" s="7"/>
    </row>
    <row r="201">
      <c r="A201" s="45">
        <v>45947.75675925926</v>
      </c>
      <c r="B201" s="8" t="s">
        <v>300</v>
      </c>
      <c r="C201" s="7" t="s">
        <v>96</v>
      </c>
      <c r="D201" s="64">
        <v>1.0</v>
      </c>
      <c r="E201" s="7"/>
      <c r="F201" s="47">
        <v>81.14</v>
      </c>
      <c r="G201" s="65">
        <v>0.0</v>
      </c>
      <c r="H201" s="7"/>
      <c r="I201" s="47">
        <v>3.87</v>
      </c>
      <c r="J201" s="66">
        <f t="shared" si="1"/>
        <v>77.27</v>
      </c>
      <c r="K201" s="8"/>
      <c r="L201" s="7"/>
      <c r="M201" s="7"/>
      <c r="N201" s="7"/>
      <c r="O201" s="7"/>
    </row>
    <row r="202">
      <c r="A202" s="45">
        <v>45947.75511574074</v>
      </c>
      <c r="B202" s="8" t="s">
        <v>301</v>
      </c>
      <c r="C202" s="7" t="s">
        <v>96</v>
      </c>
      <c r="D202" s="64">
        <v>1.0</v>
      </c>
      <c r="E202" s="7"/>
      <c r="F202" s="47">
        <v>60.22</v>
      </c>
      <c r="G202" s="65">
        <v>0.0</v>
      </c>
      <c r="H202" s="7"/>
      <c r="I202" s="47">
        <v>2.05</v>
      </c>
      <c r="J202" s="66">
        <f t="shared" si="1"/>
        <v>58.17</v>
      </c>
      <c r="K202" s="8"/>
      <c r="L202" s="7"/>
      <c r="M202" s="7"/>
      <c r="N202" s="7"/>
      <c r="O202" s="7"/>
    </row>
    <row r="203">
      <c r="A203" s="45">
        <v>45947.754699074074</v>
      </c>
      <c r="B203" s="8" t="s">
        <v>302</v>
      </c>
      <c r="C203" s="67" t="s">
        <v>98</v>
      </c>
      <c r="D203" s="64">
        <v>1.0</v>
      </c>
      <c r="E203" s="64">
        <v>1.0</v>
      </c>
      <c r="F203" s="47">
        <v>160.22</v>
      </c>
      <c r="G203" s="65">
        <v>0.0</v>
      </c>
      <c r="H203" s="7"/>
      <c r="I203" s="47">
        <v>4.95</v>
      </c>
      <c r="J203" s="66">
        <f t="shared" si="1"/>
        <v>155.27</v>
      </c>
      <c r="K203" s="8"/>
      <c r="L203" s="7"/>
      <c r="M203" s="7"/>
      <c r="N203" s="7"/>
      <c r="O203" s="7"/>
    </row>
    <row r="204">
      <c r="A204" s="45">
        <v>45947.753900462965</v>
      </c>
      <c r="B204" s="8" t="s">
        <v>303</v>
      </c>
      <c r="C204" s="7" t="s">
        <v>96</v>
      </c>
      <c r="D204" s="64">
        <v>1.0</v>
      </c>
      <c r="E204" s="7"/>
      <c r="F204" s="47">
        <v>60.22</v>
      </c>
      <c r="G204" s="65">
        <v>0.0</v>
      </c>
      <c r="H204" s="7"/>
      <c r="I204" s="47">
        <v>2.05</v>
      </c>
      <c r="J204" s="66">
        <f t="shared" si="1"/>
        <v>58.17</v>
      </c>
      <c r="K204" s="8"/>
      <c r="L204" s="7"/>
      <c r="M204" s="7"/>
      <c r="N204" s="7"/>
      <c r="O204" s="7"/>
    </row>
    <row r="205">
      <c r="A205" s="45">
        <v>45947.75350694444</v>
      </c>
      <c r="B205" s="8" t="s">
        <v>304</v>
      </c>
      <c r="C205" s="7" t="s">
        <v>96</v>
      </c>
      <c r="D205" s="64">
        <v>1.0</v>
      </c>
      <c r="E205" s="7"/>
      <c r="F205" s="47">
        <v>60.22</v>
      </c>
      <c r="G205" s="65">
        <v>0.0</v>
      </c>
      <c r="H205" s="7"/>
      <c r="I205" s="47">
        <v>2.05</v>
      </c>
      <c r="J205" s="66">
        <f t="shared" si="1"/>
        <v>58.17</v>
      </c>
      <c r="K205" s="8"/>
      <c r="L205" s="7"/>
      <c r="M205" s="7"/>
      <c r="N205" s="7"/>
      <c r="O205" s="7"/>
    </row>
    <row r="206">
      <c r="A206" s="45">
        <v>45947.75324074074</v>
      </c>
      <c r="B206" s="8" t="s">
        <v>305</v>
      </c>
      <c r="C206" s="7" t="s">
        <v>96</v>
      </c>
      <c r="D206" s="64">
        <v>1.0</v>
      </c>
      <c r="E206" s="7"/>
      <c r="F206" s="47">
        <v>60.22</v>
      </c>
      <c r="G206" s="65">
        <v>0.0</v>
      </c>
      <c r="H206" s="7"/>
      <c r="I206" s="47">
        <v>2.95</v>
      </c>
      <c r="J206" s="66">
        <f t="shared" si="1"/>
        <v>57.27</v>
      </c>
      <c r="K206" s="8"/>
      <c r="L206" s="7"/>
      <c r="M206" s="7"/>
      <c r="N206" s="7"/>
      <c r="O206" s="7"/>
    </row>
    <row r="207">
      <c r="A207" s="45">
        <v>45947.751550925925</v>
      </c>
      <c r="B207" s="8" t="s">
        <v>306</v>
      </c>
      <c r="C207" s="67" t="s">
        <v>98</v>
      </c>
      <c r="D207" s="64">
        <v>1.0</v>
      </c>
      <c r="E207" s="64">
        <v>1.0</v>
      </c>
      <c r="F207" s="47">
        <v>173.07</v>
      </c>
      <c r="G207" s="65">
        <v>0.0</v>
      </c>
      <c r="H207" s="7"/>
      <c r="I207" s="47">
        <v>7.92</v>
      </c>
      <c r="J207" s="66">
        <f t="shared" si="1"/>
        <v>165.15</v>
      </c>
      <c r="K207" s="8"/>
      <c r="L207" s="7"/>
      <c r="M207" s="7"/>
      <c r="N207" s="7"/>
      <c r="O207" s="7"/>
    </row>
    <row r="208">
      <c r="A208" s="45">
        <v>45947.75041666667</v>
      </c>
      <c r="B208" s="8" t="s">
        <v>307</v>
      </c>
      <c r="C208" s="67" t="s">
        <v>98</v>
      </c>
      <c r="D208" s="64">
        <v>1.0</v>
      </c>
      <c r="E208" s="64">
        <v>1.0</v>
      </c>
      <c r="F208" s="47">
        <v>173.14</v>
      </c>
      <c r="G208" s="65">
        <v>0.0</v>
      </c>
      <c r="H208" s="7"/>
      <c r="I208" s="47">
        <v>7.92</v>
      </c>
      <c r="J208" s="66">
        <f t="shared" si="1"/>
        <v>165.22</v>
      </c>
      <c r="K208" s="8"/>
      <c r="L208" s="7"/>
      <c r="M208" s="7"/>
      <c r="N208" s="7"/>
      <c r="O208" s="7"/>
    </row>
    <row r="209">
      <c r="A209" s="45">
        <v>45947.749340277776</v>
      </c>
      <c r="B209" s="8" t="s">
        <v>308</v>
      </c>
      <c r="C209" s="67" t="s">
        <v>98</v>
      </c>
      <c r="D209" s="64">
        <v>1.0</v>
      </c>
      <c r="E209" s="64">
        <v>1.0</v>
      </c>
      <c r="F209" s="47">
        <v>160.22</v>
      </c>
      <c r="G209" s="65">
        <v>0.0</v>
      </c>
      <c r="H209" s="7"/>
      <c r="I209" s="47">
        <v>7.35</v>
      </c>
      <c r="J209" s="66">
        <f t="shared" si="1"/>
        <v>152.87</v>
      </c>
      <c r="K209" s="8"/>
      <c r="L209" s="7"/>
      <c r="M209" s="7"/>
      <c r="N209" s="7"/>
      <c r="O209" s="7"/>
    </row>
    <row r="210">
      <c r="A210" s="45">
        <v>45947.74684027778</v>
      </c>
      <c r="B210" s="8" t="s">
        <v>309</v>
      </c>
      <c r="C210" s="7" t="s">
        <v>96</v>
      </c>
      <c r="D210" s="64">
        <v>1.0</v>
      </c>
      <c r="E210" s="7"/>
      <c r="F210" s="47">
        <v>81.97</v>
      </c>
      <c r="G210" s="65">
        <v>0.0</v>
      </c>
      <c r="H210" s="7"/>
      <c r="I210" s="47">
        <v>3.91</v>
      </c>
      <c r="J210" s="66">
        <f t="shared" si="1"/>
        <v>78.06</v>
      </c>
      <c r="K210" s="8"/>
      <c r="L210" s="7"/>
      <c r="M210" s="7"/>
      <c r="N210" s="7"/>
      <c r="O210" s="7"/>
    </row>
    <row r="211">
      <c r="A211" s="45">
        <v>45947.745625</v>
      </c>
      <c r="B211" s="8" t="s">
        <v>310</v>
      </c>
      <c r="C211" s="7" t="s">
        <v>96</v>
      </c>
      <c r="D211" s="64">
        <v>1.0</v>
      </c>
      <c r="E211" s="7"/>
      <c r="F211" s="47">
        <v>60.22</v>
      </c>
      <c r="G211" s="65">
        <v>0.0</v>
      </c>
      <c r="H211" s="7"/>
      <c r="I211" s="47">
        <v>2.05</v>
      </c>
      <c r="J211" s="66">
        <f t="shared" si="1"/>
        <v>58.17</v>
      </c>
      <c r="K211" s="8"/>
      <c r="L211" s="7"/>
      <c r="M211" s="7"/>
      <c r="N211" s="7"/>
      <c r="O211" s="7"/>
    </row>
    <row r="212">
      <c r="A212" s="45">
        <v>45947.74501157407</v>
      </c>
      <c r="B212" s="8" t="s">
        <v>311</v>
      </c>
      <c r="C212" s="7" t="s">
        <v>96</v>
      </c>
      <c r="D212" s="64">
        <v>1.0</v>
      </c>
      <c r="E212" s="7"/>
      <c r="F212" s="47">
        <v>62.56</v>
      </c>
      <c r="G212" s="65">
        <v>0.0</v>
      </c>
      <c r="H212" s="7"/>
      <c r="I212" s="47">
        <v>2.11</v>
      </c>
      <c r="J212" s="66">
        <f t="shared" si="1"/>
        <v>60.45</v>
      </c>
      <c r="K212" s="8"/>
      <c r="L212" s="7"/>
      <c r="M212" s="7"/>
      <c r="N212" s="7"/>
      <c r="O212" s="7"/>
    </row>
    <row r="213">
      <c r="A213" s="45">
        <v>45947.74460648148</v>
      </c>
      <c r="B213" s="8" t="s">
        <v>312</v>
      </c>
      <c r="C213" s="67" t="s">
        <v>98</v>
      </c>
      <c r="D213" s="64">
        <v>1.0</v>
      </c>
      <c r="E213" s="64">
        <v>1.0</v>
      </c>
      <c r="F213" s="47">
        <v>176.98</v>
      </c>
      <c r="G213" s="65">
        <v>0.0</v>
      </c>
      <c r="H213" s="7"/>
      <c r="I213" s="47">
        <v>8.09</v>
      </c>
      <c r="J213" s="66">
        <f t="shared" si="1"/>
        <v>168.89</v>
      </c>
      <c r="K213" s="8"/>
      <c r="L213" s="7"/>
      <c r="M213" s="7"/>
      <c r="N213" s="7"/>
      <c r="O213" s="7"/>
    </row>
    <row r="214">
      <c r="A214" s="45">
        <v>45947.74435185185</v>
      </c>
      <c r="B214" s="8" t="s">
        <v>313</v>
      </c>
      <c r="C214" s="7" t="s">
        <v>96</v>
      </c>
      <c r="D214" s="64">
        <v>1.0</v>
      </c>
      <c r="E214" s="7"/>
      <c r="F214" s="47">
        <v>60.22</v>
      </c>
      <c r="G214" s="65">
        <v>0.0</v>
      </c>
      <c r="H214" s="7"/>
      <c r="I214" s="47">
        <v>2.05</v>
      </c>
      <c r="J214" s="66">
        <f t="shared" si="1"/>
        <v>58.17</v>
      </c>
      <c r="K214" s="8"/>
      <c r="L214" s="7"/>
      <c r="M214" s="7"/>
      <c r="N214" s="7"/>
      <c r="O214" s="7"/>
    </row>
    <row r="215">
      <c r="A215" s="45">
        <v>45947.744108796294</v>
      </c>
      <c r="B215" s="8" t="s">
        <v>314</v>
      </c>
      <c r="C215" s="7" t="s">
        <v>96</v>
      </c>
      <c r="D215" s="64">
        <v>1.0</v>
      </c>
      <c r="E215" s="7"/>
      <c r="F215" s="47">
        <v>60.22</v>
      </c>
      <c r="G215" s="65">
        <v>0.0</v>
      </c>
      <c r="H215" s="7"/>
      <c r="I215" s="47">
        <v>2.05</v>
      </c>
      <c r="J215" s="66">
        <f t="shared" si="1"/>
        <v>58.17</v>
      </c>
      <c r="K215" s="8"/>
      <c r="L215" s="7"/>
      <c r="M215" s="7"/>
      <c r="N215" s="7"/>
      <c r="O215" s="7"/>
    </row>
    <row r="216">
      <c r="A216" s="45">
        <v>45947.742638888885</v>
      </c>
      <c r="B216" s="8" t="s">
        <v>315</v>
      </c>
      <c r="C216" s="7" t="s">
        <v>96</v>
      </c>
      <c r="D216" s="64">
        <v>1.0</v>
      </c>
      <c r="E216" s="7"/>
      <c r="F216" s="47">
        <v>82.82</v>
      </c>
      <c r="G216" s="65">
        <v>0.0</v>
      </c>
      <c r="H216" s="7"/>
      <c r="I216" s="47">
        <v>3.94</v>
      </c>
      <c r="J216" s="66">
        <f t="shared" si="1"/>
        <v>78.88</v>
      </c>
      <c r="K216" s="8"/>
      <c r="L216" s="7"/>
      <c r="M216" s="7"/>
      <c r="N216" s="7"/>
      <c r="O216" s="7"/>
    </row>
    <row r="217">
      <c r="A217" s="45">
        <v>45947.74261574074</v>
      </c>
      <c r="B217" s="8" t="s">
        <v>316</v>
      </c>
      <c r="C217" s="7" t="s">
        <v>96</v>
      </c>
      <c r="D217" s="64">
        <v>1.0</v>
      </c>
      <c r="E217" s="7"/>
      <c r="F217" s="47">
        <v>60.22</v>
      </c>
      <c r="G217" s="65">
        <v>0.0</v>
      </c>
      <c r="H217" s="7"/>
      <c r="I217" s="47">
        <v>2.05</v>
      </c>
      <c r="J217" s="66">
        <f t="shared" si="1"/>
        <v>58.17</v>
      </c>
      <c r="K217" s="8"/>
      <c r="L217" s="7"/>
      <c r="M217" s="7"/>
      <c r="N217" s="7"/>
      <c r="O217" s="7"/>
    </row>
    <row r="218">
      <c r="A218" s="45">
        <v>45947.7422337963</v>
      </c>
      <c r="B218" s="8" t="s">
        <v>317</v>
      </c>
      <c r="C218" s="7" t="s">
        <v>96</v>
      </c>
      <c r="D218" s="64">
        <v>1.0</v>
      </c>
      <c r="E218" s="7"/>
      <c r="F218" s="47">
        <v>60.22</v>
      </c>
      <c r="G218" s="65">
        <v>0.0</v>
      </c>
      <c r="H218" s="7"/>
      <c r="I218" s="47">
        <v>2.05</v>
      </c>
      <c r="J218" s="66">
        <f t="shared" si="1"/>
        <v>58.17</v>
      </c>
      <c r="K218" s="8"/>
      <c r="L218" s="7"/>
      <c r="M218" s="7"/>
      <c r="N218" s="7"/>
      <c r="O218" s="7"/>
    </row>
    <row r="219">
      <c r="A219" s="45">
        <v>45947.74114583333</v>
      </c>
      <c r="B219" s="8" t="s">
        <v>318</v>
      </c>
      <c r="C219" s="67" t="s">
        <v>98</v>
      </c>
      <c r="D219" s="64">
        <v>1.0</v>
      </c>
      <c r="E219" s="64">
        <v>1.0</v>
      </c>
      <c r="F219" s="47">
        <v>181.14</v>
      </c>
      <c r="G219" s="65">
        <v>0.0</v>
      </c>
      <c r="H219" s="7"/>
      <c r="I219" s="47">
        <v>8.27</v>
      </c>
      <c r="J219" s="66">
        <f t="shared" si="1"/>
        <v>172.87</v>
      </c>
      <c r="K219" s="8"/>
      <c r="L219" s="7"/>
      <c r="M219" s="7"/>
      <c r="N219" s="7"/>
      <c r="O219" s="7"/>
    </row>
    <row r="220">
      <c r="A220" s="45">
        <v>45947.73993055556</v>
      </c>
      <c r="B220" s="8" t="s">
        <v>319</v>
      </c>
      <c r="C220" s="7" t="s">
        <v>96</v>
      </c>
      <c r="D220" s="64">
        <v>1.0</v>
      </c>
      <c r="E220" s="7"/>
      <c r="F220" s="47">
        <v>60.22</v>
      </c>
      <c r="G220" s="65">
        <v>0.0</v>
      </c>
      <c r="H220" s="7"/>
      <c r="I220" s="47">
        <v>2.05</v>
      </c>
      <c r="J220" s="66">
        <f t="shared" si="1"/>
        <v>58.17</v>
      </c>
      <c r="K220" s="8"/>
      <c r="L220" s="7"/>
      <c r="M220" s="7"/>
      <c r="N220" s="7"/>
      <c r="O220" s="7"/>
    </row>
    <row r="221">
      <c r="A221" s="45">
        <v>45947.739074074074</v>
      </c>
      <c r="B221" s="8" t="s">
        <v>320</v>
      </c>
      <c r="C221" s="7" t="s">
        <v>96</v>
      </c>
      <c r="D221" s="64">
        <v>1.0</v>
      </c>
      <c r="E221" s="7"/>
      <c r="F221" s="47">
        <v>83.44</v>
      </c>
      <c r="G221" s="65">
        <v>0.0</v>
      </c>
      <c r="H221" s="7"/>
      <c r="I221" s="47">
        <v>3.97</v>
      </c>
      <c r="J221" s="66">
        <f t="shared" si="1"/>
        <v>79.47</v>
      </c>
      <c r="K221" s="8"/>
      <c r="L221" s="7"/>
      <c r="M221" s="7"/>
      <c r="N221" s="7"/>
      <c r="O221" s="7"/>
    </row>
    <row r="222">
      <c r="A222" s="45">
        <v>45947.73768518519</v>
      </c>
      <c r="B222" s="8" t="s">
        <v>321</v>
      </c>
      <c r="C222" s="7" t="s">
        <v>96</v>
      </c>
      <c r="D222" s="64">
        <v>1.0</v>
      </c>
      <c r="E222" s="7"/>
      <c r="F222" s="47">
        <v>64.85</v>
      </c>
      <c r="G222" s="65">
        <v>0.0</v>
      </c>
      <c r="H222" s="7"/>
      <c r="I222" s="47">
        <v>2.18</v>
      </c>
      <c r="J222" s="66">
        <f t="shared" si="1"/>
        <v>62.67</v>
      </c>
      <c r="K222" s="8"/>
      <c r="L222" s="7"/>
      <c r="M222" s="7"/>
      <c r="N222" s="7"/>
      <c r="O222" s="7"/>
    </row>
    <row r="223">
      <c r="A223" s="45">
        <v>45947.73673611111</v>
      </c>
      <c r="B223" s="8" t="s">
        <v>322</v>
      </c>
      <c r="C223" s="67" t="s">
        <v>98</v>
      </c>
      <c r="D223" s="64">
        <v>1.0</v>
      </c>
      <c r="E223" s="64">
        <v>1.0</v>
      </c>
      <c r="F223" s="47">
        <v>160.22</v>
      </c>
      <c r="G223" s="65">
        <v>0.0</v>
      </c>
      <c r="H223" s="7"/>
      <c r="I223" s="47">
        <v>4.95</v>
      </c>
      <c r="J223" s="66">
        <f t="shared" si="1"/>
        <v>155.27</v>
      </c>
      <c r="K223" s="8"/>
      <c r="L223" s="7"/>
      <c r="M223" s="7"/>
      <c r="N223" s="7"/>
      <c r="O223" s="7"/>
    </row>
    <row r="224">
      <c r="A224" s="45">
        <v>45947.736597222225</v>
      </c>
      <c r="B224" s="8" t="s">
        <v>323</v>
      </c>
      <c r="C224" s="7" t="s">
        <v>96</v>
      </c>
      <c r="D224" s="64">
        <v>1.0</v>
      </c>
      <c r="E224" s="7"/>
      <c r="F224" s="47">
        <v>81.14</v>
      </c>
      <c r="G224" s="65">
        <v>0.0</v>
      </c>
      <c r="H224" s="7"/>
      <c r="I224" s="47">
        <v>3.87</v>
      </c>
      <c r="J224" s="66">
        <f t="shared" si="1"/>
        <v>77.27</v>
      </c>
      <c r="K224" s="8"/>
      <c r="L224" s="7"/>
      <c r="M224" s="7"/>
      <c r="N224" s="7"/>
      <c r="O224" s="7"/>
    </row>
    <row r="225">
      <c r="A225" s="45">
        <v>45947.73636574074</v>
      </c>
      <c r="B225" s="8" t="s">
        <v>324</v>
      </c>
      <c r="C225" s="7" t="s">
        <v>96</v>
      </c>
      <c r="D225" s="64">
        <v>1.0</v>
      </c>
      <c r="E225" s="7"/>
      <c r="F225" s="47">
        <v>60.22</v>
      </c>
      <c r="G225" s="65">
        <v>0.0</v>
      </c>
      <c r="H225" s="7"/>
      <c r="I225" s="47">
        <v>2.05</v>
      </c>
      <c r="J225" s="66">
        <f t="shared" si="1"/>
        <v>58.17</v>
      </c>
      <c r="K225" s="8"/>
      <c r="L225" s="7"/>
      <c r="M225" s="7"/>
      <c r="N225" s="7"/>
      <c r="O225" s="7"/>
    </row>
    <row r="226">
      <c r="A226" s="45">
        <v>45947.73619212963</v>
      </c>
      <c r="B226" s="8" t="s">
        <v>325</v>
      </c>
      <c r="C226" s="7" t="s">
        <v>96</v>
      </c>
      <c r="D226" s="64">
        <v>1.0</v>
      </c>
      <c r="E226" s="7"/>
      <c r="F226" s="47">
        <v>74.95</v>
      </c>
      <c r="G226" s="65">
        <v>0.0</v>
      </c>
      <c r="H226" s="7"/>
      <c r="I226" s="47">
        <v>3.6</v>
      </c>
      <c r="J226" s="66">
        <f t="shared" si="1"/>
        <v>71.35</v>
      </c>
      <c r="K226" s="8"/>
      <c r="L226" s="7"/>
      <c r="M226" s="7"/>
      <c r="N226" s="7"/>
      <c r="O226" s="7"/>
    </row>
    <row r="227">
      <c r="A227" s="45">
        <v>45947.735601851855</v>
      </c>
      <c r="B227" s="8" t="s">
        <v>326</v>
      </c>
      <c r="C227" s="7" t="s">
        <v>96</v>
      </c>
      <c r="D227" s="64">
        <v>1.0</v>
      </c>
      <c r="E227" s="7"/>
      <c r="F227" s="47">
        <v>81.14</v>
      </c>
      <c r="G227" s="65">
        <v>0.0</v>
      </c>
      <c r="H227" s="7"/>
      <c r="I227" s="47">
        <v>3.87</v>
      </c>
      <c r="J227" s="66">
        <f t="shared" si="1"/>
        <v>77.27</v>
      </c>
      <c r="K227" s="8"/>
      <c r="L227" s="7"/>
      <c r="M227" s="7"/>
      <c r="N227" s="7"/>
      <c r="O227" s="7"/>
    </row>
    <row r="228">
      <c r="A228" s="45">
        <v>45947.73538194445</v>
      </c>
      <c r="B228" s="8" t="s">
        <v>327</v>
      </c>
      <c r="C228" s="7" t="s">
        <v>182</v>
      </c>
      <c r="D228" s="64">
        <v>2.0</v>
      </c>
      <c r="E228" s="7"/>
      <c r="F228" s="47">
        <v>152.98</v>
      </c>
      <c r="G228" s="65">
        <v>0.0</v>
      </c>
      <c r="H228" s="7"/>
      <c r="I228" s="47">
        <v>7.03</v>
      </c>
      <c r="J228" s="66">
        <f t="shared" si="1"/>
        <v>145.95</v>
      </c>
      <c r="K228" s="8"/>
      <c r="L228" s="7"/>
      <c r="M228" s="7"/>
      <c r="N228" s="7"/>
      <c r="O228" s="7"/>
    </row>
    <row r="229">
      <c r="A229" s="45">
        <v>45947.73538194445</v>
      </c>
      <c r="B229" s="8" t="s">
        <v>328</v>
      </c>
      <c r="C229" s="7" t="s">
        <v>96</v>
      </c>
      <c r="D229" s="64">
        <v>1.0</v>
      </c>
      <c r="E229" s="7"/>
      <c r="F229" s="47">
        <v>60.22</v>
      </c>
      <c r="G229" s="65">
        <v>0.0</v>
      </c>
      <c r="H229" s="7"/>
      <c r="I229" s="47">
        <v>2.05</v>
      </c>
      <c r="J229" s="66">
        <f t="shared" si="1"/>
        <v>58.17</v>
      </c>
      <c r="K229" s="8"/>
      <c r="L229" s="7"/>
      <c r="M229" s="7"/>
      <c r="N229" s="7"/>
      <c r="O229" s="7"/>
    </row>
    <row r="230">
      <c r="A230" s="45">
        <v>45947.73537037037</v>
      </c>
      <c r="B230" s="8" t="s">
        <v>329</v>
      </c>
      <c r="C230" s="67" t="s">
        <v>98</v>
      </c>
      <c r="D230" s="64">
        <v>1.0</v>
      </c>
      <c r="E230" s="64">
        <v>1.0</v>
      </c>
      <c r="F230" s="47">
        <v>160.22</v>
      </c>
      <c r="G230" s="65">
        <v>0.0</v>
      </c>
      <c r="H230" s="7"/>
      <c r="I230" s="47">
        <v>4.95</v>
      </c>
      <c r="J230" s="66">
        <f t="shared" si="1"/>
        <v>155.27</v>
      </c>
      <c r="K230" s="8"/>
      <c r="L230" s="7"/>
      <c r="M230" s="7"/>
      <c r="N230" s="7"/>
      <c r="O230" s="7"/>
    </row>
    <row r="231">
      <c r="A231" s="74" t="s">
        <v>330</v>
      </c>
      <c r="B231" s="8" t="s">
        <v>331</v>
      </c>
      <c r="C231" s="67" t="s">
        <v>98</v>
      </c>
      <c r="D231" s="64">
        <v>1.0</v>
      </c>
      <c r="E231" s="64">
        <v>1.0</v>
      </c>
      <c r="F231" s="47">
        <v>220.59</v>
      </c>
      <c r="G231" s="65">
        <v>0.0</v>
      </c>
      <c r="H231" s="7"/>
      <c r="I231" s="47">
        <v>10.01</v>
      </c>
      <c r="J231" s="66">
        <f t="shared" si="1"/>
        <v>210.58</v>
      </c>
      <c r="K231" s="8"/>
      <c r="L231" s="7"/>
      <c r="M231" s="7"/>
      <c r="N231" s="7"/>
      <c r="O231" s="7"/>
    </row>
    <row r="232">
      <c r="A232" s="45">
        <v>45947.7334375</v>
      </c>
      <c r="B232" s="8" t="s">
        <v>332</v>
      </c>
      <c r="C232" s="67" t="s">
        <v>98</v>
      </c>
      <c r="D232" s="64">
        <v>1.0</v>
      </c>
      <c r="E232" s="64">
        <v>1.0</v>
      </c>
      <c r="F232" s="47">
        <v>202.98</v>
      </c>
      <c r="G232" s="65">
        <v>0.0</v>
      </c>
      <c r="H232" s="7"/>
      <c r="I232" s="47">
        <v>9.23</v>
      </c>
      <c r="J232" s="66">
        <f t="shared" si="1"/>
        <v>193.75</v>
      </c>
      <c r="K232" s="8"/>
      <c r="L232" s="7"/>
      <c r="M232" s="7"/>
      <c r="N232" s="7"/>
      <c r="O232" s="7"/>
    </row>
    <row r="233">
      <c r="A233" s="45">
        <v>45947.73332175926</v>
      </c>
      <c r="B233" s="8" t="s">
        <v>333</v>
      </c>
      <c r="C233" s="7" t="s">
        <v>96</v>
      </c>
      <c r="D233" s="64">
        <v>1.0</v>
      </c>
      <c r="E233" s="7"/>
      <c r="F233" s="47">
        <v>60.22</v>
      </c>
      <c r="G233" s="65">
        <v>0.0</v>
      </c>
      <c r="H233" s="7"/>
      <c r="I233" s="47">
        <v>2.05</v>
      </c>
      <c r="J233" s="66">
        <f t="shared" si="1"/>
        <v>58.17</v>
      </c>
      <c r="K233" s="8"/>
      <c r="L233" s="7"/>
      <c r="M233" s="7"/>
      <c r="N233" s="7"/>
      <c r="O233" s="7"/>
    </row>
    <row r="234">
      <c r="A234" s="45">
        <v>45947.73267361111</v>
      </c>
      <c r="B234" s="8" t="s">
        <v>334</v>
      </c>
      <c r="C234" s="7" t="s">
        <v>96</v>
      </c>
      <c r="D234" s="64">
        <v>1.0</v>
      </c>
      <c r="E234" s="7"/>
      <c r="F234" s="47">
        <v>60.22</v>
      </c>
      <c r="G234" s="65">
        <v>0.0</v>
      </c>
      <c r="H234" s="7"/>
      <c r="I234" s="47">
        <v>2.05</v>
      </c>
      <c r="J234" s="66">
        <f t="shared" si="1"/>
        <v>58.17</v>
      </c>
      <c r="K234" s="8"/>
      <c r="L234" s="7"/>
      <c r="M234" s="7"/>
      <c r="N234" s="7"/>
      <c r="O234" s="7"/>
    </row>
    <row r="235">
      <c r="A235" s="45">
        <v>45947.7315625</v>
      </c>
      <c r="B235" s="8" t="s">
        <v>335</v>
      </c>
      <c r="C235" s="7" t="s">
        <v>96</v>
      </c>
      <c r="D235" s="64">
        <v>1.0</v>
      </c>
      <c r="E235" s="7"/>
      <c r="F235" s="47">
        <v>60.22</v>
      </c>
      <c r="G235" s="65">
        <v>0.0</v>
      </c>
      <c r="H235" s="7"/>
      <c r="I235" s="47">
        <v>2.05</v>
      </c>
      <c r="J235" s="66">
        <f t="shared" si="1"/>
        <v>58.17</v>
      </c>
      <c r="K235" s="8"/>
      <c r="L235" s="7"/>
      <c r="M235" s="7"/>
      <c r="N235" s="7"/>
      <c r="O235" s="7"/>
    </row>
    <row r="236">
      <c r="A236" s="45">
        <v>45947.730150462965</v>
      </c>
      <c r="B236" s="8" t="s">
        <v>336</v>
      </c>
      <c r="C236" s="7" t="s">
        <v>96</v>
      </c>
      <c r="D236" s="64">
        <v>1.0</v>
      </c>
      <c r="E236" s="7"/>
      <c r="F236" s="47">
        <v>60.22</v>
      </c>
      <c r="G236" s="65">
        <v>0.0</v>
      </c>
      <c r="H236" s="7"/>
      <c r="I236" s="47">
        <v>2.05</v>
      </c>
      <c r="J236" s="66">
        <f t="shared" si="1"/>
        <v>58.17</v>
      </c>
      <c r="K236" s="8"/>
      <c r="L236" s="7"/>
      <c r="M236" s="7"/>
      <c r="N236" s="7"/>
      <c r="O236" s="7"/>
    </row>
    <row r="237">
      <c r="A237" s="45">
        <v>45947.728842592594</v>
      </c>
      <c r="B237" s="8" t="s">
        <v>337</v>
      </c>
      <c r="C237" s="7" t="s">
        <v>96</v>
      </c>
      <c r="D237" s="64">
        <v>1.0</v>
      </c>
      <c r="E237" s="7"/>
      <c r="F237" s="47">
        <v>60.22</v>
      </c>
      <c r="G237" s="65">
        <v>0.0</v>
      </c>
      <c r="H237" s="7"/>
      <c r="I237" s="47">
        <v>2.05</v>
      </c>
      <c r="J237" s="66">
        <f t="shared" si="1"/>
        <v>58.17</v>
      </c>
      <c r="K237" s="8"/>
      <c r="L237" s="7"/>
      <c r="M237" s="7"/>
      <c r="N237" s="7"/>
      <c r="O237" s="7"/>
    </row>
    <row r="238">
      <c r="A238" s="45">
        <v>45947.72875</v>
      </c>
      <c r="B238" s="8" t="s">
        <v>338</v>
      </c>
      <c r="C238" s="7" t="s">
        <v>96</v>
      </c>
      <c r="D238" s="64">
        <v>1.0</v>
      </c>
      <c r="E238" s="7"/>
      <c r="F238" s="47">
        <v>60.22</v>
      </c>
      <c r="G238" s="65">
        <v>0.0</v>
      </c>
      <c r="H238" s="7"/>
      <c r="I238" s="47">
        <v>2.05</v>
      </c>
      <c r="J238" s="66">
        <f t="shared" si="1"/>
        <v>58.17</v>
      </c>
      <c r="K238" s="8"/>
      <c r="L238" s="7"/>
      <c r="M238" s="7"/>
      <c r="N238" s="7"/>
      <c r="O238" s="7"/>
    </row>
    <row r="239">
      <c r="A239" s="45">
        <v>45947.728530092594</v>
      </c>
      <c r="B239" s="8" t="s">
        <v>339</v>
      </c>
      <c r="C239" s="7" t="s">
        <v>96</v>
      </c>
      <c r="D239" s="64">
        <v>1.0</v>
      </c>
      <c r="E239" s="7"/>
      <c r="F239" s="47">
        <v>87.56</v>
      </c>
      <c r="G239" s="65">
        <v>0.0</v>
      </c>
      <c r="H239" s="7"/>
      <c r="I239" s="47">
        <v>2.84</v>
      </c>
      <c r="J239" s="66">
        <f t="shared" si="1"/>
        <v>84.72</v>
      </c>
      <c r="K239" s="8"/>
      <c r="L239" s="7"/>
      <c r="M239" s="7"/>
      <c r="N239" s="7"/>
      <c r="O239" s="7"/>
    </row>
    <row r="240">
      <c r="A240" s="45">
        <v>45947.72840277778</v>
      </c>
      <c r="B240" s="8" t="s">
        <v>340</v>
      </c>
      <c r="C240" s="67" t="s">
        <v>341</v>
      </c>
      <c r="D240" s="64">
        <v>3.0</v>
      </c>
      <c r="E240" s="64">
        <v>1.0</v>
      </c>
      <c r="F240" s="47">
        <v>260.22</v>
      </c>
      <c r="G240" s="65">
        <v>0.0</v>
      </c>
      <c r="H240" s="7"/>
      <c r="I240" s="47">
        <v>11.75</v>
      </c>
      <c r="J240" s="66">
        <f t="shared" si="1"/>
        <v>248.47</v>
      </c>
      <c r="K240" s="8"/>
      <c r="L240" s="7"/>
      <c r="M240" s="7"/>
      <c r="N240" s="7"/>
      <c r="O240" s="7"/>
    </row>
    <row r="241">
      <c r="A241" s="45">
        <v>45947.728113425925</v>
      </c>
      <c r="B241" s="8" t="s">
        <v>342</v>
      </c>
      <c r="C241" s="67" t="s">
        <v>98</v>
      </c>
      <c r="D241" s="64">
        <v>1.0</v>
      </c>
      <c r="E241" s="64">
        <v>1.0</v>
      </c>
      <c r="F241" s="47">
        <v>160.22</v>
      </c>
      <c r="G241" s="65">
        <v>0.0</v>
      </c>
      <c r="H241" s="7"/>
      <c r="I241" s="47">
        <v>4.95</v>
      </c>
      <c r="J241" s="66">
        <f t="shared" si="1"/>
        <v>155.27</v>
      </c>
      <c r="K241" s="8"/>
      <c r="L241" s="7"/>
      <c r="M241" s="7"/>
      <c r="N241" s="7"/>
      <c r="O241" s="7"/>
    </row>
    <row r="242">
      <c r="A242" s="45">
        <v>45947.7278125</v>
      </c>
      <c r="B242" s="8" t="s">
        <v>343</v>
      </c>
      <c r="C242" s="7" t="s">
        <v>96</v>
      </c>
      <c r="D242" s="64">
        <v>1.0</v>
      </c>
      <c r="E242" s="7"/>
      <c r="F242" s="47">
        <v>76.98</v>
      </c>
      <c r="G242" s="65">
        <v>0.0</v>
      </c>
      <c r="H242" s="7"/>
      <c r="I242" s="47">
        <v>3.69</v>
      </c>
      <c r="J242" s="66">
        <f t="shared" si="1"/>
        <v>73.29</v>
      </c>
      <c r="K242" s="8"/>
      <c r="L242" s="7"/>
      <c r="M242" s="7"/>
      <c r="N242" s="7"/>
      <c r="O242" s="7"/>
    </row>
    <row r="243">
      <c r="A243" s="45">
        <v>45947.727789351855</v>
      </c>
      <c r="B243" s="8" t="s">
        <v>344</v>
      </c>
      <c r="C243" s="7" t="s">
        <v>96</v>
      </c>
      <c r="D243" s="64">
        <v>1.0</v>
      </c>
      <c r="E243" s="7"/>
      <c r="F243" s="47">
        <v>76.98</v>
      </c>
      <c r="G243" s="65">
        <v>0.0</v>
      </c>
      <c r="H243" s="7"/>
      <c r="I243" s="47">
        <v>3.69</v>
      </c>
      <c r="J243" s="66">
        <f t="shared" si="1"/>
        <v>73.29</v>
      </c>
      <c r="K243" s="8"/>
      <c r="L243" s="7"/>
      <c r="M243" s="7"/>
      <c r="N243" s="7"/>
      <c r="O243" s="7"/>
    </row>
    <row r="244">
      <c r="A244" s="45">
        <v>45947.72738425926</v>
      </c>
      <c r="B244" s="8" t="s">
        <v>345</v>
      </c>
      <c r="C244" s="7" t="s">
        <v>96</v>
      </c>
      <c r="D244" s="64">
        <v>1.0</v>
      </c>
      <c r="E244" s="7"/>
      <c r="F244" s="47">
        <v>64.35</v>
      </c>
      <c r="G244" s="65">
        <v>0.0</v>
      </c>
      <c r="H244" s="7"/>
      <c r="I244" s="47">
        <v>2.17</v>
      </c>
      <c r="J244" s="66">
        <f t="shared" si="1"/>
        <v>62.18</v>
      </c>
      <c r="K244" s="8"/>
      <c r="L244" s="7"/>
      <c r="M244" s="7"/>
      <c r="N244" s="7"/>
      <c r="O244" s="7"/>
    </row>
    <row r="245">
      <c r="A245" s="45">
        <v>45947.727060185185</v>
      </c>
      <c r="B245" s="8" t="s">
        <v>346</v>
      </c>
      <c r="C245" s="7" t="s">
        <v>96</v>
      </c>
      <c r="D245" s="64">
        <v>1.0</v>
      </c>
      <c r="E245" s="7"/>
      <c r="F245" s="47">
        <v>60.22</v>
      </c>
      <c r="G245" s="65">
        <v>0.0</v>
      </c>
      <c r="H245" s="7"/>
      <c r="I245" s="47">
        <v>2.05</v>
      </c>
      <c r="J245" s="66">
        <f t="shared" si="1"/>
        <v>58.17</v>
      </c>
      <c r="K245" s="8"/>
      <c r="L245" s="7"/>
      <c r="M245" s="7"/>
      <c r="N245" s="7"/>
      <c r="O245" s="7"/>
    </row>
    <row r="246">
      <c r="A246" s="45">
        <v>45947.726018518515</v>
      </c>
      <c r="B246" s="8" t="s">
        <v>347</v>
      </c>
      <c r="C246" s="7" t="s">
        <v>96</v>
      </c>
      <c r="D246" s="64">
        <v>1.0</v>
      </c>
      <c r="E246" s="7"/>
      <c r="F246" s="47">
        <v>60.22</v>
      </c>
      <c r="G246" s="65">
        <v>0.0</v>
      </c>
      <c r="H246" s="7"/>
      <c r="I246" s="47">
        <v>2.05</v>
      </c>
      <c r="J246" s="66">
        <f t="shared" si="1"/>
        <v>58.17</v>
      </c>
      <c r="K246" s="8"/>
      <c r="L246" s="7"/>
      <c r="M246" s="7"/>
      <c r="N246" s="7"/>
      <c r="O246" s="7"/>
    </row>
    <row r="247">
      <c r="A247" s="45">
        <v>45947.72553240741</v>
      </c>
      <c r="B247" s="8" t="s">
        <v>348</v>
      </c>
      <c r="C247" s="7" t="s">
        <v>96</v>
      </c>
      <c r="D247" s="64">
        <v>1.0</v>
      </c>
      <c r="E247" s="7"/>
      <c r="F247" s="47">
        <v>60.22</v>
      </c>
      <c r="G247" s="65">
        <v>0.0</v>
      </c>
      <c r="H247" s="7"/>
      <c r="I247" s="47">
        <v>2.05</v>
      </c>
      <c r="J247" s="66">
        <f t="shared" si="1"/>
        <v>58.17</v>
      </c>
      <c r="K247" s="8"/>
      <c r="L247" s="7"/>
      <c r="M247" s="7"/>
      <c r="N247" s="7"/>
      <c r="O247" s="7"/>
    </row>
    <row r="248">
      <c r="A248" s="45">
        <v>45947.725439814814</v>
      </c>
      <c r="B248" s="8" t="s">
        <v>349</v>
      </c>
      <c r="C248" s="7" t="s">
        <v>96</v>
      </c>
      <c r="D248" s="64">
        <v>1.0</v>
      </c>
      <c r="E248" s="7"/>
      <c r="F248" s="47">
        <v>60.22</v>
      </c>
      <c r="G248" s="65">
        <v>0.0</v>
      </c>
      <c r="H248" s="7"/>
      <c r="I248" s="47">
        <v>2.05</v>
      </c>
      <c r="J248" s="66">
        <f t="shared" si="1"/>
        <v>58.17</v>
      </c>
      <c r="K248" s="8"/>
      <c r="L248" s="7"/>
      <c r="M248" s="7"/>
      <c r="N248" s="7"/>
      <c r="O248" s="7"/>
    </row>
    <row r="249">
      <c r="A249" s="45">
        <v>45947.724641203706</v>
      </c>
      <c r="B249" s="8" t="s">
        <v>350</v>
      </c>
      <c r="C249" s="7" t="s">
        <v>96</v>
      </c>
      <c r="D249" s="64">
        <v>1.0</v>
      </c>
      <c r="E249" s="7"/>
      <c r="F249" s="47">
        <v>60.22</v>
      </c>
      <c r="G249" s="65">
        <v>0.0</v>
      </c>
      <c r="H249" s="7"/>
      <c r="I249" s="47">
        <v>2.95</v>
      </c>
      <c r="J249" s="66">
        <f t="shared" si="1"/>
        <v>57.27</v>
      </c>
      <c r="K249" s="8"/>
      <c r="L249" s="7"/>
      <c r="M249" s="7"/>
      <c r="N249" s="7"/>
      <c r="O249" s="7"/>
    </row>
    <row r="250">
      <c r="A250" s="45">
        <v>45947.724594907406</v>
      </c>
      <c r="B250" s="8" t="s">
        <v>351</v>
      </c>
      <c r="C250" s="7" t="s">
        <v>96</v>
      </c>
      <c r="D250" s="64">
        <v>1.0</v>
      </c>
      <c r="E250" s="7"/>
      <c r="F250" s="47">
        <v>80.27</v>
      </c>
      <c r="G250" s="65">
        <v>0.0</v>
      </c>
      <c r="H250" s="7"/>
      <c r="I250" s="47">
        <v>3.83</v>
      </c>
      <c r="J250" s="66">
        <f t="shared" si="1"/>
        <v>76.44</v>
      </c>
      <c r="K250" s="8"/>
      <c r="L250" s="7"/>
      <c r="M250" s="7"/>
      <c r="N250" s="7"/>
      <c r="O250" s="7"/>
    </row>
    <row r="251">
      <c r="A251" s="45">
        <v>45947.72453703704</v>
      </c>
      <c r="B251" s="8" t="s">
        <v>352</v>
      </c>
      <c r="C251" s="7" t="s">
        <v>96</v>
      </c>
      <c r="D251" s="64">
        <v>1.0</v>
      </c>
      <c r="E251" s="7"/>
      <c r="F251" s="47">
        <v>76.98</v>
      </c>
      <c r="G251" s="65">
        <v>0.0</v>
      </c>
      <c r="H251" s="7"/>
      <c r="I251" s="47">
        <v>3.69</v>
      </c>
      <c r="J251" s="66">
        <f t="shared" si="1"/>
        <v>73.29</v>
      </c>
      <c r="K251" s="8"/>
      <c r="L251" s="7"/>
      <c r="M251" s="7"/>
      <c r="N251" s="7"/>
      <c r="O251" s="7"/>
    </row>
    <row r="252">
      <c r="A252" s="45">
        <v>45947.72439814815</v>
      </c>
      <c r="B252" s="8" t="s">
        <v>353</v>
      </c>
      <c r="C252" s="7" t="s">
        <v>96</v>
      </c>
      <c r="D252" s="64">
        <v>1.0</v>
      </c>
      <c r="E252" s="7"/>
      <c r="F252" s="47">
        <v>73.14</v>
      </c>
      <c r="G252" s="65">
        <v>0.0</v>
      </c>
      <c r="H252" s="7"/>
      <c r="I252" s="47">
        <v>3.52</v>
      </c>
      <c r="J252" s="66">
        <f t="shared" si="1"/>
        <v>69.62</v>
      </c>
      <c r="K252" s="8"/>
      <c r="L252" s="7"/>
      <c r="M252" s="7"/>
      <c r="N252" s="7"/>
      <c r="O252" s="7"/>
    </row>
    <row r="253">
      <c r="A253" s="45">
        <v>45947.723807870374</v>
      </c>
      <c r="B253" s="8" t="s">
        <v>354</v>
      </c>
      <c r="C253" s="7" t="s">
        <v>96</v>
      </c>
      <c r="D253" s="64">
        <v>1.0</v>
      </c>
      <c r="E253" s="7"/>
      <c r="F253" s="47">
        <v>82.82</v>
      </c>
      <c r="G253" s="65">
        <v>0.0</v>
      </c>
      <c r="H253" s="7"/>
      <c r="I253" s="47">
        <v>3.94</v>
      </c>
      <c r="J253" s="66">
        <f t="shared" si="1"/>
        <v>78.88</v>
      </c>
      <c r="K253" s="8"/>
      <c r="L253" s="7"/>
      <c r="M253" s="7"/>
      <c r="N253" s="7"/>
      <c r="O253" s="7"/>
    </row>
    <row r="254">
      <c r="A254" s="45">
        <v>45947.723761574074</v>
      </c>
      <c r="B254" s="8" t="s">
        <v>355</v>
      </c>
      <c r="C254" s="7" t="s">
        <v>96</v>
      </c>
      <c r="D254" s="64">
        <v>1.0</v>
      </c>
      <c r="E254" s="7"/>
      <c r="F254" s="47">
        <v>65.47</v>
      </c>
      <c r="G254" s="65">
        <v>0.0</v>
      </c>
      <c r="H254" s="7"/>
      <c r="I254" s="47">
        <v>2.2</v>
      </c>
      <c r="J254" s="66">
        <f t="shared" si="1"/>
        <v>63.27</v>
      </c>
      <c r="K254" s="8"/>
      <c r="L254" s="7"/>
      <c r="M254" s="7"/>
      <c r="N254" s="7"/>
      <c r="O254" s="7"/>
    </row>
    <row r="255">
      <c r="A255" s="45">
        <v>45947.72368055556</v>
      </c>
      <c r="B255" s="8" t="s">
        <v>356</v>
      </c>
      <c r="C255" s="7" t="s">
        <v>96</v>
      </c>
      <c r="D255" s="64">
        <v>1.0</v>
      </c>
      <c r="E255" s="7"/>
      <c r="F255" s="47">
        <v>76.98</v>
      </c>
      <c r="G255" s="65">
        <v>0.0</v>
      </c>
      <c r="H255" s="7"/>
      <c r="I255" s="47">
        <v>3.69</v>
      </c>
      <c r="J255" s="66">
        <f t="shared" si="1"/>
        <v>73.29</v>
      </c>
      <c r="K255" s="8"/>
      <c r="L255" s="7"/>
      <c r="M255" s="7"/>
      <c r="N255" s="7"/>
      <c r="O255" s="7"/>
    </row>
    <row r="256">
      <c r="A256" s="45">
        <v>45947.72342592593</v>
      </c>
      <c r="B256" s="8" t="s">
        <v>357</v>
      </c>
      <c r="C256" s="7" t="s">
        <v>96</v>
      </c>
      <c r="D256" s="64">
        <v>1.0</v>
      </c>
      <c r="E256" s="7"/>
      <c r="F256" s="47">
        <v>60.22</v>
      </c>
      <c r="G256" s="65">
        <v>0.0</v>
      </c>
      <c r="H256" s="7"/>
      <c r="I256" s="47">
        <v>2.05</v>
      </c>
      <c r="J256" s="66">
        <f t="shared" si="1"/>
        <v>58.17</v>
      </c>
      <c r="K256" s="8"/>
      <c r="L256" s="7"/>
      <c r="M256" s="7"/>
      <c r="N256" s="7"/>
      <c r="O256" s="7"/>
    </row>
    <row r="257">
      <c r="A257" s="45">
        <v>45947.72311342593</v>
      </c>
      <c r="B257" s="8" t="s">
        <v>358</v>
      </c>
      <c r="C257" s="7" t="s">
        <v>96</v>
      </c>
      <c r="D257" s="64">
        <v>1.0</v>
      </c>
      <c r="E257" s="7"/>
      <c r="F257" s="47">
        <v>60.22</v>
      </c>
      <c r="G257" s="65">
        <v>0.0</v>
      </c>
      <c r="H257" s="7"/>
      <c r="I257" s="47">
        <v>2.05</v>
      </c>
      <c r="J257" s="66">
        <f t="shared" si="1"/>
        <v>58.17</v>
      </c>
      <c r="K257" s="8"/>
      <c r="L257" s="7"/>
      <c r="M257" s="7"/>
      <c r="N257" s="7"/>
      <c r="O257" s="7"/>
    </row>
    <row r="258">
      <c r="A258" s="45">
        <v>45947.72282407407</v>
      </c>
      <c r="B258" s="8" t="s">
        <v>359</v>
      </c>
      <c r="C258" s="7" t="s">
        <v>96</v>
      </c>
      <c r="D258" s="64">
        <v>1.0</v>
      </c>
      <c r="E258" s="7"/>
      <c r="F258" s="47">
        <v>60.22</v>
      </c>
      <c r="G258" s="65">
        <v>0.0</v>
      </c>
      <c r="H258" s="7"/>
      <c r="I258" s="47">
        <v>2.05</v>
      </c>
      <c r="J258" s="66">
        <f t="shared" si="1"/>
        <v>58.17</v>
      </c>
      <c r="K258" s="8"/>
      <c r="L258" s="7"/>
      <c r="M258" s="7"/>
      <c r="N258" s="7"/>
      <c r="O258" s="7"/>
    </row>
    <row r="259">
      <c r="A259" s="45">
        <v>45947.72261574074</v>
      </c>
      <c r="B259" s="8" t="s">
        <v>360</v>
      </c>
      <c r="C259" s="7" t="s">
        <v>96</v>
      </c>
      <c r="D259" s="64">
        <v>1.0</v>
      </c>
      <c r="E259" s="7"/>
      <c r="F259" s="47">
        <v>76.98</v>
      </c>
      <c r="G259" s="65">
        <v>0.0</v>
      </c>
      <c r="H259" s="7"/>
      <c r="I259" s="47">
        <v>3.69</v>
      </c>
      <c r="J259" s="66">
        <f t="shared" si="1"/>
        <v>73.29</v>
      </c>
      <c r="K259" s="8"/>
      <c r="L259" s="7"/>
      <c r="M259" s="7"/>
      <c r="N259" s="7"/>
      <c r="O259" s="7"/>
    </row>
    <row r="260">
      <c r="A260" s="45">
        <v>45947.722395833334</v>
      </c>
      <c r="B260" s="8" t="s">
        <v>361</v>
      </c>
      <c r="C260" s="7" t="s">
        <v>96</v>
      </c>
      <c r="D260" s="64">
        <v>1.0</v>
      </c>
      <c r="E260" s="7"/>
      <c r="F260" s="47">
        <v>67.28</v>
      </c>
      <c r="G260" s="65">
        <v>0.0</v>
      </c>
      <c r="H260" s="7"/>
      <c r="I260" s="47">
        <v>2.25</v>
      </c>
      <c r="J260" s="66">
        <f t="shared" si="1"/>
        <v>65.03</v>
      </c>
      <c r="K260" s="8"/>
      <c r="L260" s="7"/>
      <c r="M260" s="7"/>
      <c r="N260" s="7"/>
      <c r="O260" s="7"/>
    </row>
    <row r="261">
      <c r="A261" s="45">
        <v>45947.72232638889</v>
      </c>
      <c r="B261" s="8" t="s">
        <v>362</v>
      </c>
      <c r="C261" s="7" t="s">
        <v>96</v>
      </c>
      <c r="D261" s="64">
        <v>1.0</v>
      </c>
      <c r="E261" s="7"/>
      <c r="F261" s="47">
        <v>73.07</v>
      </c>
      <c r="G261" s="65">
        <v>0.0</v>
      </c>
      <c r="H261" s="7"/>
      <c r="I261" s="47">
        <v>3.52</v>
      </c>
      <c r="J261" s="66">
        <f t="shared" si="1"/>
        <v>69.55</v>
      </c>
      <c r="K261" s="8"/>
      <c r="L261" s="7"/>
      <c r="M261" s="7"/>
      <c r="N261" s="7"/>
      <c r="O261" s="7"/>
    </row>
    <row r="262">
      <c r="A262" s="45">
        <v>45947.72204861111</v>
      </c>
      <c r="B262" s="8" t="s">
        <v>363</v>
      </c>
      <c r="C262" s="7" t="s">
        <v>96</v>
      </c>
      <c r="D262" s="64">
        <v>1.0</v>
      </c>
      <c r="E262" s="7"/>
      <c r="F262" s="47">
        <v>82.82</v>
      </c>
      <c r="G262" s="65">
        <v>0.0</v>
      </c>
      <c r="H262" s="7"/>
      <c r="I262" s="47">
        <v>3.94</v>
      </c>
      <c r="J262" s="66">
        <f t="shared" si="1"/>
        <v>78.88</v>
      </c>
      <c r="K262" s="8"/>
      <c r="L262" s="7"/>
      <c r="M262" s="7"/>
      <c r="N262" s="7"/>
      <c r="O262" s="7"/>
    </row>
    <row r="263">
      <c r="A263" s="45">
        <v>45947.72199074074</v>
      </c>
      <c r="B263" s="8" t="s">
        <v>364</v>
      </c>
      <c r="C263" s="7" t="s">
        <v>96</v>
      </c>
      <c r="D263" s="64">
        <v>1.0</v>
      </c>
      <c r="E263" s="7"/>
      <c r="F263" s="47">
        <v>73.07</v>
      </c>
      <c r="G263" s="65">
        <v>0.0</v>
      </c>
      <c r="H263" s="7"/>
      <c r="I263" s="47">
        <v>3.52</v>
      </c>
      <c r="J263" s="66">
        <f t="shared" si="1"/>
        <v>69.55</v>
      </c>
      <c r="K263" s="8"/>
      <c r="L263" s="7"/>
      <c r="M263" s="7"/>
      <c r="N263" s="7"/>
      <c r="O263" s="7"/>
    </row>
    <row r="264">
      <c r="A264" s="45">
        <v>45947.72184027778</v>
      </c>
      <c r="B264" s="8" t="s">
        <v>365</v>
      </c>
      <c r="C264" s="67" t="s">
        <v>98</v>
      </c>
      <c r="D264" s="64">
        <v>1.0</v>
      </c>
      <c r="E264" s="64">
        <v>1.0</v>
      </c>
      <c r="F264" s="47">
        <v>173.07</v>
      </c>
      <c r="G264" s="65">
        <v>0.0</v>
      </c>
      <c r="H264" s="7"/>
      <c r="I264" s="47">
        <v>7.92</v>
      </c>
      <c r="J264" s="66">
        <f t="shared" si="1"/>
        <v>165.15</v>
      </c>
      <c r="K264" s="8"/>
      <c r="L264" s="7"/>
      <c r="M264" s="7"/>
      <c r="N264" s="7"/>
      <c r="O264" s="7"/>
    </row>
    <row r="265">
      <c r="A265" s="45">
        <v>45947.72174768519</v>
      </c>
      <c r="B265" s="8" t="s">
        <v>366</v>
      </c>
      <c r="C265" s="67" t="s">
        <v>98</v>
      </c>
      <c r="D265" s="64">
        <v>1.0</v>
      </c>
      <c r="E265" s="64">
        <v>1.0</v>
      </c>
      <c r="F265" s="47">
        <v>167.96</v>
      </c>
      <c r="G265" s="65">
        <v>0.0</v>
      </c>
      <c r="H265" s="7"/>
      <c r="I265" s="47">
        <v>7.69</v>
      </c>
      <c r="J265" s="66">
        <f t="shared" si="1"/>
        <v>160.27</v>
      </c>
      <c r="K265" s="8"/>
      <c r="L265" s="7"/>
      <c r="M265" s="7"/>
      <c r="N265" s="7"/>
      <c r="O265" s="7"/>
    </row>
    <row r="266">
      <c r="A266" s="45">
        <v>45947.72126157407</v>
      </c>
      <c r="B266" s="8" t="s">
        <v>367</v>
      </c>
      <c r="C266" s="7" t="s">
        <v>96</v>
      </c>
      <c r="D266" s="64">
        <v>1.0</v>
      </c>
      <c r="E266" s="7"/>
      <c r="F266" s="47">
        <v>60.22</v>
      </c>
      <c r="G266" s="65">
        <v>0.0</v>
      </c>
      <c r="H266" s="7"/>
      <c r="I266" s="47">
        <v>2.05</v>
      </c>
      <c r="J266" s="66">
        <f t="shared" si="1"/>
        <v>58.17</v>
      </c>
      <c r="K266" s="8"/>
      <c r="L266" s="7"/>
      <c r="M266" s="7"/>
      <c r="N266" s="7"/>
      <c r="O266" s="7"/>
    </row>
    <row r="267">
      <c r="A267" s="45">
        <v>45947.72111111111</v>
      </c>
      <c r="B267" s="8" t="s">
        <v>368</v>
      </c>
      <c r="C267" s="7" t="s">
        <v>182</v>
      </c>
      <c r="D267" s="64">
        <v>2.0</v>
      </c>
      <c r="E267" s="7"/>
      <c r="F267" s="47">
        <v>134.5</v>
      </c>
      <c r="G267" s="65">
        <v>0.0</v>
      </c>
      <c r="H267" s="7"/>
      <c r="I267" s="47">
        <v>6.22</v>
      </c>
      <c r="J267" s="66">
        <f t="shared" si="1"/>
        <v>128.28</v>
      </c>
      <c r="K267" s="8"/>
      <c r="L267" s="7"/>
      <c r="M267" s="7"/>
      <c r="N267" s="7"/>
      <c r="O267" s="7"/>
    </row>
    <row r="268">
      <c r="A268" s="45">
        <v>45947.72079861111</v>
      </c>
      <c r="B268" s="8" t="s">
        <v>369</v>
      </c>
      <c r="C268" s="7" t="s">
        <v>96</v>
      </c>
      <c r="D268" s="64">
        <v>1.0</v>
      </c>
      <c r="E268" s="7"/>
      <c r="F268" s="47">
        <v>60.22</v>
      </c>
      <c r="G268" s="65">
        <v>0.0</v>
      </c>
      <c r="H268" s="7"/>
      <c r="I268" s="47">
        <v>2.05</v>
      </c>
      <c r="J268" s="66">
        <f t="shared" si="1"/>
        <v>58.17</v>
      </c>
      <c r="K268" s="8"/>
      <c r="L268" s="7"/>
      <c r="M268" s="7"/>
      <c r="N268" s="7"/>
      <c r="O268" s="7"/>
    </row>
    <row r="269">
      <c r="A269" s="45">
        <v>45947.72069444445</v>
      </c>
      <c r="B269" s="8" t="s">
        <v>370</v>
      </c>
      <c r="C269" s="67" t="s">
        <v>98</v>
      </c>
      <c r="D269" s="64">
        <v>1.0</v>
      </c>
      <c r="E269" s="64">
        <v>1.0</v>
      </c>
      <c r="F269" s="47">
        <v>160.22</v>
      </c>
      <c r="G269" s="65">
        <v>0.0</v>
      </c>
      <c r="H269" s="7"/>
      <c r="I269" s="47">
        <v>4.95</v>
      </c>
      <c r="J269" s="66">
        <f t="shared" si="1"/>
        <v>155.27</v>
      </c>
      <c r="K269" s="8"/>
      <c r="L269" s="7"/>
      <c r="M269" s="7"/>
      <c r="N269" s="7"/>
      <c r="O269" s="7"/>
    </row>
    <row r="270">
      <c r="A270" s="45">
        <v>45947.72052083333</v>
      </c>
      <c r="B270" s="8" t="s">
        <v>371</v>
      </c>
      <c r="C270" s="7" t="s">
        <v>96</v>
      </c>
      <c r="D270" s="64">
        <v>1.0</v>
      </c>
      <c r="E270" s="7"/>
      <c r="F270" s="47">
        <v>60.22</v>
      </c>
      <c r="G270" s="65">
        <v>0.0</v>
      </c>
      <c r="H270" s="7"/>
      <c r="I270" s="47">
        <v>2.05</v>
      </c>
      <c r="J270" s="66">
        <f t="shared" si="1"/>
        <v>58.17</v>
      </c>
      <c r="K270" s="8"/>
      <c r="L270" s="7"/>
      <c r="M270" s="7"/>
      <c r="N270" s="7"/>
      <c r="O270" s="7"/>
    </row>
    <row r="271">
      <c r="A271" s="45">
        <v>45947.72047453704</v>
      </c>
      <c r="B271" s="8" t="s">
        <v>372</v>
      </c>
      <c r="C271" s="67" t="s">
        <v>98</v>
      </c>
      <c r="D271" s="64">
        <v>1.0</v>
      </c>
      <c r="E271" s="64">
        <v>1.0</v>
      </c>
      <c r="F271" s="47">
        <v>160.22</v>
      </c>
      <c r="G271" s="65">
        <v>0.0</v>
      </c>
      <c r="H271" s="7"/>
      <c r="I271" s="47">
        <v>4.95</v>
      </c>
      <c r="J271" s="66">
        <f t="shared" si="1"/>
        <v>155.27</v>
      </c>
      <c r="K271" s="8"/>
      <c r="L271" s="7"/>
      <c r="M271" s="7"/>
      <c r="N271" s="7"/>
      <c r="O271" s="7"/>
    </row>
    <row r="272">
      <c r="A272" s="45">
        <v>45947.719814814816</v>
      </c>
      <c r="B272" s="8" t="s">
        <v>373</v>
      </c>
      <c r="C272" s="7" t="s">
        <v>96</v>
      </c>
      <c r="D272" s="64">
        <v>1.0</v>
      </c>
      <c r="E272" s="7"/>
      <c r="F272" s="47">
        <v>60.22</v>
      </c>
      <c r="G272" s="65">
        <v>0.0</v>
      </c>
      <c r="H272" s="7"/>
      <c r="I272" s="47">
        <v>2.05</v>
      </c>
      <c r="J272" s="66">
        <f t="shared" si="1"/>
        <v>58.17</v>
      </c>
      <c r="K272" s="8"/>
      <c r="L272" s="7"/>
      <c r="M272" s="7"/>
      <c r="N272" s="7"/>
      <c r="O272" s="7"/>
    </row>
    <row r="273">
      <c r="A273" s="45">
        <v>45947.71980324074</v>
      </c>
      <c r="B273" s="8" t="s">
        <v>374</v>
      </c>
      <c r="C273" s="7" t="s">
        <v>96</v>
      </c>
      <c r="D273" s="64">
        <v>1.0</v>
      </c>
      <c r="E273" s="7"/>
      <c r="F273" s="47">
        <v>109.96</v>
      </c>
      <c r="G273" s="65">
        <v>0.0</v>
      </c>
      <c r="H273" s="7"/>
      <c r="I273" s="47">
        <v>5.14</v>
      </c>
      <c r="J273" s="66">
        <f t="shared" si="1"/>
        <v>104.82</v>
      </c>
      <c r="K273" s="8"/>
      <c r="L273" s="7"/>
      <c r="M273" s="7"/>
      <c r="N273" s="7"/>
      <c r="O273" s="7"/>
    </row>
    <row r="274">
      <c r="A274" s="45">
        <v>45947.71947916667</v>
      </c>
      <c r="B274" s="8" t="s">
        <v>375</v>
      </c>
      <c r="C274" s="7" t="s">
        <v>96</v>
      </c>
      <c r="D274" s="64">
        <v>1.0</v>
      </c>
      <c r="E274" s="7"/>
      <c r="F274" s="47">
        <v>60.22</v>
      </c>
      <c r="G274" s="65">
        <v>0.0</v>
      </c>
      <c r="H274" s="7"/>
      <c r="I274" s="47">
        <v>2.05</v>
      </c>
      <c r="J274" s="66">
        <f t="shared" si="1"/>
        <v>58.17</v>
      </c>
      <c r="K274" s="8"/>
      <c r="L274" s="7"/>
      <c r="M274" s="7"/>
      <c r="N274" s="7"/>
      <c r="O274" s="7"/>
    </row>
    <row r="275">
      <c r="A275" s="45">
        <v>45947.719363425924</v>
      </c>
      <c r="B275" s="8" t="s">
        <v>376</v>
      </c>
      <c r="C275" s="7" t="s">
        <v>96</v>
      </c>
      <c r="D275" s="64">
        <v>1.0</v>
      </c>
      <c r="E275" s="7"/>
      <c r="F275" s="47">
        <v>60.22</v>
      </c>
      <c r="G275" s="65">
        <v>0.0</v>
      </c>
      <c r="H275" s="7"/>
      <c r="I275" s="47">
        <v>2.05</v>
      </c>
      <c r="J275" s="66">
        <f t="shared" si="1"/>
        <v>58.17</v>
      </c>
      <c r="K275" s="8"/>
      <c r="L275" s="7"/>
      <c r="M275" s="7"/>
      <c r="N275" s="7"/>
      <c r="O275" s="7"/>
    </row>
    <row r="276">
      <c r="A276" s="45">
        <v>45947.719305555554</v>
      </c>
      <c r="B276" s="8" t="s">
        <v>377</v>
      </c>
      <c r="C276" s="7" t="s">
        <v>96</v>
      </c>
      <c r="D276" s="64">
        <v>1.0</v>
      </c>
      <c r="E276" s="7"/>
      <c r="F276" s="47">
        <v>60.22</v>
      </c>
      <c r="G276" s="65">
        <v>0.0</v>
      </c>
      <c r="H276" s="7"/>
      <c r="I276" s="47">
        <v>2.05</v>
      </c>
      <c r="J276" s="66">
        <f t="shared" si="1"/>
        <v>58.17</v>
      </c>
      <c r="K276" s="8"/>
      <c r="L276" s="7"/>
      <c r="M276" s="7"/>
      <c r="N276" s="7"/>
      <c r="O276" s="7"/>
    </row>
    <row r="277">
      <c r="A277" s="45">
        <v>45947.71916666667</v>
      </c>
      <c r="B277" s="8" t="s">
        <v>378</v>
      </c>
      <c r="C277" s="7" t="s">
        <v>96</v>
      </c>
      <c r="D277" s="64">
        <v>1.0</v>
      </c>
      <c r="E277" s="7"/>
      <c r="F277" s="47">
        <v>60.22</v>
      </c>
      <c r="G277" s="65">
        <v>0.0</v>
      </c>
      <c r="H277" s="7"/>
      <c r="I277" s="47">
        <v>2.05</v>
      </c>
      <c r="J277" s="66">
        <f t="shared" si="1"/>
        <v>58.17</v>
      </c>
      <c r="K277" s="8"/>
      <c r="L277" s="7"/>
      <c r="M277" s="7"/>
      <c r="N277" s="7"/>
      <c r="O277" s="7"/>
    </row>
    <row r="278">
      <c r="A278" s="45">
        <v>45947.71915509259</v>
      </c>
      <c r="B278" s="8" t="s">
        <v>331</v>
      </c>
      <c r="C278" s="7" t="s">
        <v>96</v>
      </c>
      <c r="D278" s="64">
        <v>1.0</v>
      </c>
      <c r="E278" s="7"/>
      <c r="F278" s="47">
        <v>120.59</v>
      </c>
      <c r="G278" s="65">
        <v>0.0</v>
      </c>
      <c r="H278" s="7"/>
      <c r="I278" s="47">
        <v>5.61</v>
      </c>
      <c r="J278" s="66">
        <f t="shared" si="1"/>
        <v>114.98</v>
      </c>
      <c r="K278" s="8"/>
      <c r="L278" s="7"/>
      <c r="M278" s="7"/>
      <c r="N278" s="7"/>
      <c r="O278" s="7"/>
    </row>
    <row r="279">
      <c r="A279" s="45">
        <v>45947.71912037037</v>
      </c>
      <c r="B279" s="8" t="s">
        <v>379</v>
      </c>
      <c r="C279" s="7" t="s">
        <v>96</v>
      </c>
      <c r="D279" s="64">
        <v>1.0</v>
      </c>
      <c r="E279" s="7"/>
      <c r="F279" s="47">
        <v>63.83</v>
      </c>
      <c r="G279" s="65">
        <v>0.0</v>
      </c>
      <c r="H279" s="7"/>
      <c r="I279" s="47">
        <v>2.15</v>
      </c>
      <c r="J279" s="66">
        <f t="shared" si="1"/>
        <v>61.68</v>
      </c>
      <c r="K279" s="8"/>
      <c r="L279" s="7"/>
      <c r="M279" s="7"/>
      <c r="N279" s="7"/>
      <c r="O279" s="7"/>
    </row>
    <row r="280">
      <c r="A280" s="45">
        <v>45947.71880787037</v>
      </c>
      <c r="B280" s="8" t="s">
        <v>380</v>
      </c>
      <c r="C280" s="67" t="s">
        <v>98</v>
      </c>
      <c r="D280" s="64">
        <v>1.0</v>
      </c>
      <c r="E280" s="64">
        <v>1.0</v>
      </c>
      <c r="F280" s="47">
        <v>173.14</v>
      </c>
      <c r="G280" s="65">
        <v>0.0</v>
      </c>
      <c r="H280" s="7"/>
      <c r="I280" s="47">
        <v>7.92</v>
      </c>
      <c r="J280" s="66">
        <f t="shared" si="1"/>
        <v>165.22</v>
      </c>
      <c r="K280" s="8"/>
      <c r="L280" s="7"/>
      <c r="M280" s="7"/>
      <c r="N280" s="7"/>
      <c r="O280" s="7"/>
    </row>
    <row r="281">
      <c r="A281" s="45">
        <v>45947.71876157408</v>
      </c>
      <c r="B281" s="8" t="s">
        <v>381</v>
      </c>
      <c r="C281" s="67" t="s">
        <v>98</v>
      </c>
      <c r="D281" s="64">
        <v>1.0</v>
      </c>
      <c r="E281" s="64">
        <v>1.0</v>
      </c>
      <c r="F281" s="47">
        <v>193.39</v>
      </c>
      <c r="G281" s="65">
        <v>0.0</v>
      </c>
      <c r="H281" s="7"/>
      <c r="I281" s="47">
        <v>8.81</v>
      </c>
      <c r="J281" s="66">
        <f t="shared" si="1"/>
        <v>184.58</v>
      </c>
      <c r="K281" s="8"/>
      <c r="L281" s="7"/>
      <c r="M281" s="7"/>
      <c r="N281" s="7"/>
      <c r="O281" s="7"/>
    </row>
    <row r="282">
      <c r="A282" s="45">
        <v>45947.718668981484</v>
      </c>
      <c r="B282" s="8" t="s">
        <v>382</v>
      </c>
      <c r="C282" s="7" t="s">
        <v>96</v>
      </c>
      <c r="D282" s="64">
        <v>1.0</v>
      </c>
      <c r="E282" s="7"/>
      <c r="F282" s="47">
        <v>60.22</v>
      </c>
      <c r="G282" s="65">
        <v>0.0</v>
      </c>
      <c r="H282" s="7"/>
      <c r="I282" s="47">
        <v>2.05</v>
      </c>
      <c r="J282" s="66">
        <f t="shared" si="1"/>
        <v>58.17</v>
      </c>
      <c r="K282" s="8"/>
      <c r="L282" s="7"/>
      <c r="M282" s="7"/>
      <c r="N282" s="7"/>
      <c r="O282" s="7"/>
    </row>
    <row r="283">
      <c r="A283" s="45">
        <v>45947.71863425926</v>
      </c>
      <c r="B283" s="8" t="s">
        <v>383</v>
      </c>
      <c r="C283" s="7" t="s">
        <v>96</v>
      </c>
      <c r="D283" s="64">
        <v>1.0</v>
      </c>
      <c r="E283" s="7"/>
      <c r="F283" s="47">
        <v>81.14</v>
      </c>
      <c r="G283" s="65">
        <v>0.0</v>
      </c>
      <c r="H283" s="7"/>
      <c r="I283" s="47">
        <v>3.87</v>
      </c>
      <c r="J283" s="66">
        <f t="shared" si="1"/>
        <v>77.27</v>
      </c>
      <c r="K283" s="8"/>
      <c r="L283" s="7"/>
      <c r="M283" s="7"/>
      <c r="N283" s="7"/>
      <c r="O283" s="7"/>
    </row>
    <row r="284">
      <c r="A284" s="45">
        <v>45947.71842592592</v>
      </c>
      <c r="B284" s="8" t="s">
        <v>384</v>
      </c>
      <c r="C284" s="7" t="s">
        <v>96</v>
      </c>
      <c r="D284" s="64">
        <v>1.0</v>
      </c>
      <c r="E284" s="7"/>
      <c r="F284" s="47">
        <v>60.22</v>
      </c>
      <c r="G284" s="65">
        <v>0.0</v>
      </c>
      <c r="H284" s="7"/>
      <c r="I284" s="47">
        <v>2.05</v>
      </c>
      <c r="J284" s="66">
        <f t="shared" si="1"/>
        <v>58.17</v>
      </c>
      <c r="K284" s="8"/>
      <c r="L284" s="7"/>
      <c r="M284" s="7"/>
      <c r="N284" s="7"/>
      <c r="O284" s="7"/>
    </row>
    <row r="285">
      <c r="A285" s="45">
        <v>45947.71774305555</v>
      </c>
      <c r="B285" s="8" t="s">
        <v>385</v>
      </c>
      <c r="C285" s="7" t="s">
        <v>96</v>
      </c>
      <c r="D285" s="64">
        <v>1.0</v>
      </c>
      <c r="E285" s="7"/>
      <c r="F285" s="47">
        <v>81.14</v>
      </c>
      <c r="G285" s="65">
        <v>0.0</v>
      </c>
      <c r="H285" s="7"/>
      <c r="I285" s="47">
        <v>3.87</v>
      </c>
      <c r="J285" s="66">
        <f t="shared" si="1"/>
        <v>77.27</v>
      </c>
      <c r="K285" s="8"/>
      <c r="L285" s="7"/>
      <c r="M285" s="7"/>
      <c r="N285" s="7"/>
      <c r="O285" s="7"/>
    </row>
    <row r="286">
      <c r="A286" s="45">
        <v>45947.717210648145</v>
      </c>
      <c r="B286" s="8" t="s">
        <v>386</v>
      </c>
      <c r="C286" s="67" t="s">
        <v>98</v>
      </c>
      <c r="D286" s="64">
        <v>1.0</v>
      </c>
      <c r="E286" s="64">
        <v>1.0</v>
      </c>
      <c r="F286" s="47">
        <v>167.96</v>
      </c>
      <c r="G286" s="65">
        <v>0.0</v>
      </c>
      <c r="H286" s="7"/>
      <c r="I286" s="47">
        <v>5.17</v>
      </c>
      <c r="J286" s="66">
        <f t="shared" si="1"/>
        <v>162.79</v>
      </c>
      <c r="K286" s="8"/>
      <c r="L286" s="7"/>
      <c r="M286" s="7"/>
      <c r="N286" s="7"/>
      <c r="O286" s="7"/>
    </row>
    <row r="287">
      <c r="A287" s="45">
        <v>45947.717199074075</v>
      </c>
      <c r="B287" s="8" t="s">
        <v>387</v>
      </c>
      <c r="C287" s="7" t="s">
        <v>96</v>
      </c>
      <c r="D287" s="64">
        <v>1.0</v>
      </c>
      <c r="E287" s="7"/>
      <c r="F287" s="47">
        <v>81.14</v>
      </c>
      <c r="G287" s="65">
        <v>0.0</v>
      </c>
      <c r="H287" s="7"/>
      <c r="I287" s="47">
        <v>3.87</v>
      </c>
      <c r="J287" s="66">
        <f t="shared" si="1"/>
        <v>77.27</v>
      </c>
      <c r="K287" s="8"/>
      <c r="L287" s="7"/>
      <c r="M287" s="7"/>
      <c r="N287" s="7"/>
      <c r="O287" s="7"/>
    </row>
    <row r="288">
      <c r="A288" s="45">
        <v>45947.717152777775</v>
      </c>
      <c r="B288" s="8" t="s">
        <v>388</v>
      </c>
      <c r="C288" s="7" t="s">
        <v>96</v>
      </c>
      <c r="D288" s="64">
        <v>1.0</v>
      </c>
      <c r="E288" s="7"/>
      <c r="F288" s="47">
        <v>84.6</v>
      </c>
      <c r="G288" s="65">
        <v>0.0</v>
      </c>
      <c r="H288" s="7"/>
      <c r="I288" s="47">
        <v>4.02</v>
      </c>
      <c r="J288" s="66">
        <f t="shared" si="1"/>
        <v>80.58</v>
      </c>
      <c r="K288" s="8"/>
      <c r="L288" s="7"/>
      <c r="M288" s="7"/>
      <c r="N288" s="7"/>
      <c r="O288" s="7"/>
    </row>
    <row r="289">
      <c r="A289" s="45">
        <v>45947.716782407406</v>
      </c>
      <c r="B289" s="8" t="s">
        <v>389</v>
      </c>
      <c r="C289" s="7" t="s">
        <v>96</v>
      </c>
      <c r="D289" s="64">
        <v>1.0</v>
      </c>
      <c r="E289" s="7"/>
      <c r="F289" s="47">
        <v>76.98</v>
      </c>
      <c r="G289" s="65">
        <v>0.0</v>
      </c>
      <c r="H289" s="7"/>
      <c r="I289" s="47">
        <v>3.69</v>
      </c>
      <c r="J289" s="66">
        <f t="shared" si="1"/>
        <v>73.29</v>
      </c>
      <c r="K289" s="8"/>
      <c r="L289" s="7"/>
      <c r="M289" s="7"/>
      <c r="N289" s="7"/>
      <c r="O289" s="7"/>
    </row>
    <row r="290">
      <c r="A290" s="45">
        <v>45947.71665509259</v>
      </c>
      <c r="B290" s="8" t="s">
        <v>390</v>
      </c>
      <c r="C290" s="64" t="s">
        <v>391</v>
      </c>
      <c r="D290" s="64">
        <v>2.0</v>
      </c>
      <c r="E290" s="7"/>
      <c r="F290" s="47">
        <v>123.07</v>
      </c>
      <c r="G290" s="65">
        <v>0.0</v>
      </c>
      <c r="H290" s="7"/>
      <c r="I290" s="47">
        <v>5.72</v>
      </c>
      <c r="J290" s="66">
        <f t="shared" si="1"/>
        <v>117.35</v>
      </c>
      <c r="K290" s="8"/>
      <c r="L290" s="7"/>
      <c r="M290" s="7"/>
      <c r="N290" s="7"/>
      <c r="O290" s="7"/>
    </row>
    <row r="291">
      <c r="A291" s="45">
        <v>45947.716631944444</v>
      </c>
      <c r="B291" s="8" t="s">
        <v>392</v>
      </c>
      <c r="C291" s="7" t="s">
        <v>96</v>
      </c>
      <c r="D291" s="64">
        <v>1.0</v>
      </c>
      <c r="E291" s="7"/>
      <c r="F291" s="47">
        <v>60.22</v>
      </c>
      <c r="G291" s="65">
        <v>0.0</v>
      </c>
      <c r="H291" s="7"/>
      <c r="I291" s="47">
        <v>2.05</v>
      </c>
      <c r="J291" s="66">
        <f t="shared" si="1"/>
        <v>58.17</v>
      </c>
      <c r="K291" s="8"/>
      <c r="L291" s="7"/>
      <c r="M291" s="7"/>
      <c r="N291" s="7"/>
      <c r="O291" s="7"/>
    </row>
    <row r="292">
      <c r="A292" s="45">
        <v>45947.71659722222</v>
      </c>
      <c r="B292" s="8" t="s">
        <v>393</v>
      </c>
      <c r="C292" s="7" t="s">
        <v>96</v>
      </c>
      <c r="D292" s="64">
        <v>1.0</v>
      </c>
      <c r="E292" s="7"/>
      <c r="F292" s="47">
        <v>64.1</v>
      </c>
      <c r="G292" s="65">
        <v>0.0</v>
      </c>
      <c r="H292" s="7"/>
      <c r="I292" s="47">
        <v>2.16</v>
      </c>
      <c r="J292" s="66">
        <f t="shared" si="1"/>
        <v>61.94</v>
      </c>
      <c r="K292" s="8"/>
      <c r="L292" s="7"/>
      <c r="M292" s="7"/>
      <c r="N292" s="7"/>
      <c r="O292" s="7"/>
    </row>
    <row r="293">
      <c r="A293" s="45">
        <v>45947.71604166667</v>
      </c>
      <c r="B293" s="8" t="s">
        <v>394</v>
      </c>
      <c r="C293" s="7" t="s">
        <v>96</v>
      </c>
      <c r="D293" s="64">
        <v>1.0</v>
      </c>
      <c r="E293" s="7"/>
      <c r="F293" s="47">
        <v>82.82</v>
      </c>
      <c r="G293" s="65">
        <v>0.0</v>
      </c>
      <c r="H293" s="7"/>
      <c r="I293" s="47">
        <v>3.94</v>
      </c>
      <c r="J293" s="66">
        <f t="shared" si="1"/>
        <v>78.88</v>
      </c>
      <c r="K293" s="8"/>
      <c r="L293" s="7"/>
      <c r="M293" s="7"/>
      <c r="N293" s="7"/>
      <c r="O293" s="7"/>
    </row>
    <row r="294">
      <c r="A294" s="45">
        <v>45947.71600694444</v>
      </c>
      <c r="B294" s="8" t="s">
        <v>395</v>
      </c>
      <c r="C294" s="67" t="s">
        <v>98</v>
      </c>
      <c r="D294" s="64">
        <v>1.0</v>
      </c>
      <c r="E294" s="64">
        <v>1.0</v>
      </c>
      <c r="F294" s="47">
        <v>184.9</v>
      </c>
      <c r="G294" s="65">
        <v>0.0</v>
      </c>
      <c r="H294" s="7"/>
      <c r="I294" s="47">
        <v>8.44</v>
      </c>
      <c r="J294" s="66">
        <f t="shared" si="1"/>
        <v>176.46</v>
      </c>
      <c r="K294" s="8"/>
      <c r="L294" s="7"/>
      <c r="M294" s="7"/>
      <c r="N294" s="7"/>
      <c r="O294" s="7"/>
    </row>
    <row r="295">
      <c r="A295" s="45">
        <v>45947.71592592593</v>
      </c>
      <c r="B295" s="8" t="s">
        <v>396</v>
      </c>
      <c r="C295" s="7" t="s">
        <v>96</v>
      </c>
      <c r="D295" s="64">
        <v>1.0</v>
      </c>
      <c r="E295" s="7"/>
      <c r="F295" s="47">
        <v>60.22</v>
      </c>
      <c r="G295" s="65">
        <v>0.0</v>
      </c>
      <c r="H295" s="7"/>
      <c r="I295" s="47">
        <v>2.05</v>
      </c>
      <c r="J295" s="66">
        <f t="shared" si="1"/>
        <v>58.17</v>
      </c>
      <c r="K295" s="8"/>
      <c r="L295" s="7"/>
      <c r="M295" s="7"/>
      <c r="N295" s="7"/>
      <c r="O295" s="7"/>
    </row>
    <row r="296">
      <c r="A296" s="45">
        <v>45947.71576388889</v>
      </c>
      <c r="B296" s="8" t="s">
        <v>397</v>
      </c>
      <c r="C296" s="7" t="s">
        <v>96</v>
      </c>
      <c r="D296" s="64">
        <v>1.0</v>
      </c>
      <c r="E296" s="7"/>
      <c r="F296" s="47">
        <v>76.98</v>
      </c>
      <c r="G296" s="65">
        <v>0.0</v>
      </c>
      <c r="H296" s="7"/>
      <c r="I296" s="47">
        <v>3.69</v>
      </c>
      <c r="J296" s="66">
        <f t="shared" si="1"/>
        <v>73.29</v>
      </c>
      <c r="K296" s="8"/>
      <c r="L296" s="7"/>
      <c r="M296" s="7"/>
      <c r="N296" s="7"/>
      <c r="O296" s="7"/>
    </row>
    <row r="297">
      <c r="A297" s="45">
        <v>45947.7156712963</v>
      </c>
      <c r="B297" s="8" t="s">
        <v>356</v>
      </c>
      <c r="C297" s="7" t="s">
        <v>96</v>
      </c>
      <c r="D297" s="64">
        <v>1.0</v>
      </c>
      <c r="E297" s="7"/>
      <c r="F297" s="47">
        <v>76.98</v>
      </c>
      <c r="G297" s="65">
        <v>0.0</v>
      </c>
      <c r="H297" s="7"/>
      <c r="I297" s="47">
        <v>3.69</v>
      </c>
      <c r="J297" s="66">
        <f t="shared" si="1"/>
        <v>73.29</v>
      </c>
      <c r="K297" s="8"/>
      <c r="L297" s="7"/>
      <c r="M297" s="7"/>
      <c r="N297" s="7"/>
      <c r="O297" s="7"/>
    </row>
    <row r="298">
      <c r="A298" s="45">
        <v>45947.71565972222</v>
      </c>
      <c r="B298" s="8" t="s">
        <v>398</v>
      </c>
      <c r="C298" s="7" t="s">
        <v>96</v>
      </c>
      <c r="D298" s="64">
        <v>1.0</v>
      </c>
      <c r="E298" s="7"/>
      <c r="F298" s="47">
        <v>60.22</v>
      </c>
      <c r="G298" s="65">
        <v>0.0</v>
      </c>
      <c r="H298" s="7"/>
      <c r="I298" s="47">
        <v>2.05</v>
      </c>
      <c r="J298" s="66">
        <f t="shared" si="1"/>
        <v>58.17</v>
      </c>
      <c r="K298" s="8"/>
      <c r="L298" s="7"/>
      <c r="M298" s="7"/>
      <c r="N298" s="7"/>
      <c r="O298" s="7"/>
    </row>
    <row r="299">
      <c r="A299" s="45">
        <v>45947.71443287037</v>
      </c>
      <c r="B299" s="8" t="s">
        <v>399</v>
      </c>
      <c r="C299" s="7" t="s">
        <v>96</v>
      </c>
      <c r="D299" s="64">
        <v>1.0</v>
      </c>
      <c r="E299" s="7"/>
      <c r="F299" s="47">
        <v>60.22</v>
      </c>
      <c r="G299" s="65">
        <v>0.0</v>
      </c>
      <c r="H299" s="7"/>
      <c r="I299" s="47">
        <v>2.05</v>
      </c>
      <c r="J299" s="66">
        <f t="shared" si="1"/>
        <v>58.17</v>
      </c>
      <c r="K299" s="8"/>
      <c r="L299" s="7"/>
      <c r="M299" s="7"/>
      <c r="N299" s="7"/>
      <c r="O299" s="7"/>
    </row>
    <row r="300">
      <c r="A300" s="45">
        <v>45947.71429398148</v>
      </c>
      <c r="B300" s="8" t="s">
        <v>400</v>
      </c>
      <c r="C300" s="67" t="s">
        <v>98</v>
      </c>
      <c r="D300" s="64">
        <v>1.0</v>
      </c>
      <c r="E300" s="64">
        <v>1.0</v>
      </c>
      <c r="F300" s="47">
        <v>166.03</v>
      </c>
      <c r="G300" s="65">
        <v>0.0</v>
      </c>
      <c r="H300" s="7"/>
      <c r="I300" s="47">
        <v>5.11</v>
      </c>
      <c r="J300" s="66">
        <f t="shared" si="1"/>
        <v>160.92</v>
      </c>
      <c r="K300" s="8"/>
      <c r="L300" s="7"/>
      <c r="M300" s="7"/>
      <c r="N300" s="7"/>
      <c r="O300" s="7"/>
    </row>
    <row r="301">
      <c r="A301" s="45">
        <v>45947.713472222225</v>
      </c>
      <c r="B301" s="8" t="s">
        <v>401</v>
      </c>
      <c r="C301" s="7" t="s">
        <v>96</v>
      </c>
      <c r="D301" s="64">
        <v>1.0</v>
      </c>
      <c r="E301" s="7"/>
      <c r="F301" s="47">
        <v>60.22</v>
      </c>
      <c r="G301" s="65">
        <v>0.0</v>
      </c>
      <c r="H301" s="7"/>
      <c r="I301" s="47">
        <v>2.05</v>
      </c>
      <c r="J301" s="66">
        <f t="shared" si="1"/>
        <v>58.17</v>
      </c>
      <c r="K301" s="8"/>
      <c r="L301" s="7"/>
      <c r="M301" s="7"/>
      <c r="N301" s="7"/>
      <c r="O301" s="7"/>
    </row>
    <row r="302">
      <c r="A302" s="45">
        <v>45947.71289351852</v>
      </c>
      <c r="B302" s="8" t="s">
        <v>402</v>
      </c>
      <c r="C302" s="7" t="s">
        <v>96</v>
      </c>
      <c r="D302" s="64">
        <v>1.0</v>
      </c>
      <c r="E302" s="7"/>
      <c r="F302" s="47">
        <v>81.97</v>
      </c>
      <c r="G302" s="65">
        <v>0.0</v>
      </c>
      <c r="H302" s="7"/>
      <c r="I302" s="47">
        <v>3.91</v>
      </c>
      <c r="J302" s="66">
        <f t="shared" si="1"/>
        <v>78.06</v>
      </c>
      <c r="K302" s="8"/>
      <c r="L302" s="7"/>
      <c r="M302" s="7"/>
      <c r="N302" s="7"/>
      <c r="O302" s="7"/>
    </row>
    <row r="303">
      <c r="A303" s="45">
        <v>45947.712743055556</v>
      </c>
      <c r="B303" s="8" t="s">
        <v>403</v>
      </c>
      <c r="C303" s="7" t="s">
        <v>96</v>
      </c>
      <c r="D303" s="64">
        <v>1.0</v>
      </c>
      <c r="E303" s="7"/>
      <c r="F303" s="47">
        <v>60.22</v>
      </c>
      <c r="G303" s="65">
        <v>0.0</v>
      </c>
      <c r="H303" s="7"/>
      <c r="I303" s="47">
        <v>2.05</v>
      </c>
      <c r="J303" s="66">
        <f t="shared" si="1"/>
        <v>58.17</v>
      </c>
      <c r="K303" s="8"/>
      <c r="L303" s="7"/>
      <c r="M303" s="7"/>
      <c r="N303" s="7"/>
      <c r="O303" s="7"/>
    </row>
    <row r="304">
      <c r="A304" s="45">
        <v>45947.71258101852</v>
      </c>
      <c r="B304" s="8" t="s">
        <v>404</v>
      </c>
      <c r="C304" s="7" t="s">
        <v>96</v>
      </c>
      <c r="D304" s="64">
        <v>1.0</v>
      </c>
      <c r="E304" s="7"/>
      <c r="F304" s="47">
        <v>82.82</v>
      </c>
      <c r="G304" s="65">
        <v>0.0</v>
      </c>
      <c r="H304" s="7"/>
      <c r="I304" s="47">
        <v>3.94</v>
      </c>
      <c r="J304" s="66">
        <f t="shared" si="1"/>
        <v>78.88</v>
      </c>
      <c r="K304" s="8"/>
      <c r="L304" s="7"/>
      <c r="M304" s="7"/>
      <c r="N304" s="7"/>
      <c r="O304" s="7"/>
    </row>
    <row r="305">
      <c r="A305" s="45">
        <v>45947.71234953704</v>
      </c>
      <c r="B305" s="8" t="s">
        <v>405</v>
      </c>
      <c r="C305" s="7" t="s">
        <v>96</v>
      </c>
      <c r="D305" s="64">
        <v>1.0</v>
      </c>
      <c r="E305" s="7"/>
      <c r="F305" s="47">
        <v>60.22</v>
      </c>
      <c r="G305" s="65">
        <v>0.0</v>
      </c>
      <c r="H305" s="7"/>
      <c r="I305" s="47">
        <v>2.05</v>
      </c>
      <c r="J305" s="66">
        <f t="shared" si="1"/>
        <v>58.17</v>
      </c>
      <c r="K305" s="8"/>
      <c r="L305" s="7"/>
      <c r="M305" s="7"/>
      <c r="N305" s="7"/>
      <c r="O305" s="7"/>
    </row>
    <row r="306">
      <c r="A306" s="45">
        <v>45947.711377314816</v>
      </c>
      <c r="B306" s="8" t="s">
        <v>406</v>
      </c>
      <c r="C306" s="7" t="s">
        <v>96</v>
      </c>
      <c r="D306" s="64">
        <v>1.0</v>
      </c>
      <c r="E306" s="7"/>
      <c r="F306" s="47">
        <v>60.22</v>
      </c>
      <c r="G306" s="65">
        <v>0.0</v>
      </c>
      <c r="H306" s="7"/>
      <c r="I306" s="47">
        <v>2.95</v>
      </c>
      <c r="J306" s="66">
        <f t="shared" si="1"/>
        <v>57.27</v>
      </c>
      <c r="K306" s="8"/>
      <c r="L306" s="7"/>
      <c r="M306" s="7"/>
      <c r="N306" s="7"/>
      <c r="O306" s="7"/>
    </row>
    <row r="307">
      <c r="A307" s="45">
        <v>45947.71135416667</v>
      </c>
      <c r="B307" s="8" t="s">
        <v>407</v>
      </c>
      <c r="C307" s="7" t="s">
        <v>96</v>
      </c>
      <c r="D307" s="64">
        <v>1.0</v>
      </c>
      <c r="E307" s="7"/>
      <c r="F307" s="47">
        <v>81.97</v>
      </c>
      <c r="G307" s="65">
        <v>0.0</v>
      </c>
      <c r="H307" s="7"/>
      <c r="I307" s="47">
        <v>3.91</v>
      </c>
      <c r="J307" s="66">
        <f t="shared" si="1"/>
        <v>78.06</v>
      </c>
      <c r="K307" s="8"/>
      <c r="L307" s="7"/>
      <c r="M307" s="7"/>
      <c r="N307" s="7"/>
      <c r="O307" s="7"/>
    </row>
    <row r="308">
      <c r="A308" s="45">
        <v>45947.71108796296</v>
      </c>
      <c r="B308" s="8" t="s">
        <v>408</v>
      </c>
      <c r="C308" s="7" t="s">
        <v>96</v>
      </c>
      <c r="D308" s="64">
        <v>1.0</v>
      </c>
      <c r="E308" s="7"/>
      <c r="F308" s="47">
        <v>60.22</v>
      </c>
      <c r="G308" s="65">
        <v>0.0</v>
      </c>
      <c r="H308" s="7"/>
      <c r="I308" s="47">
        <v>2.05</v>
      </c>
      <c r="J308" s="66">
        <f t="shared" si="1"/>
        <v>58.17</v>
      </c>
      <c r="K308" s="8"/>
      <c r="L308" s="7"/>
      <c r="M308" s="7"/>
      <c r="N308" s="7"/>
      <c r="O308" s="7"/>
    </row>
    <row r="309">
      <c r="A309" s="45">
        <v>45947.71090277778</v>
      </c>
      <c r="B309" s="8" t="s">
        <v>409</v>
      </c>
      <c r="C309" s="7" t="s">
        <v>96</v>
      </c>
      <c r="D309" s="64">
        <v>1.0</v>
      </c>
      <c r="E309" s="7"/>
      <c r="F309" s="47">
        <v>60.22</v>
      </c>
      <c r="G309" s="65">
        <v>0.0</v>
      </c>
      <c r="H309" s="7"/>
      <c r="I309" s="47">
        <v>2.05</v>
      </c>
      <c r="J309" s="66">
        <f t="shared" si="1"/>
        <v>58.17</v>
      </c>
      <c r="K309" s="8"/>
      <c r="L309" s="7"/>
      <c r="M309" s="7"/>
      <c r="N309" s="7"/>
      <c r="O309" s="7"/>
    </row>
    <row r="310">
      <c r="A310" s="45">
        <v>45947.710069444445</v>
      </c>
      <c r="B310" s="8" t="s">
        <v>410</v>
      </c>
      <c r="C310" s="7" t="s">
        <v>96</v>
      </c>
      <c r="D310" s="64">
        <v>1.0</v>
      </c>
      <c r="E310" s="7"/>
      <c r="F310" s="47">
        <v>60.22</v>
      </c>
      <c r="G310" s="65">
        <v>0.0</v>
      </c>
      <c r="H310" s="7"/>
      <c r="I310" s="47">
        <v>2.05</v>
      </c>
      <c r="J310" s="66">
        <f t="shared" si="1"/>
        <v>58.17</v>
      </c>
      <c r="K310" s="8"/>
      <c r="L310" s="7"/>
      <c r="M310" s="7"/>
      <c r="N310" s="7"/>
      <c r="O310" s="7"/>
    </row>
    <row r="311">
      <c r="A311" s="45">
        <v>45947.70978009259</v>
      </c>
      <c r="B311" s="8" t="s">
        <v>411</v>
      </c>
      <c r="C311" s="67" t="s">
        <v>98</v>
      </c>
      <c r="D311" s="64">
        <v>1.0</v>
      </c>
      <c r="E311" s="64">
        <v>1.0</v>
      </c>
      <c r="F311" s="47">
        <v>181.14</v>
      </c>
      <c r="G311" s="65">
        <v>0.0</v>
      </c>
      <c r="H311" s="7"/>
      <c r="I311" s="47">
        <v>8.27</v>
      </c>
      <c r="J311" s="66">
        <f t="shared" si="1"/>
        <v>172.87</v>
      </c>
      <c r="K311" s="8"/>
      <c r="L311" s="7"/>
      <c r="M311" s="7"/>
      <c r="N311" s="7"/>
      <c r="O311" s="7"/>
    </row>
    <row r="312">
      <c r="A312" s="45">
        <v>45947.70949074074</v>
      </c>
      <c r="B312" s="8" t="s">
        <v>412</v>
      </c>
      <c r="C312" s="7" t="s">
        <v>96</v>
      </c>
      <c r="D312" s="64">
        <v>1.0</v>
      </c>
      <c r="E312" s="7"/>
      <c r="F312" s="47">
        <v>67.96</v>
      </c>
      <c r="G312" s="65">
        <v>0.0</v>
      </c>
      <c r="H312" s="7"/>
      <c r="I312" s="47">
        <v>2.27</v>
      </c>
      <c r="J312" s="66">
        <f t="shared" si="1"/>
        <v>65.69</v>
      </c>
      <c r="K312" s="8"/>
      <c r="L312" s="7"/>
      <c r="M312" s="7"/>
      <c r="N312" s="7"/>
      <c r="O312" s="7"/>
    </row>
    <row r="313">
      <c r="A313" s="45">
        <v>45947.70922453704</v>
      </c>
      <c r="B313" s="8" t="s">
        <v>413</v>
      </c>
      <c r="C313" s="7" t="s">
        <v>96</v>
      </c>
      <c r="D313" s="64">
        <v>1.0</v>
      </c>
      <c r="E313" s="7"/>
      <c r="F313" s="47">
        <v>83.44</v>
      </c>
      <c r="G313" s="65">
        <v>0.0</v>
      </c>
      <c r="H313" s="7"/>
      <c r="I313" s="47">
        <v>3.97</v>
      </c>
      <c r="J313" s="66">
        <f t="shared" si="1"/>
        <v>79.47</v>
      </c>
      <c r="K313" s="8"/>
      <c r="L313" s="7"/>
      <c r="M313" s="7"/>
      <c r="N313" s="7"/>
      <c r="O313" s="7"/>
    </row>
    <row r="314">
      <c r="A314" s="45">
        <v>45947.70921296296</v>
      </c>
      <c r="B314" s="8" t="s">
        <v>308</v>
      </c>
      <c r="C314" s="67" t="s">
        <v>414</v>
      </c>
      <c r="D314" s="64">
        <v>4.0</v>
      </c>
      <c r="E314" s="64">
        <v>1.0</v>
      </c>
      <c r="F314" s="75">
        <v>310.22</v>
      </c>
      <c r="G314" s="65">
        <v>0.0</v>
      </c>
      <c r="H314" s="7"/>
      <c r="I314" s="47">
        <v>13.95</v>
      </c>
      <c r="J314" s="66">
        <f t="shared" si="1"/>
        <v>296.27</v>
      </c>
      <c r="K314" s="8"/>
      <c r="L314" s="7"/>
      <c r="M314" s="7"/>
      <c r="N314" s="7"/>
      <c r="O314" s="7"/>
    </row>
    <row r="315">
      <c r="A315" s="45">
        <v>45947.70885416667</v>
      </c>
      <c r="B315" s="8" t="s">
        <v>415</v>
      </c>
      <c r="C315" s="7" t="s">
        <v>96</v>
      </c>
      <c r="D315" s="64">
        <v>1.0</v>
      </c>
      <c r="E315" s="7"/>
      <c r="F315" s="47">
        <v>60.22</v>
      </c>
      <c r="G315" s="65">
        <v>0.0</v>
      </c>
      <c r="H315" s="7"/>
      <c r="I315" s="47">
        <v>2.05</v>
      </c>
      <c r="J315" s="66">
        <f t="shared" si="1"/>
        <v>58.17</v>
      </c>
      <c r="K315" s="8"/>
      <c r="L315" s="7"/>
      <c r="M315" s="7"/>
      <c r="N315" s="7"/>
      <c r="O315" s="7"/>
    </row>
    <row r="316">
      <c r="A316" s="45">
        <v>45947.708761574075</v>
      </c>
      <c r="B316" s="8" t="s">
        <v>416</v>
      </c>
      <c r="C316" s="7" t="s">
        <v>96</v>
      </c>
      <c r="D316" s="64">
        <v>1.0</v>
      </c>
      <c r="E316" s="7"/>
      <c r="F316" s="47">
        <v>60.22</v>
      </c>
      <c r="G316" s="65">
        <v>0.0</v>
      </c>
      <c r="H316" s="7"/>
      <c r="I316" s="47">
        <v>2.05</v>
      </c>
      <c r="J316" s="66">
        <f t="shared" si="1"/>
        <v>58.17</v>
      </c>
      <c r="K316" s="8"/>
      <c r="L316" s="7"/>
      <c r="M316" s="7"/>
      <c r="N316" s="7"/>
      <c r="O316" s="7"/>
    </row>
    <row r="317">
      <c r="A317" s="45">
        <v>45947.70872685185</v>
      </c>
      <c r="B317" s="8" t="s">
        <v>417</v>
      </c>
      <c r="C317" s="67" t="s">
        <v>98</v>
      </c>
      <c r="D317" s="64">
        <v>1.0</v>
      </c>
      <c r="E317" s="64">
        <v>1.0</v>
      </c>
      <c r="F317" s="47">
        <v>189.2</v>
      </c>
      <c r="G317" s="65">
        <v>0.0</v>
      </c>
      <c r="H317" s="7"/>
      <c r="I317" s="47">
        <v>8.62</v>
      </c>
      <c r="J317" s="66">
        <f t="shared" si="1"/>
        <v>180.58</v>
      </c>
      <c r="K317" s="8"/>
      <c r="L317" s="7"/>
      <c r="M317" s="7"/>
      <c r="N317" s="7"/>
      <c r="O317" s="7"/>
    </row>
    <row r="318">
      <c r="A318" s="45">
        <v>45947.708599537036</v>
      </c>
      <c r="B318" s="8" t="s">
        <v>418</v>
      </c>
      <c r="C318" s="7" t="s">
        <v>96</v>
      </c>
      <c r="D318" s="64">
        <v>1.0</v>
      </c>
      <c r="E318" s="7"/>
      <c r="F318" s="47">
        <v>74.95</v>
      </c>
      <c r="G318" s="65">
        <v>0.0</v>
      </c>
      <c r="H318" s="7"/>
      <c r="I318" s="47">
        <v>3.6</v>
      </c>
      <c r="J318" s="66">
        <f t="shared" si="1"/>
        <v>71.35</v>
      </c>
      <c r="K318" s="8"/>
      <c r="L318" s="7"/>
      <c r="M318" s="7"/>
      <c r="N318" s="7"/>
      <c r="O318" s="7"/>
    </row>
    <row r="319">
      <c r="A319" s="45">
        <v>45947.70832175926</v>
      </c>
      <c r="B319" s="8" t="s">
        <v>419</v>
      </c>
      <c r="C319" s="7" t="s">
        <v>96</v>
      </c>
      <c r="D319" s="64">
        <v>1.0</v>
      </c>
      <c r="E319" s="7"/>
      <c r="F319" s="47">
        <v>64.6</v>
      </c>
      <c r="G319" s="65">
        <v>0.0</v>
      </c>
      <c r="H319" s="7"/>
      <c r="I319" s="47">
        <v>2.17</v>
      </c>
      <c r="J319" s="66">
        <f t="shared" si="1"/>
        <v>62.43</v>
      </c>
      <c r="K319" s="8"/>
      <c r="L319" s="7"/>
      <c r="M319" s="7"/>
      <c r="N319" s="7"/>
      <c r="O319" s="7"/>
    </row>
    <row r="320">
      <c r="A320" s="45">
        <v>45947.70829861111</v>
      </c>
      <c r="B320" s="8" t="s">
        <v>420</v>
      </c>
      <c r="C320" s="7" t="s">
        <v>96</v>
      </c>
      <c r="D320" s="64">
        <v>1.0</v>
      </c>
      <c r="E320" s="7"/>
      <c r="F320" s="47">
        <v>81.14</v>
      </c>
      <c r="G320" s="65">
        <v>0.0</v>
      </c>
      <c r="H320" s="7"/>
      <c r="I320" s="47">
        <v>3.87</v>
      </c>
      <c r="J320" s="66">
        <f t="shared" si="1"/>
        <v>77.27</v>
      </c>
      <c r="K320" s="8"/>
      <c r="L320" s="7"/>
      <c r="M320" s="7"/>
      <c r="N320" s="7"/>
      <c r="O320" s="7"/>
    </row>
    <row r="321">
      <c r="A321" s="45">
        <v>45947.70822916667</v>
      </c>
      <c r="B321" s="8" t="s">
        <v>421</v>
      </c>
      <c r="C321" s="7" t="s">
        <v>96</v>
      </c>
      <c r="D321" s="64">
        <v>1.0</v>
      </c>
      <c r="E321" s="7"/>
      <c r="F321" s="47">
        <v>60.22</v>
      </c>
      <c r="G321" s="65">
        <v>0.0</v>
      </c>
      <c r="H321" s="7"/>
      <c r="I321" s="47">
        <v>2.05</v>
      </c>
      <c r="J321" s="66">
        <f t="shared" si="1"/>
        <v>58.17</v>
      </c>
      <c r="K321" s="8"/>
      <c r="L321" s="7"/>
      <c r="M321" s="7"/>
      <c r="N321" s="7"/>
      <c r="O321" s="7"/>
    </row>
    <row r="322">
      <c r="A322" s="45">
        <v>45947.708090277774</v>
      </c>
      <c r="B322" s="8" t="s">
        <v>422</v>
      </c>
      <c r="C322" s="67" t="s">
        <v>98</v>
      </c>
      <c r="D322" s="64">
        <v>1.0</v>
      </c>
      <c r="E322" s="64">
        <v>1.0</v>
      </c>
      <c r="F322" s="47">
        <v>176.98</v>
      </c>
      <c r="G322" s="65">
        <v>0.0</v>
      </c>
      <c r="H322" s="7"/>
      <c r="I322" s="47">
        <v>8.09</v>
      </c>
      <c r="J322" s="66">
        <f t="shared" si="1"/>
        <v>168.89</v>
      </c>
      <c r="K322" s="8"/>
      <c r="L322" s="7"/>
      <c r="M322" s="7"/>
      <c r="N322" s="7"/>
      <c r="O322" s="7"/>
    </row>
    <row r="323">
      <c r="A323" s="45">
        <v>45947.70804398148</v>
      </c>
      <c r="B323" s="8" t="s">
        <v>423</v>
      </c>
      <c r="C323" s="7" t="s">
        <v>96</v>
      </c>
      <c r="D323" s="64">
        <v>1.0</v>
      </c>
      <c r="E323" s="7"/>
      <c r="F323" s="47">
        <v>81.14</v>
      </c>
      <c r="G323" s="65">
        <v>0.0</v>
      </c>
      <c r="H323" s="7"/>
      <c r="I323" s="47">
        <v>3.87</v>
      </c>
      <c r="J323" s="66">
        <f t="shared" si="1"/>
        <v>77.27</v>
      </c>
      <c r="K323" s="8"/>
      <c r="L323" s="7"/>
      <c r="M323" s="7"/>
      <c r="N323" s="7"/>
      <c r="O323" s="7"/>
    </row>
    <row r="324">
      <c r="A324" s="45">
        <v>45947.70793981481</v>
      </c>
      <c r="B324" s="8" t="s">
        <v>424</v>
      </c>
      <c r="C324" s="67" t="s">
        <v>98</v>
      </c>
      <c r="D324" s="64">
        <v>1.0</v>
      </c>
      <c r="E324" s="64">
        <v>1.0</v>
      </c>
      <c r="F324" s="47">
        <v>160.22</v>
      </c>
      <c r="G324" s="65">
        <v>0.0</v>
      </c>
      <c r="H324" s="7"/>
      <c r="I324" s="47">
        <v>4.95</v>
      </c>
      <c r="J324" s="66">
        <f t="shared" si="1"/>
        <v>155.27</v>
      </c>
      <c r="K324" s="8"/>
      <c r="L324" s="7"/>
      <c r="M324" s="7"/>
      <c r="N324" s="7"/>
      <c r="O324" s="7"/>
    </row>
    <row r="325">
      <c r="A325" s="45">
        <v>45947.707916666666</v>
      </c>
      <c r="B325" s="8" t="s">
        <v>425</v>
      </c>
      <c r="C325" s="67" t="s">
        <v>98</v>
      </c>
      <c r="D325" s="64">
        <v>1.0</v>
      </c>
      <c r="E325" s="64">
        <v>1.0</v>
      </c>
      <c r="F325" s="47">
        <v>176.98</v>
      </c>
      <c r="G325" s="65">
        <v>0.0</v>
      </c>
      <c r="H325" s="7"/>
      <c r="I325" s="47">
        <v>8.09</v>
      </c>
      <c r="J325" s="66">
        <f t="shared" si="1"/>
        <v>168.89</v>
      </c>
      <c r="K325" s="8"/>
      <c r="L325" s="7"/>
      <c r="M325" s="7"/>
      <c r="N325" s="7"/>
      <c r="O325" s="7"/>
    </row>
    <row r="326">
      <c r="A326" s="45">
        <v>45947.70789351852</v>
      </c>
      <c r="B326" s="8" t="s">
        <v>426</v>
      </c>
      <c r="C326" s="67" t="s">
        <v>98</v>
      </c>
      <c r="D326" s="64">
        <v>1.0</v>
      </c>
      <c r="E326" s="64">
        <v>1.0</v>
      </c>
      <c r="F326" s="47">
        <v>160.22</v>
      </c>
      <c r="G326" s="65">
        <v>0.0</v>
      </c>
      <c r="H326" s="7"/>
      <c r="I326" s="47">
        <v>4.95</v>
      </c>
      <c r="J326" s="66">
        <f t="shared" si="1"/>
        <v>155.27</v>
      </c>
      <c r="K326" s="8"/>
      <c r="L326" s="7"/>
      <c r="M326" s="7"/>
      <c r="N326" s="7"/>
      <c r="O326" s="7"/>
    </row>
    <row r="327">
      <c r="A327" s="45">
        <v>45947.707349537035</v>
      </c>
      <c r="B327" s="8" t="s">
        <v>170</v>
      </c>
      <c r="C327" s="7" t="s">
        <v>96</v>
      </c>
      <c r="D327" s="64">
        <v>1.0</v>
      </c>
      <c r="E327" s="7"/>
      <c r="F327" s="47">
        <v>81.14</v>
      </c>
      <c r="G327" s="65">
        <v>0.0</v>
      </c>
      <c r="H327" s="7"/>
      <c r="I327" s="47">
        <v>3.87</v>
      </c>
      <c r="J327" s="66">
        <f t="shared" si="1"/>
        <v>77.27</v>
      </c>
      <c r="K327" s="8"/>
      <c r="L327" s="7"/>
      <c r="M327" s="7"/>
      <c r="N327" s="7"/>
      <c r="O327" s="7"/>
    </row>
    <row r="328">
      <c r="A328" s="45">
        <v>45947.707291666666</v>
      </c>
      <c r="B328" s="8" t="s">
        <v>427</v>
      </c>
      <c r="C328" s="67" t="s">
        <v>98</v>
      </c>
      <c r="D328" s="64">
        <v>1.0</v>
      </c>
      <c r="E328" s="64">
        <v>1.0</v>
      </c>
      <c r="F328" s="47">
        <v>160.22</v>
      </c>
      <c r="G328" s="65">
        <v>0.0</v>
      </c>
      <c r="H328" s="7"/>
      <c r="I328" s="47">
        <v>4.95</v>
      </c>
      <c r="J328" s="66">
        <f t="shared" si="1"/>
        <v>155.27</v>
      </c>
      <c r="K328" s="8"/>
      <c r="L328" s="7"/>
      <c r="M328" s="7"/>
      <c r="N328" s="7"/>
      <c r="O328" s="7"/>
    </row>
    <row r="329">
      <c r="A329" s="45">
        <v>45947.70725694444</v>
      </c>
      <c r="B329" s="8" t="s">
        <v>428</v>
      </c>
      <c r="C329" s="7" t="s">
        <v>96</v>
      </c>
      <c r="D329" s="64">
        <v>1.0</v>
      </c>
      <c r="E329" s="7"/>
      <c r="F329" s="47">
        <v>73.14</v>
      </c>
      <c r="G329" s="65">
        <v>0.0</v>
      </c>
      <c r="H329" s="7"/>
      <c r="I329" s="47">
        <v>3.52</v>
      </c>
      <c r="J329" s="66">
        <f t="shared" si="1"/>
        <v>69.62</v>
      </c>
      <c r="K329" s="8"/>
      <c r="L329" s="7"/>
      <c r="M329" s="7"/>
      <c r="N329" s="7"/>
      <c r="O329" s="7"/>
    </row>
    <row r="330">
      <c r="A330" s="45">
        <v>45947.707141203704</v>
      </c>
      <c r="B330" s="8" t="s">
        <v>429</v>
      </c>
      <c r="C330" s="7" t="s">
        <v>96</v>
      </c>
      <c r="D330" s="64">
        <v>1.0</v>
      </c>
      <c r="E330" s="7"/>
      <c r="F330" s="47">
        <v>81.14</v>
      </c>
      <c r="G330" s="65">
        <v>0.0</v>
      </c>
      <c r="H330" s="7"/>
      <c r="I330" s="47">
        <v>3.87</v>
      </c>
      <c r="J330" s="66">
        <f t="shared" si="1"/>
        <v>77.27</v>
      </c>
      <c r="K330" s="8"/>
      <c r="L330" s="7"/>
      <c r="M330" s="7"/>
      <c r="N330" s="7"/>
      <c r="O330" s="7"/>
    </row>
    <row r="331">
      <c r="A331" s="45">
        <v>45942.19037037037</v>
      </c>
      <c r="B331" s="8" t="s">
        <v>430</v>
      </c>
      <c r="C331" s="7" t="s">
        <v>96</v>
      </c>
      <c r="D331" s="64">
        <v>1.0</v>
      </c>
      <c r="E331" s="7"/>
      <c r="F331" s="47">
        <v>60.22</v>
      </c>
      <c r="G331" s="65">
        <v>0.0</v>
      </c>
      <c r="H331" s="7"/>
      <c r="I331" s="47">
        <v>2.05</v>
      </c>
      <c r="J331" s="66">
        <f t="shared" si="1"/>
        <v>58.17</v>
      </c>
      <c r="K331" s="8"/>
      <c r="L331" s="7"/>
      <c r="M331" s="7"/>
      <c r="N331" s="7"/>
      <c r="O331" s="7"/>
    </row>
    <row r="332">
      <c r="A332" s="45">
        <v>45942.176087962966</v>
      </c>
      <c r="B332" s="8" t="s">
        <v>431</v>
      </c>
      <c r="C332" s="7" t="s">
        <v>96</v>
      </c>
      <c r="D332" s="64">
        <v>1.0</v>
      </c>
      <c r="E332" s="7"/>
      <c r="F332" s="47">
        <v>60.22</v>
      </c>
      <c r="G332" s="65">
        <v>0.0</v>
      </c>
      <c r="H332" s="7"/>
      <c r="I332" s="47">
        <v>2.05</v>
      </c>
      <c r="J332" s="66">
        <f t="shared" si="1"/>
        <v>58.17</v>
      </c>
      <c r="K332" s="8"/>
      <c r="L332" s="7"/>
      <c r="M332" s="7"/>
      <c r="N332" s="7"/>
      <c r="O332" s="7"/>
    </row>
    <row r="333">
      <c r="A333" s="45">
        <v>45942.136608796296</v>
      </c>
      <c r="B333" s="8" t="s">
        <v>432</v>
      </c>
      <c r="C333" s="67" t="s">
        <v>98</v>
      </c>
      <c r="D333" s="64">
        <v>1.0</v>
      </c>
      <c r="E333" s="64">
        <v>1.0</v>
      </c>
      <c r="F333" s="47">
        <v>171.85</v>
      </c>
      <c r="G333" s="65">
        <v>0.0</v>
      </c>
      <c r="H333" s="7"/>
      <c r="I333" s="47">
        <v>5.28</v>
      </c>
      <c r="J333" s="66">
        <f t="shared" si="1"/>
        <v>166.57</v>
      </c>
      <c r="K333" s="8"/>
      <c r="L333" s="7"/>
      <c r="M333" s="7"/>
      <c r="N333" s="7"/>
      <c r="O333" s="7"/>
    </row>
    <row r="334">
      <c r="A334" s="45">
        <v>45942.1246875</v>
      </c>
      <c r="B334" s="8" t="s">
        <v>433</v>
      </c>
      <c r="C334" s="67" t="s">
        <v>98</v>
      </c>
      <c r="D334" s="64">
        <v>1.0</v>
      </c>
      <c r="E334" s="64">
        <v>1.0</v>
      </c>
      <c r="F334" s="47">
        <v>163.23</v>
      </c>
      <c r="G334" s="65">
        <v>0.0</v>
      </c>
      <c r="H334" s="7"/>
      <c r="I334" s="47">
        <v>5.03</v>
      </c>
      <c r="J334" s="66">
        <f t="shared" si="1"/>
        <v>158.2</v>
      </c>
      <c r="K334" s="8"/>
      <c r="L334" s="7"/>
      <c r="M334" s="7"/>
      <c r="N334" s="7"/>
      <c r="O334" s="7"/>
    </row>
    <row r="335">
      <c r="A335" s="45">
        <v>45942.07591435185</v>
      </c>
      <c r="B335" s="8" t="s">
        <v>434</v>
      </c>
      <c r="C335" s="67" t="s">
        <v>98</v>
      </c>
      <c r="D335" s="64">
        <v>1.0</v>
      </c>
      <c r="E335" s="64">
        <v>1.0</v>
      </c>
      <c r="F335" s="47">
        <v>169.83</v>
      </c>
      <c r="G335" s="65">
        <v>0.0</v>
      </c>
      <c r="H335" s="7"/>
      <c r="I335" s="47">
        <v>5.23</v>
      </c>
      <c r="J335" s="66">
        <f t="shared" si="1"/>
        <v>164.6</v>
      </c>
      <c r="K335" s="8"/>
      <c r="L335" s="7"/>
      <c r="M335" s="7"/>
      <c r="N335" s="7"/>
      <c r="O335" s="7"/>
    </row>
    <row r="336">
      <c r="A336" s="45">
        <v>45942.073287037034</v>
      </c>
      <c r="B336" s="8" t="s">
        <v>435</v>
      </c>
      <c r="C336" s="67" t="s">
        <v>98</v>
      </c>
      <c r="D336" s="64">
        <v>1.0</v>
      </c>
      <c r="E336" s="64">
        <v>1.0</v>
      </c>
      <c r="F336" s="47">
        <v>160.22</v>
      </c>
      <c r="G336" s="65">
        <v>0.0</v>
      </c>
      <c r="H336" s="7"/>
      <c r="I336" s="47">
        <v>4.95</v>
      </c>
      <c r="J336" s="66">
        <f t="shared" si="1"/>
        <v>155.27</v>
      </c>
      <c r="K336" s="8"/>
      <c r="L336" s="7"/>
      <c r="M336" s="7"/>
      <c r="N336" s="7"/>
      <c r="O336" s="7"/>
    </row>
    <row r="337">
      <c r="A337" s="45">
        <v>45942.07072916667</v>
      </c>
      <c r="B337" s="8" t="s">
        <v>436</v>
      </c>
      <c r="C337" s="7" t="s">
        <v>96</v>
      </c>
      <c r="D337" s="64">
        <v>1.0</v>
      </c>
      <c r="E337" s="7"/>
      <c r="F337" s="47">
        <v>60.22</v>
      </c>
      <c r="G337" s="65">
        <v>0.0</v>
      </c>
      <c r="H337" s="7"/>
      <c r="I337" s="47">
        <v>2.05</v>
      </c>
      <c r="J337" s="66">
        <f t="shared" si="1"/>
        <v>58.17</v>
      </c>
      <c r="K337" s="8"/>
      <c r="L337" s="7"/>
      <c r="M337" s="7"/>
      <c r="N337" s="7"/>
      <c r="O337" s="7"/>
    </row>
    <row r="338">
      <c r="A338" s="45">
        <v>45942.061574074076</v>
      </c>
      <c r="B338" s="8" t="s">
        <v>437</v>
      </c>
      <c r="C338" s="7" t="s">
        <v>96</v>
      </c>
      <c r="D338" s="64">
        <v>1.0</v>
      </c>
      <c r="E338" s="7"/>
      <c r="F338" s="47">
        <v>60.22</v>
      </c>
      <c r="G338" s="65">
        <v>0.0</v>
      </c>
      <c r="H338" s="7"/>
      <c r="I338" s="47">
        <v>2.05</v>
      </c>
      <c r="J338" s="66">
        <f t="shared" si="1"/>
        <v>58.17</v>
      </c>
      <c r="K338" s="8"/>
      <c r="L338" s="7"/>
      <c r="M338" s="7"/>
      <c r="N338" s="7"/>
      <c r="O338" s="7"/>
    </row>
    <row r="339">
      <c r="A339" s="45">
        <v>45942.04583333333</v>
      </c>
      <c r="B339" s="8" t="s">
        <v>438</v>
      </c>
      <c r="C339" s="67" t="s">
        <v>98</v>
      </c>
      <c r="D339" s="64">
        <v>1.0</v>
      </c>
      <c r="E339" s="64">
        <v>1.0</v>
      </c>
      <c r="F339" s="47">
        <v>186.58</v>
      </c>
      <c r="G339" s="65">
        <v>0.0</v>
      </c>
      <c r="H339" s="7"/>
      <c r="I339" s="47">
        <v>8.51</v>
      </c>
      <c r="J339" s="66">
        <f t="shared" si="1"/>
        <v>178.07</v>
      </c>
      <c r="K339" s="8"/>
      <c r="L339" s="7"/>
      <c r="M339" s="7"/>
      <c r="N339" s="7"/>
      <c r="O339" s="7"/>
    </row>
    <row r="340">
      <c r="A340" s="45">
        <v>45942.04356481481</v>
      </c>
      <c r="B340" s="8" t="s">
        <v>439</v>
      </c>
      <c r="C340" s="67" t="s">
        <v>98</v>
      </c>
      <c r="D340" s="64">
        <v>1.0</v>
      </c>
      <c r="E340" s="64">
        <v>1.0</v>
      </c>
      <c r="F340" s="47">
        <v>160.22</v>
      </c>
      <c r="G340" s="65">
        <v>0.0</v>
      </c>
      <c r="H340" s="7"/>
      <c r="I340" s="47">
        <v>4.95</v>
      </c>
      <c r="J340" s="66">
        <f t="shared" si="1"/>
        <v>155.27</v>
      </c>
      <c r="K340" s="8"/>
      <c r="L340" s="7"/>
      <c r="M340" s="7"/>
      <c r="N340" s="7"/>
      <c r="O340" s="7"/>
    </row>
    <row r="341">
      <c r="A341" s="45">
        <v>45942.04332175926</v>
      </c>
      <c r="B341" s="8" t="s">
        <v>440</v>
      </c>
      <c r="C341" s="7" t="s">
        <v>96</v>
      </c>
      <c r="D341" s="64">
        <v>1.0</v>
      </c>
      <c r="E341" s="7"/>
      <c r="F341" s="47">
        <v>60.22</v>
      </c>
      <c r="G341" s="65">
        <v>0.0</v>
      </c>
      <c r="H341" s="7"/>
      <c r="I341" s="47">
        <v>2.05</v>
      </c>
      <c r="J341" s="66">
        <f t="shared" si="1"/>
        <v>58.17</v>
      </c>
      <c r="K341" s="8"/>
      <c r="L341" s="7"/>
      <c r="M341" s="7"/>
      <c r="N341" s="7"/>
      <c r="O341" s="7"/>
    </row>
    <row r="342">
      <c r="A342" s="45">
        <v>45942.043020833335</v>
      </c>
      <c r="B342" s="8" t="s">
        <v>441</v>
      </c>
      <c r="C342" s="67" t="s">
        <v>98</v>
      </c>
      <c r="D342" s="64">
        <v>1.0</v>
      </c>
      <c r="E342" s="64">
        <v>1.0</v>
      </c>
      <c r="F342" s="47">
        <v>160.22</v>
      </c>
      <c r="G342" s="65">
        <v>0.0</v>
      </c>
      <c r="H342" s="7"/>
      <c r="I342" s="47">
        <v>4.95</v>
      </c>
      <c r="J342" s="66">
        <f t="shared" si="1"/>
        <v>155.27</v>
      </c>
      <c r="K342" s="8"/>
      <c r="L342" s="7"/>
      <c r="M342" s="7"/>
      <c r="N342" s="7"/>
      <c r="O342" s="7"/>
    </row>
    <row r="343">
      <c r="A343" s="45">
        <v>45942.038993055554</v>
      </c>
      <c r="B343" s="8" t="s">
        <v>442</v>
      </c>
      <c r="C343" s="7" t="s">
        <v>96</v>
      </c>
      <c r="D343" s="64">
        <v>1.0</v>
      </c>
      <c r="E343" s="7"/>
      <c r="F343" s="47">
        <v>60.22</v>
      </c>
      <c r="G343" s="65">
        <v>0.0</v>
      </c>
      <c r="H343" s="7"/>
      <c r="I343" s="47">
        <v>2.05</v>
      </c>
      <c r="J343" s="66">
        <f t="shared" si="1"/>
        <v>58.17</v>
      </c>
      <c r="K343" s="8"/>
      <c r="L343" s="7"/>
      <c r="M343" s="7"/>
      <c r="N343" s="7"/>
      <c r="O343" s="7"/>
    </row>
    <row r="344">
      <c r="A344" s="45">
        <v>45942.03853009259</v>
      </c>
      <c r="B344" s="8" t="s">
        <v>443</v>
      </c>
      <c r="C344" s="7" t="s">
        <v>96</v>
      </c>
      <c r="D344" s="64">
        <v>1.0</v>
      </c>
      <c r="E344" s="7"/>
      <c r="F344" s="47">
        <v>61.67</v>
      </c>
      <c r="G344" s="65">
        <v>0.0</v>
      </c>
      <c r="H344" s="7"/>
      <c r="I344" s="47">
        <v>2.09</v>
      </c>
      <c r="J344" s="66">
        <f t="shared" si="1"/>
        <v>59.58</v>
      </c>
      <c r="K344" s="8"/>
      <c r="L344" s="7"/>
      <c r="M344" s="7"/>
      <c r="N344" s="7"/>
      <c r="O344" s="7"/>
    </row>
    <row r="345">
      <c r="A345" s="45">
        <v>45942.036041666666</v>
      </c>
      <c r="B345" s="8" t="s">
        <v>444</v>
      </c>
      <c r="C345" s="67" t="s">
        <v>98</v>
      </c>
      <c r="D345" s="64">
        <v>1.0</v>
      </c>
      <c r="E345" s="64">
        <v>1.0</v>
      </c>
      <c r="F345" s="47">
        <v>160.22</v>
      </c>
      <c r="G345" s="65">
        <v>0.0</v>
      </c>
      <c r="H345" s="7"/>
      <c r="I345" s="47">
        <v>4.95</v>
      </c>
      <c r="J345" s="66">
        <f t="shared" si="1"/>
        <v>155.27</v>
      </c>
      <c r="K345" s="8"/>
      <c r="L345" s="7"/>
      <c r="M345" s="7"/>
      <c r="N345" s="7"/>
      <c r="O345" s="7"/>
    </row>
    <row r="346">
      <c r="A346" s="45">
        <v>45942.03465277778</v>
      </c>
      <c r="B346" s="8" t="s">
        <v>445</v>
      </c>
      <c r="C346" s="67" t="s">
        <v>98</v>
      </c>
      <c r="D346" s="64">
        <v>1.0</v>
      </c>
      <c r="E346" s="64">
        <v>1.0</v>
      </c>
      <c r="F346" s="47">
        <v>160.22</v>
      </c>
      <c r="G346" s="65">
        <v>0.0</v>
      </c>
      <c r="H346" s="7"/>
      <c r="I346" s="47">
        <v>4.95</v>
      </c>
      <c r="J346" s="66">
        <f t="shared" si="1"/>
        <v>155.27</v>
      </c>
      <c r="K346" s="8"/>
      <c r="L346" s="7"/>
      <c r="M346" s="7"/>
      <c r="N346" s="7"/>
      <c r="O346" s="7"/>
    </row>
    <row r="347">
      <c r="A347" s="45">
        <v>45942.03144675926</v>
      </c>
      <c r="B347" s="8" t="s">
        <v>446</v>
      </c>
      <c r="C347" s="7" t="s">
        <v>96</v>
      </c>
      <c r="D347" s="64">
        <v>1.0</v>
      </c>
      <c r="E347" s="7"/>
      <c r="F347" s="47">
        <v>60.22</v>
      </c>
      <c r="G347" s="65">
        <v>0.0</v>
      </c>
      <c r="H347" s="7"/>
      <c r="I347" s="47">
        <v>2.05</v>
      </c>
      <c r="J347" s="66">
        <f t="shared" si="1"/>
        <v>58.17</v>
      </c>
      <c r="K347" s="8"/>
      <c r="L347" s="7"/>
      <c r="M347" s="7"/>
      <c r="N347" s="7"/>
      <c r="O347" s="7"/>
    </row>
    <row r="348">
      <c r="A348" s="45">
        <v>45942.030625</v>
      </c>
      <c r="B348" s="8" t="s">
        <v>447</v>
      </c>
      <c r="C348" s="7" t="s">
        <v>96</v>
      </c>
      <c r="D348" s="64">
        <v>1.0</v>
      </c>
      <c r="E348" s="7"/>
      <c r="F348" s="47">
        <v>63.23</v>
      </c>
      <c r="G348" s="65">
        <v>0.0</v>
      </c>
      <c r="H348" s="7"/>
      <c r="I348" s="47">
        <v>2.13</v>
      </c>
      <c r="J348" s="66">
        <f t="shared" si="1"/>
        <v>61.1</v>
      </c>
      <c r="K348" s="8"/>
      <c r="L348" s="7"/>
      <c r="M348" s="7"/>
      <c r="N348" s="7"/>
      <c r="O348" s="7"/>
    </row>
    <row r="349">
      <c r="A349" s="45">
        <v>45942.03026620371</v>
      </c>
      <c r="B349" s="8" t="s">
        <v>448</v>
      </c>
      <c r="C349" s="67" t="s">
        <v>98</v>
      </c>
      <c r="D349" s="64">
        <v>1.0</v>
      </c>
      <c r="E349" s="64">
        <v>1.0</v>
      </c>
      <c r="F349" s="47">
        <v>160.22</v>
      </c>
      <c r="G349" s="65">
        <v>0.0</v>
      </c>
      <c r="H349" s="7"/>
      <c r="I349" s="47">
        <v>4.95</v>
      </c>
      <c r="J349" s="66">
        <f t="shared" si="1"/>
        <v>155.27</v>
      </c>
      <c r="K349" s="8"/>
      <c r="L349" s="7"/>
      <c r="M349" s="7"/>
      <c r="N349" s="7"/>
      <c r="O349" s="7"/>
    </row>
    <row r="350">
      <c r="A350" s="45">
        <v>45942.0296875</v>
      </c>
      <c r="B350" s="8" t="s">
        <v>449</v>
      </c>
      <c r="C350" s="7" t="s">
        <v>96</v>
      </c>
      <c r="D350" s="64">
        <v>1.0</v>
      </c>
      <c r="E350" s="7"/>
      <c r="F350" s="47">
        <v>60.22</v>
      </c>
      <c r="G350" s="65">
        <v>0.0</v>
      </c>
      <c r="H350" s="7"/>
      <c r="I350" s="47">
        <v>2.05</v>
      </c>
      <c r="J350" s="66">
        <f t="shared" si="1"/>
        <v>58.17</v>
      </c>
      <c r="K350" s="8"/>
      <c r="L350" s="7"/>
      <c r="M350" s="7"/>
      <c r="N350" s="7"/>
      <c r="O350" s="7"/>
    </row>
    <row r="351">
      <c r="A351" s="45">
        <v>45942.0281712963</v>
      </c>
      <c r="B351" s="8" t="s">
        <v>450</v>
      </c>
      <c r="C351" s="7" t="s">
        <v>96</v>
      </c>
      <c r="D351" s="64">
        <v>1.0</v>
      </c>
      <c r="E351" s="7"/>
      <c r="F351" s="47">
        <v>60.22</v>
      </c>
      <c r="G351" s="65">
        <v>0.0</v>
      </c>
      <c r="H351" s="7"/>
      <c r="I351" s="47">
        <v>2.05</v>
      </c>
      <c r="J351" s="66">
        <f t="shared" si="1"/>
        <v>58.17</v>
      </c>
      <c r="K351" s="8"/>
      <c r="L351" s="7"/>
      <c r="M351" s="7"/>
      <c r="N351" s="7"/>
      <c r="O351" s="7"/>
    </row>
    <row r="352">
      <c r="A352" s="45">
        <v>45942.02606481482</v>
      </c>
      <c r="B352" s="8" t="s">
        <v>451</v>
      </c>
      <c r="C352" s="7" t="s">
        <v>96</v>
      </c>
      <c r="D352" s="64">
        <v>1.0</v>
      </c>
      <c r="E352" s="7"/>
      <c r="F352" s="47">
        <v>60.22</v>
      </c>
      <c r="G352" s="65">
        <v>0.0</v>
      </c>
      <c r="H352" s="7"/>
      <c r="I352" s="47">
        <v>2.05</v>
      </c>
      <c r="J352" s="66">
        <f t="shared" si="1"/>
        <v>58.17</v>
      </c>
      <c r="K352" s="8"/>
      <c r="L352" s="7"/>
      <c r="M352" s="7"/>
      <c r="N352" s="7"/>
      <c r="O352" s="7"/>
    </row>
    <row r="353">
      <c r="A353" s="45">
        <v>45942.02349537037</v>
      </c>
      <c r="B353" s="8" t="s">
        <v>452</v>
      </c>
      <c r="C353" s="67" t="s">
        <v>98</v>
      </c>
      <c r="D353" s="64">
        <v>1.0</v>
      </c>
      <c r="E353" s="64">
        <v>1.0</v>
      </c>
      <c r="F353" s="47">
        <v>160.22</v>
      </c>
      <c r="G353" s="65">
        <v>0.0</v>
      </c>
      <c r="H353" s="7"/>
      <c r="I353" s="47">
        <v>4.95</v>
      </c>
      <c r="J353" s="66">
        <f t="shared" si="1"/>
        <v>155.27</v>
      </c>
      <c r="K353" s="8"/>
      <c r="L353" s="7"/>
      <c r="M353" s="7"/>
      <c r="N353" s="7"/>
      <c r="O353" s="7"/>
    </row>
    <row r="354">
      <c r="A354" s="45">
        <v>45942.02274305555</v>
      </c>
      <c r="B354" s="8" t="s">
        <v>453</v>
      </c>
      <c r="C354" s="67" t="s">
        <v>98</v>
      </c>
      <c r="D354" s="64">
        <v>1.0</v>
      </c>
      <c r="E354" s="64">
        <v>1.0</v>
      </c>
      <c r="F354" s="47">
        <v>173.14</v>
      </c>
      <c r="G354" s="65">
        <v>0.0</v>
      </c>
      <c r="H354" s="7"/>
      <c r="I354" s="47">
        <v>7.92</v>
      </c>
      <c r="J354" s="66">
        <f t="shared" si="1"/>
        <v>165.22</v>
      </c>
      <c r="K354" s="8"/>
      <c r="L354" s="7"/>
      <c r="M354" s="7"/>
      <c r="N354" s="7"/>
      <c r="O354" s="7"/>
    </row>
    <row r="355">
      <c r="A355" s="45">
        <v>45942.0221875</v>
      </c>
      <c r="B355" s="8" t="s">
        <v>454</v>
      </c>
      <c r="C355" s="67" t="s">
        <v>98</v>
      </c>
      <c r="D355" s="64">
        <v>1.0</v>
      </c>
      <c r="E355" s="64">
        <v>1.0</v>
      </c>
      <c r="F355" s="47">
        <v>160.22</v>
      </c>
      <c r="G355" s="65">
        <v>0.0</v>
      </c>
      <c r="H355" s="7"/>
      <c r="I355" s="47">
        <v>4.95</v>
      </c>
      <c r="J355" s="66">
        <f t="shared" si="1"/>
        <v>155.27</v>
      </c>
      <c r="K355" s="8"/>
      <c r="L355" s="7"/>
      <c r="M355" s="7"/>
      <c r="N355" s="7"/>
      <c r="O355" s="7"/>
    </row>
    <row r="356">
      <c r="A356" s="45">
        <v>45942.022152777776</v>
      </c>
      <c r="B356" s="8" t="s">
        <v>455</v>
      </c>
      <c r="C356" s="7" t="s">
        <v>96</v>
      </c>
      <c r="D356" s="64">
        <v>1.0</v>
      </c>
      <c r="E356" s="7"/>
      <c r="F356" s="47">
        <v>60.22</v>
      </c>
      <c r="G356" s="65">
        <v>0.0</v>
      </c>
      <c r="H356" s="7"/>
      <c r="I356" s="47">
        <v>2.05</v>
      </c>
      <c r="J356" s="66">
        <f t="shared" si="1"/>
        <v>58.17</v>
      </c>
      <c r="K356" s="8"/>
      <c r="L356" s="7"/>
      <c r="M356" s="7"/>
      <c r="N356" s="7"/>
      <c r="O356" s="7"/>
    </row>
    <row r="357">
      <c r="A357" s="45">
        <v>45942.01806712963</v>
      </c>
      <c r="B357" s="8" t="s">
        <v>456</v>
      </c>
      <c r="C357" s="7" t="s">
        <v>96</v>
      </c>
      <c r="D357" s="64">
        <v>1.0</v>
      </c>
      <c r="E357" s="7"/>
      <c r="F357" s="47">
        <v>60.22</v>
      </c>
      <c r="G357" s="65">
        <v>0.0</v>
      </c>
      <c r="H357" s="7"/>
      <c r="I357" s="47">
        <v>2.05</v>
      </c>
      <c r="J357" s="66">
        <f t="shared" si="1"/>
        <v>58.17</v>
      </c>
      <c r="K357" s="8"/>
      <c r="L357" s="7"/>
      <c r="M357" s="7"/>
      <c r="N357" s="7"/>
      <c r="O357" s="7"/>
    </row>
    <row r="358">
      <c r="A358" s="45">
        <v>45942.0175</v>
      </c>
      <c r="B358" s="8" t="s">
        <v>457</v>
      </c>
      <c r="C358" s="7" t="s">
        <v>96</v>
      </c>
      <c r="D358" s="64">
        <v>1.0</v>
      </c>
      <c r="E358" s="7"/>
      <c r="F358" s="47">
        <v>60.22</v>
      </c>
      <c r="G358" s="65">
        <v>0.0</v>
      </c>
      <c r="H358" s="7"/>
      <c r="I358" s="47">
        <v>2.05</v>
      </c>
      <c r="J358" s="66">
        <f t="shared" si="1"/>
        <v>58.17</v>
      </c>
      <c r="K358" s="8"/>
      <c r="L358" s="7"/>
      <c r="M358" s="7"/>
      <c r="N358" s="7"/>
      <c r="O358" s="7"/>
    </row>
    <row r="359">
      <c r="A359" s="45">
        <v>45942.01641203704</v>
      </c>
      <c r="B359" s="8" t="s">
        <v>458</v>
      </c>
      <c r="C359" s="7" t="s">
        <v>96</v>
      </c>
      <c r="D359" s="64">
        <v>1.0</v>
      </c>
      <c r="E359" s="7"/>
      <c r="F359" s="47">
        <v>60.22</v>
      </c>
      <c r="G359" s="65">
        <v>0.0</v>
      </c>
      <c r="H359" s="7"/>
      <c r="I359" s="47">
        <v>2.05</v>
      </c>
      <c r="J359" s="66">
        <f t="shared" si="1"/>
        <v>58.17</v>
      </c>
      <c r="K359" s="8"/>
      <c r="L359" s="7"/>
      <c r="M359" s="7"/>
      <c r="N359" s="7"/>
      <c r="O359" s="7"/>
    </row>
    <row r="360">
      <c r="A360" s="45">
        <v>45942.01336805556</v>
      </c>
      <c r="B360" s="8" t="s">
        <v>459</v>
      </c>
      <c r="C360" s="67" t="s">
        <v>98</v>
      </c>
      <c r="D360" s="64">
        <v>1.0</v>
      </c>
      <c r="E360" s="64">
        <v>1.0</v>
      </c>
      <c r="F360" s="47">
        <v>162.78</v>
      </c>
      <c r="G360" s="65">
        <v>0.0</v>
      </c>
      <c r="H360" s="7"/>
      <c r="I360" s="47">
        <v>5.02</v>
      </c>
      <c r="J360" s="66">
        <f t="shared" si="1"/>
        <v>157.76</v>
      </c>
      <c r="K360" s="8"/>
      <c r="L360" s="7"/>
      <c r="M360" s="7"/>
      <c r="N360" s="7"/>
      <c r="O360" s="7"/>
    </row>
    <row r="361">
      <c r="A361" s="45">
        <v>45942.013136574074</v>
      </c>
      <c r="B361" s="8" t="s">
        <v>460</v>
      </c>
      <c r="C361" s="67" t="s">
        <v>98</v>
      </c>
      <c r="D361" s="64">
        <v>1.0</v>
      </c>
      <c r="E361" s="64">
        <v>1.0</v>
      </c>
      <c r="F361" s="47">
        <v>176.98</v>
      </c>
      <c r="G361" s="65">
        <v>0.0</v>
      </c>
      <c r="H361" s="7"/>
      <c r="I361" s="47">
        <v>8.09</v>
      </c>
      <c r="J361" s="66">
        <f t="shared" si="1"/>
        <v>168.89</v>
      </c>
      <c r="K361" s="8"/>
      <c r="L361" s="7"/>
      <c r="M361" s="7"/>
      <c r="N361" s="7"/>
      <c r="O361" s="7"/>
    </row>
    <row r="362">
      <c r="A362" s="45">
        <v>45942.01144675926</v>
      </c>
      <c r="B362" s="8" t="s">
        <v>461</v>
      </c>
      <c r="C362" s="7" t="s">
        <v>96</v>
      </c>
      <c r="D362" s="64">
        <v>1.0</v>
      </c>
      <c r="E362" s="7"/>
      <c r="F362" s="47">
        <v>60.22</v>
      </c>
      <c r="G362" s="65">
        <v>0.0</v>
      </c>
      <c r="H362" s="7"/>
      <c r="I362" s="47">
        <v>2.05</v>
      </c>
      <c r="J362" s="66">
        <f t="shared" si="1"/>
        <v>58.17</v>
      </c>
      <c r="K362" s="8"/>
      <c r="L362" s="7"/>
      <c r="M362" s="7"/>
      <c r="N362" s="7"/>
      <c r="O362" s="7"/>
    </row>
    <row r="363">
      <c r="A363" s="45">
        <v>45942.00849537037</v>
      </c>
      <c r="B363" s="8" t="s">
        <v>462</v>
      </c>
      <c r="C363" s="67" t="s">
        <v>98</v>
      </c>
      <c r="D363" s="64">
        <v>1.0</v>
      </c>
      <c r="E363" s="64">
        <v>1.0</v>
      </c>
      <c r="F363" s="47">
        <v>171.85</v>
      </c>
      <c r="G363" s="65">
        <v>0.0</v>
      </c>
      <c r="H363" s="7"/>
      <c r="I363" s="47">
        <v>5.28</v>
      </c>
      <c r="J363" s="66">
        <f t="shared" si="1"/>
        <v>166.57</v>
      </c>
      <c r="K363" s="8"/>
      <c r="L363" s="7"/>
      <c r="M363" s="7"/>
      <c r="N363" s="7"/>
      <c r="O363" s="7"/>
    </row>
    <row r="364">
      <c r="A364" s="45">
        <v>45942.00837962963</v>
      </c>
      <c r="B364" s="8" t="s">
        <v>463</v>
      </c>
      <c r="C364" s="7" t="s">
        <v>96</v>
      </c>
      <c r="D364" s="64">
        <v>1.0</v>
      </c>
      <c r="E364" s="7"/>
      <c r="F364" s="47">
        <v>60.22</v>
      </c>
      <c r="G364" s="65">
        <v>0.0</v>
      </c>
      <c r="H364" s="7"/>
      <c r="I364" s="47">
        <v>2.05</v>
      </c>
      <c r="J364" s="66">
        <f t="shared" si="1"/>
        <v>58.17</v>
      </c>
      <c r="K364" s="8"/>
      <c r="L364" s="7"/>
      <c r="M364" s="7"/>
      <c r="N364" s="7"/>
      <c r="O364" s="7"/>
    </row>
    <row r="365">
      <c r="A365" s="45">
        <v>45942.008310185185</v>
      </c>
      <c r="B365" s="8" t="s">
        <v>464</v>
      </c>
      <c r="C365" s="7" t="s">
        <v>96</v>
      </c>
      <c r="D365" s="64">
        <v>1.0</v>
      </c>
      <c r="E365" s="7"/>
      <c r="F365" s="47">
        <v>60.22</v>
      </c>
      <c r="G365" s="65">
        <v>0.0</v>
      </c>
      <c r="H365" s="7"/>
      <c r="I365" s="47">
        <v>2.05</v>
      </c>
      <c r="J365" s="66">
        <f t="shared" si="1"/>
        <v>58.17</v>
      </c>
      <c r="K365" s="8"/>
      <c r="L365" s="7"/>
      <c r="M365" s="7"/>
      <c r="N365" s="7"/>
      <c r="O365" s="7"/>
    </row>
    <row r="366">
      <c r="A366" s="45">
        <v>45942.005694444444</v>
      </c>
      <c r="B366" s="8" t="s">
        <v>465</v>
      </c>
      <c r="C366" s="67" t="s">
        <v>98</v>
      </c>
      <c r="D366" s="64">
        <v>1.0</v>
      </c>
      <c r="E366" s="64">
        <v>1.0</v>
      </c>
      <c r="F366" s="47">
        <v>171.85</v>
      </c>
      <c r="G366" s="65">
        <v>0.0</v>
      </c>
      <c r="H366" s="7"/>
      <c r="I366" s="47">
        <v>5.28</v>
      </c>
      <c r="J366" s="66">
        <f t="shared" si="1"/>
        <v>166.57</v>
      </c>
      <c r="K366" s="8"/>
      <c r="L366" s="7"/>
      <c r="M366" s="7"/>
      <c r="N366" s="7"/>
      <c r="O366" s="7"/>
    </row>
    <row r="367">
      <c r="A367" s="76" t="s">
        <v>466</v>
      </c>
      <c r="B367" s="77"/>
      <c r="C367" s="66"/>
      <c r="D367" s="78">
        <f t="shared" ref="D367:G367" si="2">SUM(D2:D366)</f>
        <v>380</v>
      </c>
      <c r="E367" s="78">
        <f t="shared" si="2"/>
        <v>89</v>
      </c>
      <c r="F367" s="79">
        <f t="shared" si="2"/>
        <v>34874.35</v>
      </c>
      <c r="G367" s="79">
        <f t="shared" si="2"/>
        <v>0</v>
      </c>
      <c r="H367" s="66"/>
      <c r="I367" s="79">
        <f t="shared" ref="I367:K367" si="3">SUM(I2:I366)</f>
        <v>1378.01</v>
      </c>
      <c r="J367" s="79">
        <f t="shared" si="3"/>
        <v>33496.34</v>
      </c>
      <c r="K367" s="77">
        <f t="shared" si="3"/>
        <v>0</v>
      </c>
      <c r="L367" s="7"/>
      <c r="M367" s="7"/>
      <c r="N367" s="7"/>
      <c r="O367" s="7"/>
    </row>
    <row r="368">
      <c r="A368" s="80"/>
      <c r="B368" s="8"/>
      <c r="C368" s="7"/>
      <c r="D368" s="7"/>
      <c r="E368" s="7"/>
      <c r="F368" s="8"/>
      <c r="G368" s="7"/>
      <c r="H368" s="7"/>
      <c r="I368" s="8"/>
      <c r="J368" s="8"/>
      <c r="K368" s="8"/>
      <c r="L368" s="7"/>
      <c r="M368" s="7"/>
      <c r="N368" s="7"/>
      <c r="O368" s="7"/>
    </row>
    <row r="369">
      <c r="A369" s="80"/>
      <c r="B369" s="8"/>
      <c r="C369" s="7"/>
      <c r="D369" s="7"/>
      <c r="E369" s="7"/>
      <c r="F369" s="8"/>
      <c r="G369" s="7"/>
      <c r="H369" s="7"/>
      <c r="I369" s="8"/>
      <c r="J369" s="8"/>
      <c r="K369" s="8"/>
      <c r="L369" s="7"/>
      <c r="M369" s="7"/>
      <c r="N369" s="7"/>
      <c r="O369" s="7"/>
    </row>
    <row r="370">
      <c r="A370" s="81" t="s">
        <v>467</v>
      </c>
      <c r="B370" s="82"/>
      <c r="C370" s="7"/>
      <c r="D370" s="7"/>
      <c r="E370" s="7"/>
      <c r="F370" s="8"/>
      <c r="G370" s="7"/>
      <c r="H370" s="7"/>
      <c r="I370" s="8"/>
      <c r="J370" s="8"/>
      <c r="K370" s="8"/>
      <c r="L370" s="7"/>
      <c r="M370" s="7"/>
      <c r="N370" s="7"/>
      <c r="O370" s="7"/>
    </row>
    <row r="371">
      <c r="A371" s="83" t="s">
        <v>468</v>
      </c>
      <c r="B371" s="84">
        <v>380.0</v>
      </c>
      <c r="C371" s="7"/>
      <c r="D371" s="7"/>
      <c r="E371" s="7"/>
      <c r="F371" s="8"/>
      <c r="G371" s="7"/>
      <c r="H371" s="7"/>
      <c r="I371" s="8"/>
      <c r="J371" s="8"/>
      <c r="K371" s="8"/>
      <c r="L371" s="7"/>
      <c r="M371" s="7"/>
      <c r="N371" s="7"/>
      <c r="O371" s="7"/>
    </row>
    <row r="372">
      <c r="A372" s="31" t="s">
        <v>68</v>
      </c>
      <c r="B372" s="85">
        <v>50.0</v>
      </c>
      <c r="C372" s="7"/>
      <c r="D372" s="7"/>
      <c r="E372" s="7"/>
      <c r="F372" s="8"/>
      <c r="G372" s="7"/>
      <c r="H372" s="7"/>
      <c r="I372" s="8"/>
      <c r="J372" s="8"/>
      <c r="K372" s="8"/>
      <c r="L372" s="7"/>
      <c r="M372" s="7"/>
      <c r="N372" s="7"/>
      <c r="O372" s="7"/>
    </row>
    <row r="373">
      <c r="A373" s="86" t="s">
        <v>469</v>
      </c>
      <c r="B373" s="5">
        <f>B371*B372</f>
        <v>19000</v>
      </c>
      <c r="C373" s="7"/>
      <c r="J373" s="8"/>
      <c r="K373" s="8"/>
      <c r="L373" s="7"/>
      <c r="M373" s="7"/>
      <c r="N373" s="7"/>
      <c r="O373" s="7"/>
    </row>
    <row r="374">
      <c r="A374" s="31" t="s">
        <v>470</v>
      </c>
      <c r="B374" s="85">
        <v>8900.0</v>
      </c>
      <c r="C374" s="7"/>
      <c r="J374" s="8"/>
      <c r="K374" s="8"/>
      <c r="L374" s="7"/>
      <c r="M374" s="7"/>
      <c r="N374" s="7"/>
      <c r="O374" s="7"/>
    </row>
    <row r="375">
      <c r="A375" s="87" t="s">
        <v>11</v>
      </c>
      <c r="B375" s="88">
        <f>SUM(B373:B374)</f>
        <v>27900</v>
      </c>
      <c r="C375" s="7"/>
      <c r="J375" s="8"/>
      <c r="K375" s="8"/>
      <c r="L375" s="7"/>
      <c r="M375" s="7"/>
      <c r="N375" s="7"/>
      <c r="O375" s="7"/>
    </row>
    <row r="376">
      <c r="A376" s="83" t="s">
        <v>471</v>
      </c>
      <c r="B376" s="89">
        <v>34874.35</v>
      </c>
      <c r="C376" s="7"/>
      <c r="J376" s="8"/>
      <c r="K376" s="8"/>
      <c r="L376" s="7"/>
      <c r="M376" s="7"/>
      <c r="N376" s="7"/>
      <c r="O376" s="7"/>
    </row>
    <row r="377">
      <c r="A377" s="4" t="s">
        <v>472</v>
      </c>
      <c r="B377" s="5">
        <f>B376-B375</f>
        <v>6974.35</v>
      </c>
      <c r="C377" s="7"/>
      <c r="J377" s="8"/>
      <c r="K377" s="8"/>
      <c r="L377" s="7"/>
      <c r="M377" s="7"/>
      <c r="N377" s="7"/>
      <c r="O377" s="7"/>
    </row>
    <row r="378">
      <c r="A378" s="90" t="s">
        <v>473</v>
      </c>
      <c r="B378" s="91">
        <v>1378.01</v>
      </c>
      <c r="C378" s="7"/>
      <c r="J378" s="8"/>
      <c r="K378" s="8"/>
      <c r="L378" s="7"/>
      <c r="M378" s="7"/>
      <c r="N378" s="7"/>
      <c r="O378" s="7"/>
    </row>
    <row r="379">
      <c r="A379" s="92" t="s">
        <v>474</v>
      </c>
      <c r="B379" s="93"/>
      <c r="C379" s="7"/>
      <c r="J379" s="8"/>
      <c r="K379" s="8"/>
      <c r="L379" s="7"/>
      <c r="M379" s="7"/>
      <c r="N379" s="7"/>
      <c r="O379" s="7"/>
    </row>
    <row r="380">
      <c r="A380" s="80"/>
      <c r="B380" s="8"/>
      <c r="C380" s="7"/>
      <c r="J380" s="8"/>
      <c r="K380" s="8"/>
      <c r="L380" s="7"/>
      <c r="M380" s="7"/>
      <c r="N380" s="7"/>
      <c r="O380" s="7"/>
    </row>
    <row r="382">
      <c r="A382" s="42" t="s">
        <v>475</v>
      </c>
    </row>
    <row r="383">
      <c r="A383" s="94" t="s">
        <v>476</v>
      </c>
      <c r="B383" s="31"/>
    </row>
    <row r="384">
      <c r="A384" s="83" t="s">
        <v>477</v>
      </c>
      <c r="B384" s="95">
        <v>24.05</v>
      </c>
    </row>
    <row r="385">
      <c r="A385" s="83" t="s">
        <v>478</v>
      </c>
      <c r="B385" s="95">
        <v>103.14</v>
      </c>
    </row>
    <row r="386">
      <c r="A386" s="96" t="s">
        <v>479</v>
      </c>
      <c r="B386" s="97">
        <f>SUM(B384:B385)</f>
        <v>127.19</v>
      </c>
    </row>
    <row r="388">
      <c r="A388" s="7"/>
      <c r="B388" s="7"/>
      <c r="C388" s="8"/>
      <c r="D388" s="7"/>
      <c r="E388" s="7"/>
      <c r="F388" s="8"/>
    </row>
    <row r="389">
      <c r="A389" s="98" t="s">
        <v>480</v>
      </c>
      <c r="B389" s="99">
        <v>50.0</v>
      </c>
      <c r="C389" s="100"/>
      <c r="D389" s="7"/>
      <c r="E389" s="7"/>
      <c r="F389" s="8"/>
    </row>
    <row r="390">
      <c r="A390" s="98" t="s">
        <v>8</v>
      </c>
      <c r="B390" s="101">
        <v>4.5</v>
      </c>
      <c r="C390" s="8"/>
      <c r="D390" s="7"/>
      <c r="E390" s="7"/>
      <c r="F390" s="8"/>
    </row>
    <row r="391">
      <c r="A391" s="98" t="s">
        <v>13</v>
      </c>
      <c r="B391" s="102">
        <f>(16*2)*0.127</f>
        <v>4.064</v>
      </c>
      <c r="C391" s="8"/>
      <c r="D391" s="7"/>
      <c r="E391" s="7"/>
      <c r="F391" s="8"/>
    </row>
    <row r="392">
      <c r="A392" s="98" t="s">
        <v>9</v>
      </c>
      <c r="B392" s="103">
        <f>B389-(B390+B391)</f>
        <v>41.436</v>
      </c>
      <c r="C392" s="8"/>
      <c r="D392" s="7"/>
      <c r="E392" s="7"/>
      <c r="F392" s="8"/>
    </row>
    <row r="393">
      <c r="A393" s="104"/>
      <c r="B393" s="102"/>
      <c r="C393" s="8"/>
      <c r="D393" s="7"/>
      <c r="E393" s="7"/>
      <c r="F393" s="8"/>
    </row>
    <row r="394">
      <c r="A394" s="98" t="s">
        <v>10</v>
      </c>
      <c r="B394" s="105">
        <v>380.0</v>
      </c>
      <c r="C394" s="8"/>
      <c r="D394" s="7"/>
      <c r="E394" s="7"/>
      <c r="F394" s="8"/>
    </row>
    <row r="395">
      <c r="A395" s="98" t="s">
        <v>481</v>
      </c>
      <c r="B395" s="102">
        <f>B389*B394</f>
        <v>19000</v>
      </c>
      <c r="C395" s="8"/>
      <c r="D395" s="7"/>
      <c r="E395" s="7"/>
      <c r="F395" s="8"/>
    </row>
    <row r="396">
      <c r="A396" s="98" t="s">
        <v>12</v>
      </c>
      <c r="B396" s="101">
        <v>9905.0</v>
      </c>
      <c r="C396" s="42" t="s">
        <v>482</v>
      </c>
    </row>
    <row r="397">
      <c r="A397" s="106" t="s">
        <v>14</v>
      </c>
      <c r="B397" s="107">
        <f>B395-B396</f>
        <v>9095</v>
      </c>
    </row>
    <row r="398">
      <c r="A398" s="108"/>
      <c r="B398" s="108"/>
    </row>
    <row r="399">
      <c r="A399" s="98" t="s">
        <v>16</v>
      </c>
      <c r="B399" s="101">
        <f>70</f>
        <v>70</v>
      </c>
    </row>
    <row r="400">
      <c r="A400" s="98" t="s">
        <v>10</v>
      </c>
      <c r="B400" s="105">
        <v>89.0</v>
      </c>
    </row>
    <row r="401">
      <c r="A401" s="98" t="s">
        <v>17</v>
      </c>
      <c r="B401" s="102">
        <f>B399*B400</f>
        <v>6230</v>
      </c>
    </row>
    <row r="402">
      <c r="A402" s="98"/>
      <c r="B402" s="101"/>
    </row>
    <row r="403">
      <c r="A403" s="109" t="s">
        <v>18</v>
      </c>
      <c r="B403" s="103">
        <f>B397+B395</f>
        <v>28095</v>
      </c>
    </row>
    <row r="404">
      <c r="A404" s="108"/>
      <c r="B404" s="108"/>
    </row>
    <row r="405">
      <c r="A405" s="98" t="s">
        <v>19</v>
      </c>
      <c r="B405" s="105">
        <v>1307.0</v>
      </c>
    </row>
    <row r="406">
      <c r="A406" s="109" t="s">
        <v>20</v>
      </c>
      <c r="B406" s="103">
        <f>B403-B405</f>
        <v>26788</v>
      </c>
      <c r="C406" s="42" t="s">
        <v>483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2.25"/>
    <col customWidth="1" min="2" max="2" width="38.0"/>
    <col customWidth="1" min="3" max="3" width="34.75"/>
    <col customWidth="1" min="4" max="4" width="59.75"/>
    <col customWidth="1" min="5" max="5" width="16.25"/>
    <col customWidth="1" min="6" max="6" width="18.88"/>
    <col customWidth="1" min="10" max="10" width="20.0"/>
    <col customWidth="1" min="15" max="15" width="20.38"/>
    <col hidden="1" min="17" max="22" width="12.63"/>
  </cols>
  <sheetData>
    <row r="1">
      <c r="A1" s="110" t="s">
        <v>484</v>
      </c>
      <c r="B1" s="111" t="s">
        <v>29</v>
      </c>
      <c r="C1" s="111" t="s">
        <v>87</v>
      </c>
      <c r="D1" s="111" t="s">
        <v>88</v>
      </c>
      <c r="E1" s="61" t="s">
        <v>89</v>
      </c>
      <c r="F1" s="61" t="s">
        <v>90</v>
      </c>
      <c r="G1" s="60" t="s">
        <v>30</v>
      </c>
      <c r="H1" s="60" t="s">
        <v>91</v>
      </c>
      <c r="I1" s="111" t="s">
        <v>92</v>
      </c>
      <c r="J1" s="60" t="s">
        <v>93</v>
      </c>
      <c r="K1" s="112" t="s">
        <v>94</v>
      </c>
      <c r="L1" s="60" t="s">
        <v>39</v>
      </c>
      <c r="M1" s="111" t="s">
        <v>40</v>
      </c>
      <c r="N1" s="111" t="s">
        <v>41</v>
      </c>
      <c r="O1" s="111" t="s">
        <v>42</v>
      </c>
      <c r="P1" s="111" t="s">
        <v>43</v>
      </c>
      <c r="Q1" s="111" t="s">
        <v>485</v>
      </c>
      <c r="R1" s="111" t="s">
        <v>486</v>
      </c>
      <c r="S1" s="111" t="s">
        <v>487</v>
      </c>
      <c r="T1" s="111" t="s">
        <v>488</v>
      </c>
      <c r="U1" s="111" t="s">
        <v>489</v>
      </c>
      <c r="V1" s="111" t="s">
        <v>45</v>
      </c>
      <c r="W1" s="7"/>
      <c r="X1" s="7"/>
    </row>
    <row r="2">
      <c r="A2" s="74">
        <v>1.0</v>
      </c>
      <c r="B2" s="45">
        <v>45856.21306712963</v>
      </c>
      <c r="C2" s="7" t="s">
        <v>189</v>
      </c>
      <c r="D2" s="7" t="s">
        <v>60</v>
      </c>
      <c r="E2" s="74">
        <v>1.0</v>
      </c>
      <c r="F2" s="46"/>
      <c r="G2" s="47">
        <v>36.53</v>
      </c>
      <c r="H2" s="47">
        <v>0.0</v>
      </c>
      <c r="I2" s="7"/>
      <c r="J2" s="47">
        <v>1.36</v>
      </c>
      <c r="K2" s="8">
        <f t="shared" ref="K2:K371" si="1">G2-J2</f>
        <v>35.17</v>
      </c>
      <c r="L2" s="8"/>
      <c r="M2" s="7"/>
      <c r="N2" s="7"/>
      <c r="O2" s="7"/>
      <c r="P2" s="7"/>
      <c r="Q2" s="7" t="s">
        <v>490</v>
      </c>
      <c r="R2" s="7" t="s">
        <v>491</v>
      </c>
      <c r="S2" s="7"/>
      <c r="T2" s="7" t="s">
        <v>492</v>
      </c>
      <c r="U2" s="7" t="s">
        <v>493</v>
      </c>
      <c r="V2" s="65">
        <v>1861.0</v>
      </c>
      <c r="W2" s="7"/>
      <c r="X2" s="7"/>
    </row>
    <row r="3">
      <c r="A3" s="74">
        <v>1.0</v>
      </c>
      <c r="B3" s="45">
        <v>45856.21193287037</v>
      </c>
      <c r="C3" s="7" t="s">
        <v>177</v>
      </c>
      <c r="D3" s="7" t="s">
        <v>60</v>
      </c>
      <c r="E3" s="74">
        <v>1.0</v>
      </c>
      <c r="F3" s="46"/>
      <c r="G3" s="47">
        <v>51.37</v>
      </c>
      <c r="H3" s="47">
        <v>0.0</v>
      </c>
      <c r="I3" s="7"/>
      <c r="J3" s="47">
        <v>2.56</v>
      </c>
      <c r="K3" s="8">
        <f t="shared" si="1"/>
        <v>48.81</v>
      </c>
      <c r="L3" s="8"/>
      <c r="M3" s="7"/>
      <c r="N3" s="7"/>
      <c r="O3" s="7"/>
      <c r="P3" s="7"/>
      <c r="Q3" s="7" t="s">
        <v>490</v>
      </c>
      <c r="R3" s="7" t="s">
        <v>494</v>
      </c>
      <c r="S3" s="7" t="s">
        <v>495</v>
      </c>
      <c r="T3" s="7" t="s">
        <v>496</v>
      </c>
      <c r="U3" s="7" t="s">
        <v>497</v>
      </c>
      <c r="V3" s="65">
        <v>1860.0</v>
      </c>
      <c r="W3" s="7"/>
      <c r="X3" s="7"/>
    </row>
    <row r="4">
      <c r="A4" s="74">
        <v>1.0</v>
      </c>
      <c r="B4" s="45">
        <v>45856.158101851855</v>
      </c>
      <c r="C4" s="7" t="s">
        <v>498</v>
      </c>
      <c r="D4" s="7" t="s">
        <v>60</v>
      </c>
      <c r="E4" s="74">
        <v>1.0</v>
      </c>
      <c r="F4" s="46"/>
      <c r="G4" s="47">
        <v>48.99</v>
      </c>
      <c r="H4" s="47">
        <v>0.0</v>
      </c>
      <c r="I4" s="7"/>
      <c r="J4" s="47">
        <v>2.46</v>
      </c>
      <c r="K4" s="8">
        <f t="shared" si="1"/>
        <v>46.53</v>
      </c>
      <c r="L4" s="8"/>
      <c r="M4" s="7"/>
      <c r="N4" s="7"/>
      <c r="O4" s="7"/>
      <c r="P4" s="7"/>
      <c r="Q4" s="7" t="s">
        <v>490</v>
      </c>
      <c r="R4" s="7" t="s">
        <v>499</v>
      </c>
      <c r="S4" s="7"/>
      <c r="T4" s="7" t="s">
        <v>500</v>
      </c>
      <c r="U4" s="7" t="s">
        <v>501</v>
      </c>
      <c r="V4" s="65">
        <v>1857.0</v>
      </c>
      <c r="W4" s="7"/>
      <c r="X4" s="7"/>
    </row>
    <row r="5">
      <c r="A5" s="74">
        <v>1.0</v>
      </c>
      <c r="B5" s="45">
        <v>45856.11444444444</v>
      </c>
      <c r="C5" s="7" t="s">
        <v>502</v>
      </c>
      <c r="D5" s="7" t="s">
        <v>60</v>
      </c>
      <c r="E5" s="74">
        <v>1.0</v>
      </c>
      <c r="F5" s="46"/>
      <c r="G5" s="47">
        <v>34.58</v>
      </c>
      <c r="H5" s="47">
        <v>0.0</v>
      </c>
      <c r="I5" s="7"/>
      <c r="J5" s="47">
        <v>1.3</v>
      </c>
      <c r="K5" s="8">
        <f t="shared" si="1"/>
        <v>33.28</v>
      </c>
      <c r="L5" s="8"/>
      <c r="M5" s="7"/>
      <c r="N5" s="7"/>
      <c r="O5" s="7"/>
      <c r="P5" s="7"/>
      <c r="Q5" s="7" t="s">
        <v>490</v>
      </c>
      <c r="R5" s="7" t="s">
        <v>503</v>
      </c>
      <c r="S5" s="7" t="s">
        <v>504</v>
      </c>
      <c r="T5" s="7" t="s">
        <v>505</v>
      </c>
      <c r="U5" s="7" t="s">
        <v>493</v>
      </c>
      <c r="V5" s="65">
        <v>1856.0</v>
      </c>
      <c r="W5" s="7"/>
      <c r="X5" s="7"/>
    </row>
    <row r="6">
      <c r="A6" s="74">
        <v>1.0</v>
      </c>
      <c r="B6" s="45">
        <v>45856.10188657408</v>
      </c>
      <c r="C6" s="7" t="s">
        <v>506</v>
      </c>
      <c r="D6" s="7" t="s">
        <v>60</v>
      </c>
      <c r="E6" s="74">
        <v>1.0</v>
      </c>
      <c r="F6" s="46"/>
      <c r="G6" s="47">
        <v>52.6</v>
      </c>
      <c r="H6" s="47">
        <v>0.0</v>
      </c>
      <c r="I6" s="7"/>
      <c r="J6" s="47">
        <v>2.61</v>
      </c>
      <c r="K6" s="8">
        <f t="shared" si="1"/>
        <v>49.99</v>
      </c>
      <c r="L6" s="8"/>
      <c r="M6" s="7"/>
      <c r="N6" s="7"/>
      <c r="O6" s="7"/>
      <c r="P6" s="7"/>
      <c r="Q6" s="7" t="s">
        <v>490</v>
      </c>
      <c r="R6" s="7" t="s">
        <v>507</v>
      </c>
      <c r="S6" s="7" t="s">
        <v>508</v>
      </c>
      <c r="T6" s="7" t="s">
        <v>509</v>
      </c>
      <c r="U6" s="7" t="s">
        <v>510</v>
      </c>
      <c r="V6" s="65">
        <v>1855.0</v>
      </c>
      <c r="W6" s="7"/>
      <c r="X6" s="7"/>
    </row>
    <row r="7">
      <c r="A7" s="74">
        <v>1.0</v>
      </c>
      <c r="B7" s="45">
        <v>45856.08730324074</v>
      </c>
      <c r="C7" s="7" t="s">
        <v>511</v>
      </c>
      <c r="D7" s="7" t="s">
        <v>60</v>
      </c>
      <c r="E7" s="74">
        <v>1.0</v>
      </c>
      <c r="F7" s="46"/>
      <c r="G7" s="47">
        <v>36.27</v>
      </c>
      <c r="H7" s="47">
        <v>0.0</v>
      </c>
      <c r="I7" s="7"/>
      <c r="J7" s="47">
        <v>1.35</v>
      </c>
      <c r="K7" s="8">
        <f t="shared" si="1"/>
        <v>34.92</v>
      </c>
      <c r="L7" s="8"/>
      <c r="M7" s="7"/>
      <c r="N7" s="7"/>
      <c r="O7" s="7"/>
      <c r="P7" s="7"/>
      <c r="Q7" s="7" t="s">
        <v>490</v>
      </c>
      <c r="R7" s="7" t="s">
        <v>512</v>
      </c>
      <c r="S7" s="7" t="s">
        <v>513</v>
      </c>
      <c r="T7" s="7" t="s">
        <v>514</v>
      </c>
      <c r="U7" s="7" t="s">
        <v>493</v>
      </c>
      <c r="V7" s="65">
        <v>1854.0</v>
      </c>
      <c r="W7" s="7"/>
      <c r="X7" s="7"/>
    </row>
    <row r="8">
      <c r="A8" s="74">
        <v>1.0</v>
      </c>
      <c r="B8" s="45">
        <v>45856.034004629626</v>
      </c>
      <c r="C8" s="7" t="s">
        <v>515</v>
      </c>
      <c r="D8" s="7" t="s">
        <v>60</v>
      </c>
      <c r="E8" s="74">
        <v>1.0</v>
      </c>
      <c r="F8" s="46"/>
      <c r="G8" s="47">
        <v>34.46</v>
      </c>
      <c r="H8" s="47">
        <v>0.0</v>
      </c>
      <c r="I8" s="7"/>
      <c r="J8" s="47">
        <v>1.3</v>
      </c>
      <c r="K8" s="8">
        <f t="shared" si="1"/>
        <v>33.16</v>
      </c>
      <c r="L8" s="8"/>
      <c r="M8" s="7"/>
      <c r="N8" s="7"/>
      <c r="O8" s="7"/>
      <c r="P8" s="7"/>
      <c r="Q8" s="7" t="s">
        <v>490</v>
      </c>
      <c r="R8" s="7" t="s">
        <v>516</v>
      </c>
      <c r="S8" s="7"/>
      <c r="T8" s="7" t="s">
        <v>517</v>
      </c>
      <c r="U8" s="7" t="s">
        <v>493</v>
      </c>
      <c r="V8" s="65">
        <v>1853.0</v>
      </c>
      <c r="W8" s="7"/>
      <c r="X8" s="7"/>
    </row>
    <row r="9">
      <c r="A9" s="74">
        <v>1.0</v>
      </c>
      <c r="B9" s="45">
        <v>45855.897881944446</v>
      </c>
      <c r="C9" s="7" t="s">
        <v>518</v>
      </c>
      <c r="D9" s="7" t="s">
        <v>60</v>
      </c>
      <c r="E9" s="74">
        <v>1.0</v>
      </c>
      <c r="F9" s="46"/>
      <c r="G9" s="47">
        <v>49.13</v>
      </c>
      <c r="H9" s="47">
        <v>0.0</v>
      </c>
      <c r="I9" s="7"/>
      <c r="J9" s="47">
        <v>2.46</v>
      </c>
      <c r="K9" s="8">
        <f t="shared" si="1"/>
        <v>46.67</v>
      </c>
      <c r="L9" s="8"/>
      <c r="M9" s="7"/>
      <c r="N9" s="7"/>
      <c r="O9" s="7"/>
      <c r="P9" s="7"/>
      <c r="Q9" s="7" t="s">
        <v>490</v>
      </c>
      <c r="R9" s="7" t="s">
        <v>519</v>
      </c>
      <c r="S9" s="7"/>
      <c r="T9" s="7" t="s">
        <v>520</v>
      </c>
      <c r="U9" s="7" t="s">
        <v>521</v>
      </c>
      <c r="V9" s="65">
        <v>1851.0</v>
      </c>
      <c r="W9" s="7"/>
      <c r="X9" s="7"/>
    </row>
    <row r="10">
      <c r="A10" s="74">
        <v>1.0</v>
      </c>
      <c r="B10" s="45">
        <v>45855.88710648148</v>
      </c>
      <c r="C10" s="7" t="s">
        <v>522</v>
      </c>
      <c r="D10" s="7" t="s">
        <v>60</v>
      </c>
      <c r="E10" s="74">
        <v>1.0</v>
      </c>
      <c r="F10" s="46"/>
      <c r="G10" s="47">
        <v>48.38</v>
      </c>
      <c r="H10" s="47">
        <v>0.0</v>
      </c>
      <c r="I10" s="7"/>
      <c r="J10" s="47">
        <v>2.43</v>
      </c>
      <c r="K10" s="8">
        <f t="shared" si="1"/>
        <v>45.95</v>
      </c>
      <c r="L10" s="8"/>
      <c r="M10" s="7"/>
      <c r="N10" s="7"/>
      <c r="O10" s="7"/>
      <c r="P10" s="7"/>
      <c r="Q10" s="7" t="s">
        <v>490</v>
      </c>
      <c r="R10" s="7" t="s">
        <v>523</v>
      </c>
      <c r="S10" s="7"/>
      <c r="T10" s="7" t="s">
        <v>524</v>
      </c>
      <c r="U10" s="7" t="s">
        <v>525</v>
      </c>
      <c r="V10" s="65">
        <v>1850.0</v>
      </c>
      <c r="W10" s="7"/>
      <c r="X10" s="7"/>
    </row>
    <row r="11">
      <c r="A11" s="74">
        <v>1.0</v>
      </c>
      <c r="B11" s="45">
        <v>45855.85466435185</v>
      </c>
      <c r="C11" s="7" t="s">
        <v>526</v>
      </c>
      <c r="D11" s="7" t="s">
        <v>60</v>
      </c>
      <c r="E11" s="74">
        <v>1.0</v>
      </c>
      <c r="F11" s="46"/>
      <c r="G11" s="47">
        <v>48.38</v>
      </c>
      <c r="H11" s="47">
        <v>0.0</v>
      </c>
      <c r="I11" s="7"/>
      <c r="J11" s="47">
        <v>2.43</v>
      </c>
      <c r="K11" s="8">
        <f t="shared" si="1"/>
        <v>45.95</v>
      </c>
      <c r="L11" s="8"/>
      <c r="M11" s="7"/>
      <c r="N11" s="7"/>
      <c r="O11" s="7"/>
      <c r="P11" s="7"/>
      <c r="Q11" s="7" t="s">
        <v>490</v>
      </c>
      <c r="R11" s="7" t="s">
        <v>527</v>
      </c>
      <c r="S11" s="7"/>
      <c r="T11" s="7" t="s">
        <v>528</v>
      </c>
      <c r="U11" s="7" t="s">
        <v>525</v>
      </c>
      <c r="V11" s="65">
        <v>1849.0</v>
      </c>
      <c r="W11" s="7"/>
      <c r="X11" s="7"/>
    </row>
    <row r="12">
      <c r="A12" s="74">
        <v>1.0</v>
      </c>
      <c r="B12" s="45">
        <v>45855.80488425926</v>
      </c>
      <c r="C12" s="7" t="s">
        <v>529</v>
      </c>
      <c r="D12" s="7" t="s">
        <v>60</v>
      </c>
      <c r="E12" s="74">
        <v>1.0</v>
      </c>
      <c r="F12" s="46"/>
      <c r="G12" s="47">
        <v>34.46</v>
      </c>
      <c r="H12" s="47">
        <v>0.0</v>
      </c>
      <c r="I12" s="7"/>
      <c r="J12" s="47">
        <v>1.3</v>
      </c>
      <c r="K12" s="8">
        <f t="shared" si="1"/>
        <v>33.16</v>
      </c>
      <c r="L12" s="8"/>
      <c r="M12" s="7"/>
      <c r="N12" s="7"/>
      <c r="O12" s="7"/>
      <c r="P12" s="7"/>
      <c r="Q12" s="7" t="s">
        <v>490</v>
      </c>
      <c r="R12" s="7" t="s">
        <v>530</v>
      </c>
      <c r="S12" s="7"/>
      <c r="T12" s="7" t="s">
        <v>531</v>
      </c>
      <c r="U12" s="7" t="s">
        <v>493</v>
      </c>
      <c r="V12" s="65">
        <v>1841.0</v>
      </c>
      <c r="W12" s="7"/>
      <c r="X12" s="7"/>
    </row>
    <row r="13">
      <c r="A13" s="74">
        <v>1.0</v>
      </c>
      <c r="B13" s="45">
        <v>45855.80055555556</v>
      </c>
      <c r="C13" s="7" t="s">
        <v>532</v>
      </c>
      <c r="D13" s="7" t="s">
        <v>60</v>
      </c>
      <c r="E13" s="74">
        <v>1.0</v>
      </c>
      <c r="F13" s="46"/>
      <c r="G13" s="47">
        <v>34.46</v>
      </c>
      <c r="H13" s="47">
        <v>0.0</v>
      </c>
      <c r="I13" s="7"/>
      <c r="J13" s="47">
        <v>1.3</v>
      </c>
      <c r="K13" s="8">
        <f t="shared" si="1"/>
        <v>33.16</v>
      </c>
      <c r="L13" s="8"/>
      <c r="M13" s="7"/>
      <c r="N13" s="7"/>
      <c r="O13" s="7"/>
      <c r="P13" s="7"/>
      <c r="Q13" s="7" t="s">
        <v>490</v>
      </c>
      <c r="R13" s="7" t="s">
        <v>533</v>
      </c>
      <c r="S13" s="7" t="s">
        <v>534</v>
      </c>
      <c r="T13" s="7" t="s">
        <v>535</v>
      </c>
      <c r="U13" s="7" t="s">
        <v>493</v>
      </c>
      <c r="V13" s="65">
        <v>1839.0</v>
      </c>
      <c r="W13" s="7"/>
      <c r="X13" s="7"/>
    </row>
    <row r="14">
      <c r="A14" s="74">
        <v>1.0</v>
      </c>
      <c r="B14" s="45">
        <v>45855.6959375</v>
      </c>
      <c r="C14" s="7" t="s">
        <v>536</v>
      </c>
      <c r="D14" s="7" t="s">
        <v>60</v>
      </c>
      <c r="E14" s="74">
        <v>1.0</v>
      </c>
      <c r="F14" s="46"/>
      <c r="G14" s="47">
        <v>36.27</v>
      </c>
      <c r="H14" s="47">
        <v>0.0</v>
      </c>
      <c r="I14" s="7"/>
      <c r="J14" s="47">
        <v>1.35</v>
      </c>
      <c r="K14" s="8">
        <f t="shared" si="1"/>
        <v>34.92</v>
      </c>
      <c r="L14" s="8"/>
      <c r="M14" s="7"/>
      <c r="N14" s="7"/>
      <c r="O14" s="7"/>
      <c r="P14" s="7"/>
      <c r="Q14" s="7" t="s">
        <v>490</v>
      </c>
      <c r="R14" s="7" t="s">
        <v>537</v>
      </c>
      <c r="S14" s="7"/>
      <c r="T14" s="7" t="s">
        <v>538</v>
      </c>
      <c r="U14" s="7" t="s">
        <v>493</v>
      </c>
      <c r="V14" s="65">
        <v>1833.0</v>
      </c>
      <c r="W14" s="7"/>
      <c r="X14" s="7"/>
    </row>
    <row r="15">
      <c r="A15" s="74">
        <v>1.0</v>
      </c>
      <c r="B15" s="45">
        <v>45855.61990740741</v>
      </c>
      <c r="C15" s="7" t="s">
        <v>539</v>
      </c>
      <c r="D15" s="7" t="s">
        <v>60</v>
      </c>
      <c r="E15" s="74">
        <v>1.0</v>
      </c>
      <c r="F15" s="46"/>
      <c r="G15" s="47">
        <v>48.38</v>
      </c>
      <c r="H15" s="47">
        <v>0.0</v>
      </c>
      <c r="I15" s="7"/>
      <c r="J15" s="47">
        <v>2.43</v>
      </c>
      <c r="K15" s="8">
        <f t="shared" si="1"/>
        <v>45.95</v>
      </c>
      <c r="L15" s="8"/>
      <c r="M15" s="7"/>
      <c r="N15" s="7"/>
      <c r="O15" s="7"/>
      <c r="P15" s="7"/>
      <c r="Q15" s="7" t="s">
        <v>490</v>
      </c>
      <c r="R15" s="7" t="s">
        <v>540</v>
      </c>
      <c r="S15" s="7"/>
      <c r="T15" s="7" t="s">
        <v>541</v>
      </c>
      <c r="U15" s="7" t="s">
        <v>542</v>
      </c>
      <c r="V15" s="65">
        <v>1831.0</v>
      </c>
      <c r="W15" s="7"/>
      <c r="X15" s="7"/>
    </row>
    <row r="16">
      <c r="A16" s="74">
        <v>1.0</v>
      </c>
      <c r="B16" s="45">
        <v>45855.492002314815</v>
      </c>
      <c r="C16" s="7" t="s">
        <v>108</v>
      </c>
      <c r="D16" s="7" t="s">
        <v>60</v>
      </c>
      <c r="E16" s="74">
        <v>1.0</v>
      </c>
      <c r="F16" s="46"/>
      <c r="G16" s="47">
        <v>50.57</v>
      </c>
      <c r="H16" s="47">
        <v>0.0</v>
      </c>
      <c r="I16" s="7"/>
      <c r="J16" s="47">
        <v>2.53</v>
      </c>
      <c r="K16" s="8">
        <f t="shared" si="1"/>
        <v>48.04</v>
      </c>
      <c r="L16" s="8"/>
      <c r="M16" s="7"/>
      <c r="N16" s="7"/>
      <c r="O16" s="7"/>
      <c r="P16" s="7"/>
      <c r="Q16" s="7" t="s">
        <v>490</v>
      </c>
      <c r="R16" s="7" t="s">
        <v>543</v>
      </c>
      <c r="S16" s="7"/>
      <c r="T16" s="7" t="s">
        <v>544</v>
      </c>
      <c r="U16" s="7" t="s">
        <v>545</v>
      </c>
      <c r="V16" s="65">
        <v>1827.0</v>
      </c>
      <c r="W16" s="7"/>
      <c r="X16" s="7"/>
    </row>
    <row r="17">
      <c r="A17" s="74">
        <v>1.0</v>
      </c>
      <c r="B17" s="45">
        <v>45855.477060185185</v>
      </c>
      <c r="C17" s="7" t="s">
        <v>546</v>
      </c>
      <c r="D17" s="7" t="s">
        <v>60</v>
      </c>
      <c r="E17" s="74">
        <v>1.0</v>
      </c>
      <c r="F17" s="46"/>
      <c r="G17" s="47">
        <v>34.46</v>
      </c>
      <c r="H17" s="47">
        <v>0.0</v>
      </c>
      <c r="I17" s="7"/>
      <c r="J17" s="47">
        <v>1.3</v>
      </c>
      <c r="K17" s="8">
        <f t="shared" si="1"/>
        <v>33.16</v>
      </c>
      <c r="L17" s="8"/>
      <c r="M17" s="7"/>
      <c r="N17" s="7"/>
      <c r="O17" s="7"/>
      <c r="P17" s="7"/>
      <c r="Q17" s="7" t="s">
        <v>490</v>
      </c>
      <c r="R17" s="7"/>
      <c r="S17" s="7"/>
      <c r="T17" s="7"/>
      <c r="U17" s="7" t="s">
        <v>493</v>
      </c>
      <c r="V17" s="65">
        <v>1826.0</v>
      </c>
      <c r="W17" s="7"/>
      <c r="X17" s="7"/>
    </row>
    <row r="18">
      <c r="A18" s="74">
        <v>1.0</v>
      </c>
      <c r="B18" s="45">
        <v>45855.45775462963</v>
      </c>
      <c r="C18" s="7" t="s">
        <v>47</v>
      </c>
      <c r="D18" s="7" t="s">
        <v>60</v>
      </c>
      <c r="E18" s="74">
        <v>1.0</v>
      </c>
      <c r="F18" s="46"/>
      <c r="G18" s="47">
        <v>51.11</v>
      </c>
      <c r="H18" s="47">
        <v>0.0</v>
      </c>
      <c r="I18" s="7"/>
      <c r="J18" s="47">
        <v>17.55</v>
      </c>
      <c r="K18" s="8">
        <f t="shared" si="1"/>
        <v>33.56</v>
      </c>
      <c r="L18" s="47">
        <v>51.11</v>
      </c>
      <c r="M18" s="45">
        <v>45975.18329861111</v>
      </c>
      <c r="N18" s="45">
        <v>45990.99998842592</v>
      </c>
      <c r="O18" s="7" t="s">
        <v>52</v>
      </c>
      <c r="P18" s="7" t="s">
        <v>53</v>
      </c>
      <c r="Q18" s="7" t="s">
        <v>490</v>
      </c>
      <c r="R18" s="7" t="s">
        <v>48</v>
      </c>
      <c r="S18" s="65">
        <v>9.0</v>
      </c>
      <c r="T18" s="7" t="s">
        <v>49</v>
      </c>
      <c r="U18" s="7" t="s">
        <v>51</v>
      </c>
      <c r="V18" s="65">
        <v>1825.0</v>
      </c>
      <c r="W18" s="7"/>
      <c r="X18" s="7"/>
    </row>
    <row r="19">
      <c r="A19" s="74">
        <v>1.0</v>
      </c>
      <c r="B19" s="45">
        <v>45855.41480324074</v>
      </c>
      <c r="C19" s="7" t="s">
        <v>547</v>
      </c>
      <c r="D19" s="7" t="s">
        <v>60</v>
      </c>
      <c r="E19" s="74">
        <v>1.0</v>
      </c>
      <c r="F19" s="46"/>
      <c r="G19" s="47">
        <v>36.15</v>
      </c>
      <c r="H19" s="47">
        <v>0.0</v>
      </c>
      <c r="I19" s="7"/>
      <c r="J19" s="47">
        <v>1.35</v>
      </c>
      <c r="K19" s="8">
        <f t="shared" si="1"/>
        <v>34.8</v>
      </c>
      <c r="L19" s="8"/>
      <c r="M19" s="7"/>
      <c r="N19" s="7"/>
      <c r="O19" s="7"/>
      <c r="P19" s="7"/>
      <c r="Q19" s="7" t="s">
        <v>490</v>
      </c>
      <c r="R19" s="7" t="s">
        <v>548</v>
      </c>
      <c r="S19" s="7"/>
      <c r="T19" s="7" t="s">
        <v>549</v>
      </c>
      <c r="U19" s="7" t="s">
        <v>493</v>
      </c>
      <c r="V19" s="65">
        <v>1822.0</v>
      </c>
      <c r="W19" s="7"/>
      <c r="X19" s="7"/>
    </row>
    <row r="20">
      <c r="A20" s="74">
        <v>1.0</v>
      </c>
      <c r="B20" s="45">
        <v>45855.37087962963</v>
      </c>
      <c r="C20" s="7" t="s">
        <v>550</v>
      </c>
      <c r="D20" s="7" t="s">
        <v>60</v>
      </c>
      <c r="E20" s="74">
        <v>1.0</v>
      </c>
      <c r="F20" s="46"/>
      <c r="G20" s="47">
        <v>34.46</v>
      </c>
      <c r="H20" s="47">
        <v>0.0</v>
      </c>
      <c r="I20" s="7"/>
      <c r="J20" s="47">
        <v>1.3</v>
      </c>
      <c r="K20" s="8">
        <f t="shared" si="1"/>
        <v>33.16</v>
      </c>
      <c r="L20" s="8"/>
      <c r="M20" s="7"/>
      <c r="N20" s="7"/>
      <c r="O20" s="7"/>
      <c r="P20" s="7"/>
      <c r="Q20" s="7" t="s">
        <v>490</v>
      </c>
      <c r="R20" s="7" t="s">
        <v>551</v>
      </c>
      <c r="S20" s="7"/>
      <c r="T20" s="7" t="s">
        <v>552</v>
      </c>
      <c r="U20" s="7" t="s">
        <v>493</v>
      </c>
      <c r="V20" s="65">
        <v>1821.0</v>
      </c>
      <c r="W20" s="7"/>
      <c r="X20" s="7"/>
    </row>
    <row r="21">
      <c r="A21" s="74">
        <v>1.0</v>
      </c>
      <c r="B21" s="45">
        <v>45855.36461805556</v>
      </c>
      <c r="C21" s="7" t="s">
        <v>113</v>
      </c>
      <c r="D21" s="7" t="s">
        <v>60</v>
      </c>
      <c r="E21" s="74">
        <v>1.0</v>
      </c>
      <c r="F21" s="46"/>
      <c r="G21" s="47">
        <v>50.29</v>
      </c>
      <c r="H21" s="47">
        <v>0.0</v>
      </c>
      <c r="I21" s="7"/>
      <c r="J21" s="47">
        <v>2.51</v>
      </c>
      <c r="K21" s="8">
        <f t="shared" si="1"/>
        <v>47.78</v>
      </c>
      <c r="L21" s="8"/>
      <c r="M21" s="7"/>
      <c r="N21" s="7"/>
      <c r="O21" s="7"/>
      <c r="P21" s="7"/>
      <c r="Q21" s="7" t="s">
        <v>490</v>
      </c>
      <c r="R21" s="7" t="s">
        <v>553</v>
      </c>
      <c r="S21" s="7"/>
      <c r="T21" s="7" t="s">
        <v>554</v>
      </c>
      <c r="U21" s="7" t="s">
        <v>555</v>
      </c>
      <c r="V21" s="65">
        <v>1820.0</v>
      </c>
      <c r="W21" s="7"/>
      <c r="X21" s="7"/>
    </row>
    <row r="22">
      <c r="A22" s="74">
        <v>1.0</v>
      </c>
      <c r="B22" s="45">
        <v>45855.33934027778</v>
      </c>
      <c r="C22" s="7" t="s">
        <v>556</v>
      </c>
      <c r="D22" s="7" t="s">
        <v>60</v>
      </c>
      <c r="E22" s="74">
        <v>1.0</v>
      </c>
      <c r="F22" s="46"/>
      <c r="G22" s="47">
        <v>34.46</v>
      </c>
      <c r="H22" s="47">
        <v>0.0</v>
      </c>
      <c r="I22" s="7"/>
      <c r="J22" s="47">
        <v>1.3</v>
      </c>
      <c r="K22" s="8">
        <f t="shared" si="1"/>
        <v>33.16</v>
      </c>
      <c r="L22" s="8"/>
      <c r="M22" s="7"/>
      <c r="N22" s="7"/>
      <c r="O22" s="7"/>
      <c r="P22" s="7"/>
      <c r="Q22" s="7" t="s">
        <v>490</v>
      </c>
      <c r="R22" s="7" t="s">
        <v>557</v>
      </c>
      <c r="S22" s="7"/>
      <c r="T22" s="7" t="s">
        <v>558</v>
      </c>
      <c r="U22" s="7" t="s">
        <v>493</v>
      </c>
      <c r="V22" s="65">
        <v>1819.0</v>
      </c>
      <c r="W22" s="7"/>
      <c r="X22" s="7"/>
    </row>
    <row r="23">
      <c r="A23" s="74">
        <v>1.0</v>
      </c>
      <c r="B23" s="45">
        <v>45855.27229166667</v>
      </c>
      <c r="C23" s="7" t="s">
        <v>559</v>
      </c>
      <c r="D23" s="7" t="s">
        <v>60</v>
      </c>
      <c r="E23" s="74">
        <v>1.0</v>
      </c>
      <c r="F23" s="46"/>
      <c r="G23" s="47">
        <v>48.06</v>
      </c>
      <c r="H23" s="47">
        <v>0.0</v>
      </c>
      <c r="I23" s="7"/>
      <c r="J23" s="47">
        <v>2.41</v>
      </c>
      <c r="K23" s="8">
        <f t="shared" si="1"/>
        <v>45.65</v>
      </c>
      <c r="L23" s="8"/>
      <c r="M23" s="7"/>
      <c r="N23" s="7"/>
      <c r="O23" s="7"/>
      <c r="P23" s="7"/>
      <c r="Q23" s="7" t="s">
        <v>490</v>
      </c>
      <c r="R23" s="7"/>
      <c r="S23" s="7"/>
      <c r="T23" s="7"/>
      <c r="U23" s="7" t="s">
        <v>560</v>
      </c>
      <c r="V23" s="65">
        <v>1816.0</v>
      </c>
      <c r="W23" s="7"/>
      <c r="X23" s="7"/>
    </row>
    <row r="24">
      <c r="A24" s="74">
        <v>1.0</v>
      </c>
      <c r="B24" s="45">
        <v>45855.23914351852</v>
      </c>
      <c r="C24" s="7" t="s">
        <v>260</v>
      </c>
      <c r="D24" s="7" t="s">
        <v>60</v>
      </c>
      <c r="E24" s="74">
        <v>1.0</v>
      </c>
      <c r="F24" s="46"/>
      <c r="G24" s="47">
        <v>34.46</v>
      </c>
      <c r="H24" s="47">
        <v>0.0</v>
      </c>
      <c r="I24" s="7"/>
      <c r="J24" s="47">
        <v>1.3</v>
      </c>
      <c r="K24" s="8">
        <f t="shared" si="1"/>
        <v>33.16</v>
      </c>
      <c r="L24" s="8"/>
      <c r="M24" s="7"/>
      <c r="N24" s="7"/>
      <c r="O24" s="7"/>
      <c r="P24" s="7"/>
      <c r="Q24" s="7" t="s">
        <v>490</v>
      </c>
      <c r="R24" s="7" t="s">
        <v>561</v>
      </c>
      <c r="S24" s="7" t="s">
        <v>562</v>
      </c>
      <c r="T24" s="7" t="s">
        <v>563</v>
      </c>
      <c r="U24" s="7" t="s">
        <v>493</v>
      </c>
      <c r="V24" s="65">
        <v>1813.0</v>
      </c>
      <c r="W24" s="7"/>
      <c r="X24" s="7"/>
    </row>
    <row r="25">
      <c r="A25" s="74">
        <v>1.0</v>
      </c>
      <c r="B25" s="45">
        <v>45855.21990740741</v>
      </c>
      <c r="C25" s="7" t="s">
        <v>564</v>
      </c>
      <c r="D25" s="7" t="s">
        <v>60</v>
      </c>
      <c r="E25" s="74">
        <v>1.0</v>
      </c>
      <c r="F25" s="46"/>
      <c r="G25" s="47">
        <v>36.89</v>
      </c>
      <c r="H25" s="47">
        <v>0.0</v>
      </c>
      <c r="I25" s="7"/>
      <c r="J25" s="47">
        <v>1.37</v>
      </c>
      <c r="K25" s="8">
        <f t="shared" si="1"/>
        <v>35.52</v>
      </c>
      <c r="L25" s="8"/>
      <c r="M25" s="7"/>
      <c r="N25" s="7"/>
      <c r="O25" s="7"/>
      <c r="P25" s="7"/>
      <c r="Q25" s="7" t="s">
        <v>490</v>
      </c>
      <c r="R25" s="7"/>
      <c r="S25" s="7"/>
      <c r="T25" s="7"/>
      <c r="U25" s="7" t="s">
        <v>493</v>
      </c>
      <c r="V25" s="65">
        <v>1812.0</v>
      </c>
      <c r="W25" s="7"/>
      <c r="X25" s="7"/>
    </row>
    <row r="26">
      <c r="A26" s="74">
        <v>1.0</v>
      </c>
      <c r="B26" s="45">
        <v>45855.18494212963</v>
      </c>
      <c r="C26" s="7" t="s">
        <v>565</v>
      </c>
      <c r="D26" s="7" t="s">
        <v>60</v>
      </c>
      <c r="E26" s="74">
        <v>1.0</v>
      </c>
      <c r="F26" s="46"/>
      <c r="G26" s="47">
        <v>34.46</v>
      </c>
      <c r="H26" s="47">
        <v>0.0</v>
      </c>
      <c r="I26" s="7"/>
      <c r="J26" s="47">
        <v>1.3</v>
      </c>
      <c r="K26" s="8">
        <f t="shared" si="1"/>
        <v>33.16</v>
      </c>
      <c r="L26" s="8"/>
      <c r="M26" s="7"/>
      <c r="N26" s="7"/>
      <c r="O26" s="7"/>
      <c r="P26" s="7"/>
      <c r="Q26" s="7" t="s">
        <v>490</v>
      </c>
      <c r="R26" s="7" t="s">
        <v>566</v>
      </c>
      <c r="S26" s="7"/>
      <c r="T26" s="7" t="s">
        <v>567</v>
      </c>
      <c r="U26" s="7" t="s">
        <v>493</v>
      </c>
      <c r="V26" s="65">
        <v>1809.0</v>
      </c>
      <c r="W26" s="7"/>
      <c r="X26" s="7"/>
    </row>
    <row r="27">
      <c r="A27" s="74">
        <v>1.0</v>
      </c>
      <c r="B27" s="45">
        <v>45855.18383101852</v>
      </c>
      <c r="C27" s="7" t="s">
        <v>152</v>
      </c>
      <c r="D27" s="7" t="s">
        <v>60</v>
      </c>
      <c r="E27" s="74">
        <v>1.0</v>
      </c>
      <c r="F27" s="46"/>
      <c r="G27" s="47">
        <v>34.46</v>
      </c>
      <c r="H27" s="47">
        <v>0.0</v>
      </c>
      <c r="I27" s="7"/>
      <c r="J27" s="47">
        <v>1.3</v>
      </c>
      <c r="K27" s="8">
        <f t="shared" si="1"/>
        <v>33.16</v>
      </c>
      <c r="L27" s="8"/>
      <c r="M27" s="7"/>
      <c r="N27" s="7"/>
      <c r="O27" s="7"/>
      <c r="P27" s="7"/>
      <c r="Q27" s="7" t="s">
        <v>490</v>
      </c>
      <c r="R27" s="7" t="s">
        <v>568</v>
      </c>
      <c r="S27" s="7"/>
      <c r="T27" s="7" t="s">
        <v>569</v>
      </c>
      <c r="U27" s="7" t="s">
        <v>493</v>
      </c>
      <c r="V27" s="65">
        <v>1808.0</v>
      </c>
      <c r="W27" s="7"/>
      <c r="X27" s="7"/>
    </row>
    <row r="28">
      <c r="A28" s="74">
        <v>1.0</v>
      </c>
      <c r="B28" s="45">
        <v>45855.1687962963</v>
      </c>
      <c r="C28" s="7" t="s">
        <v>570</v>
      </c>
      <c r="D28" s="7" t="s">
        <v>60</v>
      </c>
      <c r="E28" s="74">
        <v>1.0</v>
      </c>
      <c r="F28" s="46"/>
      <c r="G28" s="47">
        <v>34.46</v>
      </c>
      <c r="H28" s="47">
        <v>0.0</v>
      </c>
      <c r="I28" s="7"/>
      <c r="J28" s="47">
        <v>1.3</v>
      </c>
      <c r="K28" s="8">
        <f t="shared" si="1"/>
        <v>33.16</v>
      </c>
      <c r="L28" s="8"/>
      <c r="M28" s="7"/>
      <c r="N28" s="7"/>
      <c r="O28" s="7"/>
      <c r="P28" s="7"/>
      <c r="Q28" s="7" t="s">
        <v>490</v>
      </c>
      <c r="R28" s="7" t="s">
        <v>571</v>
      </c>
      <c r="S28" s="7"/>
      <c r="T28" s="7" t="s">
        <v>572</v>
      </c>
      <c r="U28" s="7" t="s">
        <v>493</v>
      </c>
      <c r="V28" s="65">
        <v>1807.0</v>
      </c>
      <c r="W28" s="7"/>
      <c r="X28" s="7"/>
    </row>
    <row r="29">
      <c r="A29" s="74">
        <v>1.0</v>
      </c>
      <c r="B29" s="45">
        <v>45855.165138888886</v>
      </c>
      <c r="C29" s="7" t="s">
        <v>573</v>
      </c>
      <c r="D29" s="7" t="s">
        <v>60</v>
      </c>
      <c r="E29" s="74">
        <v>1.0</v>
      </c>
      <c r="F29" s="46"/>
      <c r="G29" s="47">
        <v>34.46</v>
      </c>
      <c r="H29" s="47">
        <v>0.0</v>
      </c>
      <c r="I29" s="7"/>
      <c r="J29" s="47">
        <v>1.3</v>
      </c>
      <c r="K29" s="8">
        <f t="shared" si="1"/>
        <v>33.16</v>
      </c>
      <c r="L29" s="8"/>
      <c r="M29" s="7"/>
      <c r="N29" s="7"/>
      <c r="O29" s="7"/>
      <c r="P29" s="7"/>
      <c r="Q29" s="7" t="s">
        <v>490</v>
      </c>
      <c r="R29" s="7" t="s">
        <v>574</v>
      </c>
      <c r="S29" s="7"/>
      <c r="T29" s="7" t="s">
        <v>575</v>
      </c>
      <c r="U29" s="7" t="s">
        <v>493</v>
      </c>
      <c r="V29" s="65">
        <v>1806.0</v>
      </c>
      <c r="W29" s="7"/>
      <c r="X29" s="7"/>
    </row>
    <row r="30">
      <c r="A30" s="74">
        <v>1.0</v>
      </c>
      <c r="B30" s="45">
        <v>45855.16259259259</v>
      </c>
      <c r="C30" s="7" t="s">
        <v>576</v>
      </c>
      <c r="D30" s="7" t="s">
        <v>577</v>
      </c>
      <c r="E30" s="74">
        <v>2.0</v>
      </c>
      <c r="F30" s="46"/>
      <c r="G30" s="47">
        <v>73.05</v>
      </c>
      <c r="H30" s="47">
        <v>0.0</v>
      </c>
      <c r="I30" s="7"/>
      <c r="J30" s="47">
        <v>3.51</v>
      </c>
      <c r="K30" s="8">
        <f t="shared" si="1"/>
        <v>69.54</v>
      </c>
      <c r="L30" s="8"/>
      <c r="M30" s="7"/>
      <c r="N30" s="7"/>
      <c r="O30" s="7"/>
      <c r="P30" s="7"/>
      <c r="Q30" s="7" t="s">
        <v>490</v>
      </c>
      <c r="R30" s="7" t="s">
        <v>578</v>
      </c>
      <c r="S30" s="7" t="s">
        <v>579</v>
      </c>
      <c r="T30" s="7" t="s">
        <v>580</v>
      </c>
      <c r="U30" s="7" t="s">
        <v>581</v>
      </c>
      <c r="V30" s="65">
        <v>1805.0</v>
      </c>
      <c r="W30" s="7"/>
      <c r="X30" s="7"/>
    </row>
    <row r="31">
      <c r="A31" s="74">
        <v>1.0</v>
      </c>
      <c r="B31" s="45">
        <v>45855.14465277778</v>
      </c>
      <c r="C31" s="7" t="s">
        <v>582</v>
      </c>
      <c r="D31" s="7" t="s">
        <v>60</v>
      </c>
      <c r="E31" s="74">
        <v>1.0</v>
      </c>
      <c r="F31" s="46"/>
      <c r="G31" s="47">
        <v>34.46</v>
      </c>
      <c r="H31" s="47">
        <v>0.0</v>
      </c>
      <c r="I31" s="7"/>
      <c r="J31" s="47">
        <v>1.3</v>
      </c>
      <c r="K31" s="8">
        <f t="shared" si="1"/>
        <v>33.16</v>
      </c>
      <c r="L31" s="8"/>
      <c r="M31" s="7"/>
      <c r="N31" s="7"/>
      <c r="O31" s="7"/>
      <c r="P31" s="7"/>
      <c r="Q31" s="7" t="s">
        <v>490</v>
      </c>
      <c r="R31" s="7" t="s">
        <v>583</v>
      </c>
      <c r="S31" s="7" t="s">
        <v>584</v>
      </c>
      <c r="T31" s="7" t="s">
        <v>585</v>
      </c>
      <c r="U31" s="7" t="s">
        <v>493</v>
      </c>
      <c r="V31" s="65">
        <v>1804.0</v>
      </c>
      <c r="W31" s="7"/>
      <c r="X31" s="7"/>
    </row>
    <row r="32">
      <c r="A32" s="74">
        <v>1.0</v>
      </c>
      <c r="B32" s="45">
        <v>45855.142962962964</v>
      </c>
      <c r="C32" s="7" t="s">
        <v>586</v>
      </c>
      <c r="D32" s="7" t="s">
        <v>60</v>
      </c>
      <c r="E32" s="74">
        <v>1.0</v>
      </c>
      <c r="F32" s="46"/>
      <c r="G32" s="47">
        <v>34.46</v>
      </c>
      <c r="H32" s="47">
        <v>0.0</v>
      </c>
      <c r="I32" s="7"/>
      <c r="J32" s="47">
        <v>1.3</v>
      </c>
      <c r="K32" s="8">
        <f t="shared" si="1"/>
        <v>33.16</v>
      </c>
      <c r="L32" s="8"/>
      <c r="M32" s="7"/>
      <c r="N32" s="7"/>
      <c r="O32" s="7"/>
      <c r="P32" s="7"/>
      <c r="Q32" s="7" t="s">
        <v>490</v>
      </c>
      <c r="R32" s="7" t="s">
        <v>587</v>
      </c>
      <c r="S32" s="7"/>
      <c r="T32" s="7" t="s">
        <v>588</v>
      </c>
      <c r="U32" s="7" t="s">
        <v>493</v>
      </c>
      <c r="V32" s="65">
        <v>1803.0</v>
      </c>
      <c r="W32" s="7"/>
      <c r="X32" s="7"/>
    </row>
    <row r="33">
      <c r="A33" s="74">
        <v>1.0</v>
      </c>
      <c r="B33" s="45">
        <v>45855.106087962966</v>
      </c>
      <c r="C33" s="7" t="s">
        <v>589</v>
      </c>
      <c r="D33" s="7" t="s">
        <v>60</v>
      </c>
      <c r="E33" s="74">
        <v>1.0</v>
      </c>
      <c r="F33" s="46"/>
      <c r="G33" s="47">
        <v>34.23</v>
      </c>
      <c r="H33" s="47">
        <v>0.0</v>
      </c>
      <c r="I33" s="7"/>
      <c r="J33" s="47">
        <v>1.29</v>
      </c>
      <c r="K33" s="8">
        <f t="shared" si="1"/>
        <v>32.94</v>
      </c>
      <c r="L33" s="8"/>
      <c r="M33" s="7"/>
      <c r="N33" s="7"/>
      <c r="O33" s="7"/>
      <c r="P33" s="7"/>
      <c r="Q33" s="7" t="s">
        <v>490</v>
      </c>
      <c r="R33" s="7" t="s">
        <v>590</v>
      </c>
      <c r="S33" s="7"/>
      <c r="T33" s="7" t="s">
        <v>591</v>
      </c>
      <c r="U33" s="7" t="s">
        <v>493</v>
      </c>
      <c r="V33" s="65">
        <v>1799.0</v>
      </c>
      <c r="W33" s="7"/>
      <c r="X33" s="7"/>
    </row>
    <row r="34">
      <c r="A34" s="74">
        <v>1.0</v>
      </c>
      <c r="B34" s="45">
        <v>45855.085185185184</v>
      </c>
      <c r="C34" s="7" t="s">
        <v>592</v>
      </c>
      <c r="D34" s="7" t="s">
        <v>60</v>
      </c>
      <c r="E34" s="74">
        <v>1.0</v>
      </c>
      <c r="F34" s="46"/>
      <c r="G34" s="47">
        <v>36.77</v>
      </c>
      <c r="H34" s="47">
        <v>0.0</v>
      </c>
      <c r="I34" s="7"/>
      <c r="J34" s="47">
        <v>1.37</v>
      </c>
      <c r="K34" s="8">
        <f t="shared" si="1"/>
        <v>35.4</v>
      </c>
      <c r="L34" s="8"/>
      <c r="M34" s="7"/>
      <c r="N34" s="7"/>
      <c r="O34" s="7"/>
      <c r="P34" s="7"/>
      <c r="Q34" s="7" t="s">
        <v>490</v>
      </c>
      <c r="R34" s="7" t="s">
        <v>593</v>
      </c>
      <c r="S34" s="7"/>
      <c r="T34" s="7" t="s">
        <v>594</v>
      </c>
      <c r="U34" s="7" t="s">
        <v>493</v>
      </c>
      <c r="V34" s="65">
        <v>1797.0</v>
      </c>
      <c r="W34" s="7"/>
      <c r="X34" s="7"/>
    </row>
    <row r="35">
      <c r="A35" s="74">
        <v>1.0</v>
      </c>
      <c r="B35" s="45">
        <v>45855.074953703705</v>
      </c>
      <c r="C35" s="7" t="s">
        <v>595</v>
      </c>
      <c r="D35" s="7" t="s">
        <v>60</v>
      </c>
      <c r="E35" s="74">
        <v>1.0</v>
      </c>
      <c r="F35" s="46"/>
      <c r="G35" s="47">
        <v>36.59</v>
      </c>
      <c r="H35" s="47">
        <v>0.0</v>
      </c>
      <c r="I35" s="7"/>
      <c r="J35" s="47">
        <v>1.36</v>
      </c>
      <c r="K35" s="8">
        <f t="shared" si="1"/>
        <v>35.23</v>
      </c>
      <c r="L35" s="8"/>
      <c r="M35" s="7"/>
      <c r="N35" s="7"/>
      <c r="O35" s="7"/>
      <c r="P35" s="7"/>
      <c r="Q35" s="7" t="s">
        <v>490</v>
      </c>
      <c r="R35" s="7" t="s">
        <v>596</v>
      </c>
      <c r="S35" s="7"/>
      <c r="T35" s="7" t="s">
        <v>597</v>
      </c>
      <c r="U35" s="7" t="s">
        <v>493</v>
      </c>
      <c r="V35" s="65">
        <v>1794.0</v>
      </c>
      <c r="W35" s="7"/>
      <c r="X35" s="7"/>
    </row>
    <row r="36">
      <c r="A36" s="74">
        <v>1.0</v>
      </c>
      <c r="B36" s="45">
        <v>45855.04383101852</v>
      </c>
      <c r="C36" s="7" t="s">
        <v>598</v>
      </c>
      <c r="D36" s="7" t="s">
        <v>60</v>
      </c>
      <c r="E36" s="74">
        <v>1.0</v>
      </c>
      <c r="F36" s="46"/>
      <c r="G36" s="47">
        <v>34.46</v>
      </c>
      <c r="H36" s="47">
        <v>0.0</v>
      </c>
      <c r="I36" s="7"/>
      <c r="J36" s="47">
        <v>1.3</v>
      </c>
      <c r="K36" s="8">
        <f t="shared" si="1"/>
        <v>33.16</v>
      </c>
      <c r="L36" s="8"/>
      <c r="M36" s="7"/>
      <c r="N36" s="7"/>
      <c r="O36" s="7"/>
      <c r="P36" s="7"/>
      <c r="Q36" s="7" t="s">
        <v>490</v>
      </c>
      <c r="R36" s="7"/>
      <c r="S36" s="7"/>
      <c r="T36" s="7"/>
      <c r="U36" s="7" t="s">
        <v>493</v>
      </c>
      <c r="V36" s="65">
        <v>1793.0</v>
      </c>
      <c r="W36" s="7"/>
      <c r="X36" s="7"/>
    </row>
    <row r="37">
      <c r="A37" s="74">
        <v>1.0</v>
      </c>
      <c r="B37" s="45">
        <v>45855.03841435185</v>
      </c>
      <c r="C37" s="7" t="s">
        <v>599</v>
      </c>
      <c r="D37" s="7" t="s">
        <v>60</v>
      </c>
      <c r="E37" s="74">
        <v>1.0</v>
      </c>
      <c r="F37" s="46"/>
      <c r="G37" s="47">
        <v>34.46</v>
      </c>
      <c r="H37" s="47">
        <v>0.0</v>
      </c>
      <c r="I37" s="7"/>
      <c r="J37" s="47">
        <v>1.3</v>
      </c>
      <c r="K37" s="8">
        <f t="shared" si="1"/>
        <v>33.16</v>
      </c>
      <c r="L37" s="8"/>
      <c r="M37" s="7"/>
      <c r="N37" s="7"/>
      <c r="O37" s="7"/>
      <c r="P37" s="7"/>
      <c r="Q37" s="7" t="s">
        <v>490</v>
      </c>
      <c r="R37" s="7" t="s">
        <v>600</v>
      </c>
      <c r="S37" s="7"/>
      <c r="T37" s="7" t="s">
        <v>601</v>
      </c>
      <c r="U37" s="7" t="s">
        <v>493</v>
      </c>
      <c r="V37" s="65">
        <v>1792.0</v>
      </c>
      <c r="W37" s="7"/>
      <c r="X37" s="7"/>
    </row>
    <row r="38">
      <c r="A38" s="74">
        <v>1.0</v>
      </c>
      <c r="B38" s="45">
        <v>45854.97572916667</v>
      </c>
      <c r="C38" s="7" t="s">
        <v>403</v>
      </c>
      <c r="D38" s="7" t="s">
        <v>60</v>
      </c>
      <c r="E38" s="74">
        <v>1.0</v>
      </c>
      <c r="F38" s="46"/>
      <c r="G38" s="47">
        <v>34.58</v>
      </c>
      <c r="H38" s="47">
        <v>0.0</v>
      </c>
      <c r="I38" s="7"/>
      <c r="J38" s="47">
        <v>1.3</v>
      </c>
      <c r="K38" s="8">
        <f t="shared" si="1"/>
        <v>33.28</v>
      </c>
      <c r="L38" s="8"/>
      <c r="M38" s="7"/>
      <c r="N38" s="7"/>
      <c r="O38" s="7"/>
      <c r="P38" s="7"/>
      <c r="Q38" s="7" t="s">
        <v>490</v>
      </c>
      <c r="R38" s="7" t="s">
        <v>602</v>
      </c>
      <c r="S38" s="7"/>
      <c r="T38" s="7" t="s">
        <v>603</v>
      </c>
      <c r="U38" s="7" t="s">
        <v>493</v>
      </c>
      <c r="V38" s="65">
        <v>1787.0</v>
      </c>
      <c r="W38" s="7"/>
      <c r="X38" s="7"/>
    </row>
    <row r="39">
      <c r="A39" s="74">
        <v>1.0</v>
      </c>
      <c r="B39" s="45">
        <v>45854.96436342593</v>
      </c>
      <c r="C39" s="7" t="s">
        <v>604</v>
      </c>
      <c r="D39" s="7" t="s">
        <v>60</v>
      </c>
      <c r="E39" s="74">
        <v>1.0</v>
      </c>
      <c r="F39" s="46"/>
      <c r="G39" s="47">
        <v>48.38</v>
      </c>
      <c r="H39" s="47">
        <v>0.0</v>
      </c>
      <c r="I39" s="7"/>
      <c r="J39" s="47">
        <v>2.43</v>
      </c>
      <c r="K39" s="8">
        <f t="shared" si="1"/>
        <v>45.95</v>
      </c>
      <c r="L39" s="8"/>
      <c r="M39" s="7"/>
      <c r="N39" s="7"/>
      <c r="O39" s="7"/>
      <c r="P39" s="7"/>
      <c r="Q39" s="7" t="s">
        <v>490</v>
      </c>
      <c r="R39" s="7" t="s">
        <v>605</v>
      </c>
      <c r="S39" s="7" t="s">
        <v>606</v>
      </c>
      <c r="T39" s="7" t="s">
        <v>607</v>
      </c>
      <c r="U39" s="7" t="s">
        <v>542</v>
      </c>
      <c r="V39" s="65">
        <v>1785.0</v>
      </c>
      <c r="W39" s="7"/>
      <c r="X39" s="7"/>
    </row>
    <row r="40">
      <c r="A40" s="74">
        <v>1.0</v>
      </c>
      <c r="B40" s="45">
        <v>45854.96175925926</v>
      </c>
      <c r="C40" s="7" t="s">
        <v>608</v>
      </c>
      <c r="D40" s="7" t="s">
        <v>60</v>
      </c>
      <c r="E40" s="74">
        <v>1.0</v>
      </c>
      <c r="F40" s="46"/>
      <c r="G40" s="47">
        <v>48.38</v>
      </c>
      <c r="H40" s="47">
        <v>0.0</v>
      </c>
      <c r="I40" s="7"/>
      <c r="J40" s="47">
        <v>2.43</v>
      </c>
      <c r="K40" s="8">
        <f t="shared" si="1"/>
        <v>45.95</v>
      </c>
      <c r="L40" s="8"/>
      <c r="M40" s="7"/>
      <c r="N40" s="7"/>
      <c r="O40" s="7"/>
      <c r="P40" s="7"/>
      <c r="Q40" s="7" t="s">
        <v>490</v>
      </c>
      <c r="R40" s="7" t="s">
        <v>609</v>
      </c>
      <c r="S40" s="7" t="s">
        <v>610</v>
      </c>
      <c r="T40" s="7" t="s">
        <v>611</v>
      </c>
      <c r="U40" s="7" t="s">
        <v>542</v>
      </c>
      <c r="V40" s="65">
        <v>1784.0</v>
      </c>
      <c r="W40" s="7"/>
      <c r="X40" s="7"/>
    </row>
    <row r="41">
      <c r="A41" s="74">
        <v>1.0</v>
      </c>
      <c r="B41" s="45">
        <v>45854.96171296296</v>
      </c>
      <c r="C41" s="7" t="s">
        <v>105</v>
      </c>
      <c r="D41" s="7" t="s">
        <v>60</v>
      </c>
      <c r="E41" s="74">
        <v>1.0</v>
      </c>
      <c r="F41" s="46"/>
      <c r="G41" s="47">
        <v>34.4</v>
      </c>
      <c r="H41" s="47">
        <v>0.0</v>
      </c>
      <c r="I41" s="7"/>
      <c r="J41" s="47">
        <v>1.3</v>
      </c>
      <c r="K41" s="8">
        <f t="shared" si="1"/>
        <v>33.1</v>
      </c>
      <c r="L41" s="8"/>
      <c r="M41" s="7"/>
      <c r="N41" s="7"/>
      <c r="O41" s="7"/>
      <c r="P41" s="7"/>
      <c r="Q41" s="7" t="s">
        <v>490</v>
      </c>
      <c r="R41" s="7" t="s">
        <v>612</v>
      </c>
      <c r="S41" s="7"/>
      <c r="T41" s="7" t="s">
        <v>613</v>
      </c>
      <c r="U41" s="7" t="s">
        <v>493</v>
      </c>
      <c r="V41" s="65">
        <v>1782.0</v>
      </c>
      <c r="W41" s="7"/>
      <c r="X41" s="7"/>
    </row>
    <row r="42">
      <c r="A42" s="74">
        <v>1.0</v>
      </c>
      <c r="B42" s="45">
        <v>45854.902453703704</v>
      </c>
      <c r="C42" s="7" t="s">
        <v>614</v>
      </c>
      <c r="D42" s="7" t="s">
        <v>60</v>
      </c>
      <c r="E42" s="74">
        <v>1.0</v>
      </c>
      <c r="F42" s="46"/>
      <c r="G42" s="47">
        <v>49.79</v>
      </c>
      <c r="H42" s="47">
        <v>0.0</v>
      </c>
      <c r="I42" s="7"/>
      <c r="J42" s="47">
        <v>2.49</v>
      </c>
      <c r="K42" s="8">
        <f t="shared" si="1"/>
        <v>47.3</v>
      </c>
      <c r="L42" s="8"/>
      <c r="M42" s="7"/>
      <c r="N42" s="7"/>
      <c r="O42" s="7"/>
      <c r="P42" s="7"/>
      <c r="Q42" s="7" t="s">
        <v>490</v>
      </c>
      <c r="R42" s="7" t="s">
        <v>615</v>
      </c>
      <c r="S42" s="7"/>
      <c r="T42" s="7" t="s">
        <v>616</v>
      </c>
      <c r="U42" s="7" t="s">
        <v>617</v>
      </c>
      <c r="V42" s="65">
        <v>1772.0</v>
      </c>
      <c r="W42" s="7"/>
      <c r="X42" s="7"/>
    </row>
    <row r="43">
      <c r="A43" s="74">
        <v>1.0</v>
      </c>
      <c r="B43" s="45">
        <v>45854.89878472222</v>
      </c>
      <c r="C43" s="7" t="s">
        <v>242</v>
      </c>
      <c r="D43" s="7" t="s">
        <v>60</v>
      </c>
      <c r="E43" s="74">
        <v>1.0</v>
      </c>
      <c r="F43" s="46"/>
      <c r="G43" s="47">
        <v>45.78</v>
      </c>
      <c r="H43" s="47">
        <v>0.0</v>
      </c>
      <c r="I43" s="7"/>
      <c r="J43" s="47">
        <v>2.31</v>
      </c>
      <c r="K43" s="8">
        <f t="shared" si="1"/>
        <v>43.47</v>
      </c>
      <c r="L43" s="8"/>
      <c r="M43" s="7"/>
      <c r="N43" s="7"/>
      <c r="O43" s="7"/>
      <c r="P43" s="7"/>
      <c r="Q43" s="7" t="s">
        <v>490</v>
      </c>
      <c r="R43" s="7" t="s">
        <v>618</v>
      </c>
      <c r="S43" s="7" t="s">
        <v>619</v>
      </c>
      <c r="T43" s="7" t="s">
        <v>620</v>
      </c>
      <c r="U43" s="7" t="s">
        <v>545</v>
      </c>
      <c r="V43" s="65">
        <v>1775.0</v>
      </c>
      <c r="W43" s="7"/>
      <c r="X43" s="7"/>
    </row>
    <row r="44">
      <c r="A44" s="74">
        <v>1.0</v>
      </c>
      <c r="B44" s="45">
        <v>45854.893738425926</v>
      </c>
      <c r="C44" s="7" t="s">
        <v>621</v>
      </c>
      <c r="D44" s="7" t="s">
        <v>60</v>
      </c>
      <c r="E44" s="74">
        <v>1.0</v>
      </c>
      <c r="F44" s="46"/>
      <c r="G44" s="47">
        <v>34.46</v>
      </c>
      <c r="H44" s="47">
        <v>0.0</v>
      </c>
      <c r="I44" s="7"/>
      <c r="J44" s="47">
        <v>1.82</v>
      </c>
      <c r="K44" s="8">
        <f t="shared" si="1"/>
        <v>32.64</v>
      </c>
      <c r="L44" s="8"/>
      <c r="M44" s="7"/>
      <c r="N44" s="7"/>
      <c r="O44" s="7"/>
      <c r="P44" s="7"/>
      <c r="Q44" s="7" t="s">
        <v>490</v>
      </c>
      <c r="R44" s="7"/>
      <c r="S44" s="7"/>
      <c r="T44" s="7"/>
      <c r="U44" s="7" t="s">
        <v>622</v>
      </c>
      <c r="V44" s="65">
        <v>1771.0</v>
      </c>
      <c r="W44" s="7"/>
      <c r="X44" s="7"/>
    </row>
    <row r="45">
      <c r="A45" s="74">
        <v>1.0</v>
      </c>
      <c r="B45" s="45">
        <v>45854.88935185185</v>
      </c>
      <c r="C45" s="7" t="s">
        <v>120</v>
      </c>
      <c r="D45" s="7" t="s">
        <v>60</v>
      </c>
      <c r="E45" s="74">
        <v>1.0</v>
      </c>
      <c r="F45" s="46"/>
      <c r="G45" s="47">
        <v>34.46</v>
      </c>
      <c r="H45" s="47">
        <v>0.0</v>
      </c>
      <c r="I45" s="7"/>
      <c r="J45" s="47">
        <v>1.3</v>
      </c>
      <c r="K45" s="8">
        <f t="shared" si="1"/>
        <v>33.16</v>
      </c>
      <c r="L45" s="8"/>
      <c r="M45" s="7"/>
      <c r="N45" s="7"/>
      <c r="O45" s="7"/>
      <c r="P45" s="7"/>
      <c r="Q45" s="7" t="s">
        <v>490</v>
      </c>
      <c r="R45" s="7" t="s">
        <v>623</v>
      </c>
      <c r="S45" s="7"/>
      <c r="T45" s="7" t="s">
        <v>624</v>
      </c>
      <c r="U45" s="7" t="s">
        <v>493</v>
      </c>
      <c r="V45" s="65">
        <v>1769.0</v>
      </c>
      <c r="W45" s="7"/>
      <c r="X45" s="7"/>
    </row>
    <row r="46">
      <c r="A46" s="74">
        <v>1.0</v>
      </c>
      <c r="B46" s="45">
        <v>45854.88822916667</v>
      </c>
      <c r="C46" s="7" t="s">
        <v>311</v>
      </c>
      <c r="D46" s="7" t="s">
        <v>60</v>
      </c>
      <c r="E46" s="74">
        <v>1.0</v>
      </c>
      <c r="F46" s="46"/>
      <c r="G46" s="47">
        <v>37.22</v>
      </c>
      <c r="H46" s="47">
        <v>0.0</v>
      </c>
      <c r="I46" s="7"/>
      <c r="J46" s="47">
        <v>1.38</v>
      </c>
      <c r="K46" s="8">
        <f t="shared" si="1"/>
        <v>35.84</v>
      </c>
      <c r="L46" s="8"/>
      <c r="M46" s="7"/>
      <c r="N46" s="7"/>
      <c r="O46" s="7"/>
      <c r="P46" s="7"/>
      <c r="Q46" s="7" t="s">
        <v>490</v>
      </c>
      <c r="R46" s="7" t="s">
        <v>625</v>
      </c>
      <c r="S46" s="7"/>
      <c r="T46" s="7" t="s">
        <v>626</v>
      </c>
      <c r="U46" s="7" t="s">
        <v>493</v>
      </c>
      <c r="V46" s="65">
        <v>1763.0</v>
      </c>
      <c r="W46" s="7"/>
      <c r="X46" s="7"/>
    </row>
    <row r="47">
      <c r="A47" s="74">
        <v>1.0</v>
      </c>
      <c r="B47" s="45">
        <v>45854.614895833336</v>
      </c>
      <c r="C47" s="7" t="s">
        <v>627</v>
      </c>
      <c r="D47" s="7" t="s">
        <v>60</v>
      </c>
      <c r="E47" s="74">
        <v>1.0</v>
      </c>
      <c r="F47" s="46"/>
      <c r="G47" s="47">
        <v>34.46</v>
      </c>
      <c r="H47" s="47">
        <v>0.0</v>
      </c>
      <c r="I47" s="7"/>
      <c r="J47" s="47">
        <v>1.3</v>
      </c>
      <c r="K47" s="8">
        <f t="shared" si="1"/>
        <v>33.16</v>
      </c>
      <c r="L47" s="8"/>
      <c r="M47" s="7"/>
      <c r="N47" s="7"/>
      <c r="O47" s="7"/>
      <c r="P47" s="7"/>
      <c r="Q47" s="7" t="s">
        <v>490</v>
      </c>
      <c r="R47" s="7" t="s">
        <v>628</v>
      </c>
      <c r="S47" s="7"/>
      <c r="T47" s="7" t="s">
        <v>629</v>
      </c>
      <c r="U47" s="7" t="s">
        <v>493</v>
      </c>
      <c r="V47" s="65">
        <v>1754.0</v>
      </c>
      <c r="W47" s="7"/>
      <c r="X47" s="7"/>
    </row>
    <row r="48">
      <c r="A48" s="74">
        <v>1.0</v>
      </c>
      <c r="B48" s="45">
        <v>45854.583599537036</v>
      </c>
      <c r="C48" s="7" t="s">
        <v>630</v>
      </c>
      <c r="D48" s="7" t="s">
        <v>60</v>
      </c>
      <c r="E48" s="74">
        <v>1.0</v>
      </c>
      <c r="F48" s="46"/>
      <c r="G48" s="47">
        <v>50.19</v>
      </c>
      <c r="H48" s="47">
        <v>0.0</v>
      </c>
      <c r="I48" s="7"/>
      <c r="J48" s="47">
        <v>2.51</v>
      </c>
      <c r="K48" s="8">
        <f t="shared" si="1"/>
        <v>47.68</v>
      </c>
      <c r="L48" s="8"/>
      <c r="M48" s="7"/>
      <c r="N48" s="7"/>
      <c r="O48" s="7"/>
      <c r="P48" s="7"/>
      <c r="Q48" s="7" t="s">
        <v>490</v>
      </c>
      <c r="R48" s="7" t="s">
        <v>631</v>
      </c>
      <c r="S48" s="7"/>
      <c r="T48" s="7" t="s">
        <v>632</v>
      </c>
      <c r="U48" s="7" t="s">
        <v>633</v>
      </c>
      <c r="V48" s="65">
        <v>1753.0</v>
      </c>
      <c r="W48" s="7"/>
      <c r="X48" s="7"/>
    </row>
    <row r="49">
      <c r="A49" s="74">
        <v>1.0</v>
      </c>
      <c r="B49" s="45">
        <v>45854.523148148146</v>
      </c>
      <c r="C49" s="7" t="s">
        <v>634</v>
      </c>
      <c r="D49" s="7" t="s">
        <v>60</v>
      </c>
      <c r="E49" s="74">
        <v>1.0</v>
      </c>
      <c r="F49" s="46"/>
      <c r="G49" s="47">
        <v>48.06</v>
      </c>
      <c r="H49" s="47">
        <v>0.0</v>
      </c>
      <c r="I49" s="7"/>
      <c r="J49" s="47">
        <v>2.41</v>
      </c>
      <c r="K49" s="8">
        <f t="shared" si="1"/>
        <v>45.65</v>
      </c>
      <c r="L49" s="8"/>
      <c r="M49" s="7"/>
      <c r="N49" s="7"/>
      <c r="O49" s="7"/>
      <c r="P49" s="7"/>
      <c r="Q49" s="7" t="s">
        <v>490</v>
      </c>
      <c r="R49" s="7" t="s">
        <v>635</v>
      </c>
      <c r="S49" s="7" t="s">
        <v>636</v>
      </c>
      <c r="T49" s="7" t="s">
        <v>637</v>
      </c>
      <c r="U49" s="7" t="s">
        <v>638</v>
      </c>
      <c r="V49" s="65">
        <v>1751.0</v>
      </c>
      <c r="W49" s="7"/>
      <c r="X49" s="7"/>
    </row>
    <row r="50">
      <c r="A50" s="74">
        <v>1.0</v>
      </c>
      <c r="B50" s="45">
        <v>45854.067453703705</v>
      </c>
      <c r="C50" s="7" t="s">
        <v>639</v>
      </c>
      <c r="D50" s="7" t="s">
        <v>60</v>
      </c>
      <c r="E50" s="74">
        <v>1.0</v>
      </c>
      <c r="F50" s="46"/>
      <c r="G50" s="47">
        <v>51.37</v>
      </c>
      <c r="H50" s="47">
        <v>0.0</v>
      </c>
      <c r="I50" s="7"/>
      <c r="J50" s="47">
        <v>2.56</v>
      </c>
      <c r="K50" s="8">
        <f t="shared" si="1"/>
        <v>48.81</v>
      </c>
      <c r="L50" s="8"/>
      <c r="M50" s="7"/>
      <c r="N50" s="7"/>
      <c r="O50" s="7"/>
      <c r="P50" s="7"/>
      <c r="Q50" s="7" t="s">
        <v>490</v>
      </c>
      <c r="R50" s="7" t="s">
        <v>640</v>
      </c>
      <c r="S50" s="7"/>
      <c r="T50" s="7" t="s">
        <v>641</v>
      </c>
      <c r="U50" s="7" t="s">
        <v>633</v>
      </c>
      <c r="V50" s="65">
        <v>1746.0</v>
      </c>
      <c r="W50" s="7"/>
      <c r="X50" s="7"/>
    </row>
    <row r="51">
      <c r="A51" s="74">
        <v>1.0</v>
      </c>
      <c r="B51" s="45">
        <v>45853.9787037037</v>
      </c>
      <c r="C51" s="7" t="s">
        <v>642</v>
      </c>
      <c r="D51" s="7" t="s">
        <v>60</v>
      </c>
      <c r="E51" s="74">
        <v>1.0</v>
      </c>
      <c r="F51" s="46"/>
      <c r="G51" s="47">
        <v>53.13</v>
      </c>
      <c r="H51" s="47">
        <v>0.0</v>
      </c>
      <c r="I51" s="7"/>
      <c r="J51" s="47">
        <v>2.64</v>
      </c>
      <c r="K51" s="8">
        <f t="shared" si="1"/>
        <v>50.49</v>
      </c>
      <c r="L51" s="8"/>
      <c r="M51" s="7"/>
      <c r="N51" s="7"/>
      <c r="O51" s="7"/>
      <c r="P51" s="7"/>
      <c r="Q51" s="7" t="s">
        <v>490</v>
      </c>
      <c r="R51" s="7" t="s">
        <v>643</v>
      </c>
      <c r="S51" s="7" t="s">
        <v>644</v>
      </c>
      <c r="T51" s="7" t="s">
        <v>645</v>
      </c>
      <c r="U51" s="7" t="s">
        <v>622</v>
      </c>
      <c r="V51" s="65">
        <v>1742.0</v>
      </c>
      <c r="W51" s="7"/>
      <c r="X51" s="7"/>
    </row>
    <row r="52">
      <c r="A52" s="74">
        <v>1.0</v>
      </c>
      <c r="B52" s="45">
        <v>45853.94600694445</v>
      </c>
      <c r="C52" s="7" t="s">
        <v>273</v>
      </c>
      <c r="D52" s="7" t="s">
        <v>60</v>
      </c>
      <c r="E52" s="74">
        <v>1.0</v>
      </c>
      <c r="F52" s="46"/>
      <c r="G52" s="47">
        <v>34.46</v>
      </c>
      <c r="H52" s="47">
        <v>0.0</v>
      </c>
      <c r="I52" s="7"/>
      <c r="J52" s="47">
        <v>1.3</v>
      </c>
      <c r="K52" s="8">
        <f t="shared" si="1"/>
        <v>33.16</v>
      </c>
      <c r="L52" s="8"/>
      <c r="M52" s="7"/>
      <c r="N52" s="7"/>
      <c r="O52" s="7"/>
      <c r="P52" s="7"/>
      <c r="Q52" s="7" t="s">
        <v>490</v>
      </c>
      <c r="R52" s="7" t="s">
        <v>646</v>
      </c>
      <c r="S52" s="7"/>
      <c r="T52" s="7" t="s">
        <v>647</v>
      </c>
      <c r="U52" s="7" t="s">
        <v>493</v>
      </c>
      <c r="V52" s="65">
        <v>1733.0</v>
      </c>
      <c r="W52" s="7"/>
      <c r="X52" s="7"/>
    </row>
    <row r="53">
      <c r="A53" s="74">
        <v>1.0</v>
      </c>
      <c r="B53" s="45">
        <v>45853.67229166667</v>
      </c>
      <c r="C53" s="7" t="s">
        <v>648</v>
      </c>
      <c r="D53" s="7" t="s">
        <v>60</v>
      </c>
      <c r="E53" s="74">
        <v>1.0</v>
      </c>
      <c r="F53" s="46"/>
      <c r="G53" s="47">
        <v>52.6</v>
      </c>
      <c r="H53" s="47">
        <v>0.0</v>
      </c>
      <c r="I53" s="7"/>
      <c r="J53" s="47">
        <v>2.61</v>
      </c>
      <c r="K53" s="8">
        <f t="shared" si="1"/>
        <v>49.99</v>
      </c>
      <c r="L53" s="8"/>
      <c r="M53" s="7"/>
      <c r="N53" s="7"/>
      <c r="O53" s="7"/>
      <c r="P53" s="7"/>
      <c r="Q53" s="7" t="s">
        <v>490</v>
      </c>
      <c r="R53" s="7" t="s">
        <v>649</v>
      </c>
      <c r="S53" s="7" t="s">
        <v>650</v>
      </c>
      <c r="T53" s="7" t="s">
        <v>651</v>
      </c>
      <c r="U53" s="7" t="s">
        <v>510</v>
      </c>
      <c r="V53" s="65">
        <v>1723.0</v>
      </c>
      <c r="W53" s="7"/>
      <c r="X53" s="7"/>
    </row>
    <row r="54">
      <c r="A54" s="74">
        <v>1.0</v>
      </c>
      <c r="B54" s="45">
        <v>45853.642488425925</v>
      </c>
      <c r="C54" s="7" t="s">
        <v>136</v>
      </c>
      <c r="D54" s="7" t="s">
        <v>60</v>
      </c>
      <c r="E54" s="74">
        <v>1.0</v>
      </c>
      <c r="F54" s="46"/>
      <c r="G54" s="47">
        <v>34.33</v>
      </c>
      <c r="H54" s="47">
        <v>0.0</v>
      </c>
      <c r="I54" s="7"/>
      <c r="J54" s="47">
        <v>1.3</v>
      </c>
      <c r="K54" s="8">
        <f t="shared" si="1"/>
        <v>33.03</v>
      </c>
      <c r="L54" s="8"/>
      <c r="M54" s="7"/>
      <c r="N54" s="7"/>
      <c r="O54" s="7"/>
      <c r="P54" s="7"/>
      <c r="Q54" s="7" t="s">
        <v>490</v>
      </c>
      <c r="R54" s="7" t="s">
        <v>652</v>
      </c>
      <c r="S54" s="7"/>
      <c r="T54" s="7" t="s">
        <v>653</v>
      </c>
      <c r="U54" s="7" t="s">
        <v>493</v>
      </c>
      <c r="V54" s="65">
        <v>1721.0</v>
      </c>
      <c r="W54" s="7"/>
      <c r="X54" s="7"/>
    </row>
    <row r="55">
      <c r="A55" s="74">
        <v>1.0</v>
      </c>
      <c r="B55" s="45">
        <v>45853.58712962963</v>
      </c>
      <c r="C55" s="7" t="s">
        <v>654</v>
      </c>
      <c r="D55" s="7" t="s">
        <v>60</v>
      </c>
      <c r="E55" s="74">
        <v>1.0</v>
      </c>
      <c r="F55" s="46"/>
      <c r="G55" s="47">
        <v>37.25</v>
      </c>
      <c r="H55" s="47">
        <v>0.0</v>
      </c>
      <c r="I55" s="7"/>
      <c r="J55" s="47">
        <v>1.38</v>
      </c>
      <c r="K55" s="8">
        <f t="shared" si="1"/>
        <v>35.87</v>
      </c>
      <c r="L55" s="8"/>
      <c r="M55" s="7"/>
      <c r="N55" s="7"/>
      <c r="O55" s="7"/>
      <c r="P55" s="7"/>
      <c r="Q55" s="7" t="s">
        <v>490</v>
      </c>
      <c r="R55" s="7" t="s">
        <v>655</v>
      </c>
      <c r="S55" s="7"/>
      <c r="T55" s="7" t="s">
        <v>656</v>
      </c>
      <c r="U55" s="7" t="s">
        <v>493</v>
      </c>
      <c r="V55" s="65">
        <v>1720.0</v>
      </c>
      <c r="W55" s="7"/>
      <c r="X55" s="7"/>
    </row>
    <row r="56">
      <c r="A56" s="74">
        <v>1.0</v>
      </c>
      <c r="B56" s="45">
        <v>45853.58342592593</v>
      </c>
      <c r="C56" s="7" t="s">
        <v>237</v>
      </c>
      <c r="D56" s="7" t="s">
        <v>60</v>
      </c>
      <c r="E56" s="74">
        <v>1.0</v>
      </c>
      <c r="F56" s="46"/>
      <c r="G56" s="47">
        <v>34.46</v>
      </c>
      <c r="H56" s="47">
        <v>0.0</v>
      </c>
      <c r="I56" s="7"/>
      <c r="J56" s="47">
        <v>1.3</v>
      </c>
      <c r="K56" s="8">
        <f t="shared" si="1"/>
        <v>33.16</v>
      </c>
      <c r="L56" s="8"/>
      <c r="M56" s="7"/>
      <c r="N56" s="7"/>
      <c r="O56" s="7"/>
      <c r="P56" s="7"/>
      <c r="Q56" s="7" t="s">
        <v>490</v>
      </c>
      <c r="R56" s="7" t="s">
        <v>657</v>
      </c>
      <c r="S56" s="7"/>
      <c r="T56" s="7" t="s">
        <v>658</v>
      </c>
      <c r="U56" s="7" t="s">
        <v>493</v>
      </c>
      <c r="V56" s="65">
        <v>1719.0</v>
      </c>
      <c r="W56" s="7"/>
      <c r="X56" s="7"/>
    </row>
    <row r="57">
      <c r="A57" s="74">
        <v>1.0</v>
      </c>
      <c r="B57" s="45">
        <v>45853.5225462963</v>
      </c>
      <c r="C57" s="7" t="s">
        <v>659</v>
      </c>
      <c r="D57" s="7" t="s">
        <v>60</v>
      </c>
      <c r="E57" s="74">
        <v>1.0</v>
      </c>
      <c r="F57" s="46"/>
      <c r="G57" s="47">
        <v>37.02</v>
      </c>
      <c r="H57" s="47">
        <v>0.0</v>
      </c>
      <c r="I57" s="7"/>
      <c r="J57" s="47">
        <v>1.37</v>
      </c>
      <c r="K57" s="8">
        <f t="shared" si="1"/>
        <v>35.65</v>
      </c>
      <c r="L57" s="8"/>
      <c r="M57" s="7"/>
      <c r="N57" s="7"/>
      <c r="O57" s="7"/>
      <c r="P57" s="7"/>
      <c r="Q57" s="7" t="s">
        <v>490</v>
      </c>
      <c r="R57" s="7"/>
      <c r="S57" s="7"/>
      <c r="T57" s="7"/>
      <c r="U57" s="7" t="s">
        <v>493</v>
      </c>
      <c r="V57" s="65">
        <v>1716.0</v>
      </c>
      <c r="W57" s="7"/>
      <c r="X57" s="7"/>
    </row>
    <row r="58">
      <c r="A58" s="74">
        <v>1.0</v>
      </c>
      <c r="B58" s="45">
        <v>45853.42196759259</v>
      </c>
      <c r="C58" s="7" t="s">
        <v>660</v>
      </c>
      <c r="D58" s="7" t="s">
        <v>60</v>
      </c>
      <c r="E58" s="74">
        <v>1.0</v>
      </c>
      <c r="F58" s="46"/>
      <c r="G58" s="47">
        <v>34.79</v>
      </c>
      <c r="H58" s="47">
        <v>0.0</v>
      </c>
      <c r="I58" s="7"/>
      <c r="J58" s="47">
        <v>1.31</v>
      </c>
      <c r="K58" s="8">
        <f t="shared" si="1"/>
        <v>33.48</v>
      </c>
      <c r="L58" s="8"/>
      <c r="M58" s="7"/>
      <c r="N58" s="7"/>
      <c r="O58" s="7"/>
      <c r="P58" s="7"/>
      <c r="Q58" s="7" t="s">
        <v>490</v>
      </c>
      <c r="R58" s="7" t="s">
        <v>661</v>
      </c>
      <c r="S58" s="65">
        <v>1.0</v>
      </c>
      <c r="T58" s="7" t="s">
        <v>662</v>
      </c>
      <c r="U58" s="7" t="s">
        <v>493</v>
      </c>
      <c r="V58" s="65">
        <v>1714.0</v>
      </c>
      <c r="W58" s="7"/>
      <c r="X58" s="7"/>
    </row>
    <row r="59">
      <c r="A59" s="74">
        <v>1.0</v>
      </c>
      <c r="B59" s="45">
        <v>45853.37774305556</v>
      </c>
      <c r="C59" s="7" t="s">
        <v>663</v>
      </c>
      <c r="D59" s="7" t="s">
        <v>60</v>
      </c>
      <c r="E59" s="74">
        <v>1.0</v>
      </c>
      <c r="F59" s="46"/>
      <c r="G59" s="47">
        <v>49.13</v>
      </c>
      <c r="H59" s="47">
        <v>0.0</v>
      </c>
      <c r="I59" s="7"/>
      <c r="J59" s="47">
        <v>2.46</v>
      </c>
      <c r="K59" s="8">
        <f t="shared" si="1"/>
        <v>46.67</v>
      </c>
      <c r="L59" s="8"/>
      <c r="M59" s="7"/>
      <c r="N59" s="7"/>
      <c r="O59" s="7"/>
      <c r="P59" s="7"/>
      <c r="Q59" s="7" t="s">
        <v>490</v>
      </c>
      <c r="R59" s="7" t="s">
        <v>664</v>
      </c>
      <c r="S59" s="7" t="s">
        <v>665</v>
      </c>
      <c r="T59" s="7" t="s">
        <v>666</v>
      </c>
      <c r="U59" s="7" t="s">
        <v>617</v>
      </c>
      <c r="V59" s="65">
        <v>1712.0</v>
      </c>
      <c r="W59" s="7"/>
      <c r="X59" s="7"/>
    </row>
    <row r="60">
      <c r="A60" s="74">
        <v>1.0</v>
      </c>
      <c r="B60" s="45">
        <v>45853.34409722222</v>
      </c>
      <c r="C60" s="7" t="s">
        <v>667</v>
      </c>
      <c r="D60" s="7" t="s">
        <v>60</v>
      </c>
      <c r="E60" s="74">
        <v>1.0</v>
      </c>
      <c r="F60" s="46"/>
      <c r="G60" s="47">
        <v>34.46</v>
      </c>
      <c r="H60" s="47">
        <v>0.0</v>
      </c>
      <c r="I60" s="7"/>
      <c r="J60" s="47">
        <v>1.3</v>
      </c>
      <c r="K60" s="8">
        <f t="shared" si="1"/>
        <v>33.16</v>
      </c>
      <c r="L60" s="8"/>
      <c r="M60" s="7"/>
      <c r="N60" s="7"/>
      <c r="O60" s="7"/>
      <c r="P60" s="7"/>
      <c r="Q60" s="7" t="s">
        <v>490</v>
      </c>
      <c r="R60" s="7" t="s">
        <v>668</v>
      </c>
      <c r="S60" s="7"/>
      <c r="T60" s="7" t="s">
        <v>669</v>
      </c>
      <c r="U60" s="7" t="s">
        <v>493</v>
      </c>
      <c r="V60" s="65">
        <v>1711.0</v>
      </c>
      <c r="W60" s="7"/>
      <c r="X60" s="7"/>
    </row>
    <row r="61">
      <c r="A61" s="74">
        <v>1.0</v>
      </c>
      <c r="B61" s="45">
        <v>45853.141493055555</v>
      </c>
      <c r="C61" s="7" t="s">
        <v>291</v>
      </c>
      <c r="D61" s="7" t="s">
        <v>60</v>
      </c>
      <c r="E61" s="74">
        <v>1.0</v>
      </c>
      <c r="F61" s="46"/>
      <c r="G61" s="47">
        <v>34.4</v>
      </c>
      <c r="H61" s="47">
        <v>0.0</v>
      </c>
      <c r="I61" s="7"/>
      <c r="J61" s="47">
        <v>1.3</v>
      </c>
      <c r="K61" s="8">
        <f t="shared" si="1"/>
        <v>33.1</v>
      </c>
      <c r="L61" s="8"/>
      <c r="M61" s="7"/>
      <c r="N61" s="7"/>
      <c r="O61" s="7"/>
      <c r="P61" s="7"/>
      <c r="Q61" s="7" t="s">
        <v>490</v>
      </c>
      <c r="R61" s="7" t="s">
        <v>670</v>
      </c>
      <c r="S61" s="7"/>
      <c r="T61" s="7" t="s">
        <v>671</v>
      </c>
      <c r="U61" s="7" t="s">
        <v>493</v>
      </c>
      <c r="V61" s="65">
        <v>1704.0</v>
      </c>
      <c r="W61" s="7"/>
      <c r="X61" s="7"/>
    </row>
    <row r="62">
      <c r="A62" s="74">
        <v>1.0</v>
      </c>
      <c r="B62" s="45">
        <v>45853.073067129626</v>
      </c>
      <c r="C62" s="7" t="s">
        <v>278</v>
      </c>
      <c r="D62" s="7" t="s">
        <v>60</v>
      </c>
      <c r="E62" s="74">
        <v>1.0</v>
      </c>
      <c r="F62" s="46"/>
      <c r="G62" s="47">
        <v>34.79</v>
      </c>
      <c r="H62" s="47">
        <v>0.0</v>
      </c>
      <c r="I62" s="7"/>
      <c r="J62" s="47">
        <v>1.31</v>
      </c>
      <c r="K62" s="8">
        <f t="shared" si="1"/>
        <v>33.48</v>
      </c>
      <c r="L62" s="8"/>
      <c r="M62" s="7"/>
      <c r="N62" s="7"/>
      <c r="O62" s="7"/>
      <c r="P62" s="7"/>
      <c r="Q62" s="7" t="s">
        <v>490</v>
      </c>
      <c r="R62" s="7" t="s">
        <v>672</v>
      </c>
      <c r="S62" s="7"/>
      <c r="T62" s="7" t="s">
        <v>673</v>
      </c>
      <c r="U62" s="7" t="s">
        <v>493</v>
      </c>
      <c r="V62" s="65">
        <v>1702.0</v>
      </c>
      <c r="W62" s="7"/>
      <c r="X62" s="7"/>
    </row>
    <row r="63">
      <c r="A63" s="74">
        <v>1.0</v>
      </c>
      <c r="B63" s="45">
        <v>45853.05685185185</v>
      </c>
      <c r="C63" s="7" t="s">
        <v>674</v>
      </c>
      <c r="D63" s="7" t="s">
        <v>60</v>
      </c>
      <c r="E63" s="74">
        <v>1.0</v>
      </c>
      <c r="F63" s="46"/>
      <c r="G63" s="47">
        <v>34.46</v>
      </c>
      <c r="H63" s="47">
        <v>0.0</v>
      </c>
      <c r="I63" s="7"/>
      <c r="J63" s="47">
        <v>1.3</v>
      </c>
      <c r="K63" s="8">
        <f t="shared" si="1"/>
        <v>33.16</v>
      </c>
      <c r="L63" s="8"/>
      <c r="M63" s="7"/>
      <c r="N63" s="7"/>
      <c r="O63" s="7"/>
      <c r="P63" s="7"/>
      <c r="Q63" s="7" t="s">
        <v>490</v>
      </c>
      <c r="R63" s="7" t="s">
        <v>675</v>
      </c>
      <c r="S63" s="7"/>
      <c r="T63" s="7" t="s">
        <v>676</v>
      </c>
      <c r="U63" s="7" t="s">
        <v>493</v>
      </c>
      <c r="V63" s="65">
        <v>1699.0</v>
      </c>
      <c r="W63" s="7"/>
      <c r="X63" s="7"/>
    </row>
    <row r="64">
      <c r="A64" s="74">
        <v>1.0</v>
      </c>
      <c r="B64" s="45">
        <v>45853.03890046296</v>
      </c>
      <c r="C64" s="7" t="s">
        <v>677</v>
      </c>
      <c r="D64" s="7" t="s">
        <v>60</v>
      </c>
      <c r="E64" s="74">
        <v>1.0</v>
      </c>
      <c r="F64" s="46"/>
      <c r="G64" s="47">
        <v>34.46</v>
      </c>
      <c r="H64" s="47">
        <v>0.0</v>
      </c>
      <c r="I64" s="7"/>
      <c r="J64" s="47">
        <v>1.3</v>
      </c>
      <c r="K64" s="8">
        <f t="shared" si="1"/>
        <v>33.16</v>
      </c>
      <c r="L64" s="8"/>
      <c r="M64" s="7"/>
      <c r="N64" s="7"/>
      <c r="O64" s="7"/>
      <c r="P64" s="7"/>
      <c r="Q64" s="7" t="s">
        <v>490</v>
      </c>
      <c r="R64" s="7" t="s">
        <v>678</v>
      </c>
      <c r="S64" s="7" t="s">
        <v>679</v>
      </c>
      <c r="T64" s="7" t="s">
        <v>680</v>
      </c>
      <c r="U64" s="7" t="s">
        <v>493</v>
      </c>
      <c r="V64" s="65">
        <v>1698.0</v>
      </c>
      <c r="W64" s="7"/>
      <c r="X64" s="7"/>
    </row>
    <row r="65">
      <c r="A65" s="74">
        <v>1.0</v>
      </c>
      <c r="B65" s="45">
        <v>45853.005891203706</v>
      </c>
      <c r="C65" s="7" t="s">
        <v>149</v>
      </c>
      <c r="D65" s="7" t="s">
        <v>60</v>
      </c>
      <c r="E65" s="74">
        <v>1.0</v>
      </c>
      <c r="F65" s="46"/>
      <c r="G65" s="47">
        <v>48.54</v>
      </c>
      <c r="H65" s="47">
        <v>0.0</v>
      </c>
      <c r="I65" s="7"/>
      <c r="J65" s="47">
        <v>2.44</v>
      </c>
      <c r="K65" s="8">
        <f t="shared" si="1"/>
        <v>46.1</v>
      </c>
      <c r="L65" s="8"/>
      <c r="M65" s="7"/>
      <c r="N65" s="7"/>
      <c r="O65" s="7"/>
      <c r="P65" s="7"/>
      <c r="Q65" s="7" t="s">
        <v>490</v>
      </c>
      <c r="R65" s="7" t="s">
        <v>681</v>
      </c>
      <c r="S65" s="7" t="s">
        <v>682</v>
      </c>
      <c r="T65" s="7" t="s">
        <v>683</v>
      </c>
      <c r="U65" s="7" t="s">
        <v>684</v>
      </c>
      <c r="V65" s="65">
        <v>1697.0</v>
      </c>
      <c r="W65" s="7"/>
      <c r="X65" s="7"/>
    </row>
    <row r="66">
      <c r="A66" s="74">
        <v>1.0</v>
      </c>
      <c r="B66" s="45">
        <v>45852.94260416667</v>
      </c>
      <c r="C66" s="7" t="s">
        <v>246</v>
      </c>
      <c r="D66" s="7" t="s">
        <v>60</v>
      </c>
      <c r="E66" s="74">
        <v>1.0</v>
      </c>
      <c r="F66" s="46"/>
      <c r="G66" s="47">
        <v>48.06</v>
      </c>
      <c r="H66" s="47">
        <v>0.0</v>
      </c>
      <c r="I66" s="7"/>
      <c r="J66" s="47">
        <v>2.41</v>
      </c>
      <c r="K66" s="8">
        <f t="shared" si="1"/>
        <v>45.65</v>
      </c>
      <c r="L66" s="8"/>
      <c r="M66" s="7"/>
      <c r="N66" s="7"/>
      <c r="O66" s="7"/>
      <c r="P66" s="7"/>
      <c r="Q66" s="7" t="s">
        <v>490</v>
      </c>
      <c r="R66" s="7" t="s">
        <v>685</v>
      </c>
      <c r="S66" s="7" t="s">
        <v>686</v>
      </c>
      <c r="T66" s="7"/>
      <c r="U66" s="7" t="s">
        <v>687</v>
      </c>
      <c r="V66" s="65">
        <v>1694.0</v>
      </c>
      <c r="W66" s="7"/>
      <c r="X66" s="7"/>
    </row>
    <row r="67">
      <c r="A67" s="74">
        <v>1.0</v>
      </c>
      <c r="B67" s="45">
        <v>45852.889398148145</v>
      </c>
      <c r="C67" s="7" t="s">
        <v>688</v>
      </c>
      <c r="D67" s="7" t="s">
        <v>60</v>
      </c>
      <c r="E67" s="74">
        <v>1.0</v>
      </c>
      <c r="F67" s="46"/>
      <c r="G67" s="47">
        <v>36.59</v>
      </c>
      <c r="H67" s="47">
        <v>0.0</v>
      </c>
      <c r="I67" s="7"/>
      <c r="J67" s="47">
        <v>1.36</v>
      </c>
      <c r="K67" s="8">
        <f t="shared" si="1"/>
        <v>35.23</v>
      </c>
      <c r="L67" s="8"/>
      <c r="M67" s="7"/>
      <c r="N67" s="7"/>
      <c r="O67" s="7"/>
      <c r="P67" s="7"/>
      <c r="Q67" s="7" t="s">
        <v>490</v>
      </c>
      <c r="R67" s="7" t="s">
        <v>689</v>
      </c>
      <c r="S67" s="7"/>
      <c r="T67" s="7" t="s">
        <v>690</v>
      </c>
      <c r="U67" s="7" t="s">
        <v>493</v>
      </c>
      <c r="V67" s="65">
        <v>1693.0</v>
      </c>
      <c r="W67" s="7"/>
      <c r="X67" s="7"/>
    </row>
    <row r="68">
      <c r="A68" s="74">
        <v>1.0</v>
      </c>
      <c r="B68" s="45">
        <v>45852.88719907407</v>
      </c>
      <c r="C68" s="7" t="s">
        <v>691</v>
      </c>
      <c r="D68" s="7" t="s">
        <v>60</v>
      </c>
      <c r="E68" s="74">
        <v>1.0</v>
      </c>
      <c r="F68" s="46"/>
      <c r="G68" s="47">
        <v>49.13</v>
      </c>
      <c r="H68" s="47">
        <v>0.0</v>
      </c>
      <c r="I68" s="7"/>
      <c r="J68" s="47">
        <v>2.46</v>
      </c>
      <c r="K68" s="8">
        <f t="shared" si="1"/>
        <v>46.67</v>
      </c>
      <c r="L68" s="8"/>
      <c r="M68" s="7"/>
      <c r="N68" s="7"/>
      <c r="O68" s="7"/>
      <c r="P68" s="7"/>
      <c r="Q68" s="7" t="s">
        <v>490</v>
      </c>
      <c r="R68" s="7" t="s">
        <v>692</v>
      </c>
      <c r="S68" s="7"/>
      <c r="T68" s="7" t="s">
        <v>693</v>
      </c>
      <c r="U68" s="7" t="s">
        <v>542</v>
      </c>
      <c r="V68" s="65">
        <v>1692.0</v>
      </c>
      <c r="W68" s="7"/>
      <c r="X68" s="7"/>
    </row>
    <row r="69">
      <c r="A69" s="74">
        <v>1.0</v>
      </c>
      <c r="B69" s="45">
        <v>45852.872407407405</v>
      </c>
      <c r="C69" s="7" t="s">
        <v>694</v>
      </c>
      <c r="D69" s="7" t="s">
        <v>60</v>
      </c>
      <c r="E69" s="74">
        <v>1.0</v>
      </c>
      <c r="F69" s="46"/>
      <c r="G69" s="47">
        <v>34.46</v>
      </c>
      <c r="H69" s="47">
        <v>0.0</v>
      </c>
      <c r="I69" s="7"/>
      <c r="J69" s="47">
        <v>1.3</v>
      </c>
      <c r="K69" s="8">
        <f t="shared" si="1"/>
        <v>33.16</v>
      </c>
      <c r="L69" s="8"/>
      <c r="M69" s="7"/>
      <c r="N69" s="7"/>
      <c r="O69" s="7"/>
      <c r="P69" s="7"/>
      <c r="Q69" s="7" t="s">
        <v>490</v>
      </c>
      <c r="R69" s="7" t="s">
        <v>695</v>
      </c>
      <c r="S69" s="7"/>
      <c r="T69" s="7" t="s">
        <v>696</v>
      </c>
      <c r="U69" s="7" t="s">
        <v>493</v>
      </c>
      <c r="V69" s="65">
        <v>1689.0</v>
      </c>
      <c r="W69" s="7"/>
      <c r="X69" s="7"/>
    </row>
    <row r="70">
      <c r="A70" s="74">
        <v>1.0</v>
      </c>
      <c r="B70" s="45">
        <v>45852.8475</v>
      </c>
      <c r="C70" s="7" t="s">
        <v>697</v>
      </c>
      <c r="D70" s="7" t="s">
        <v>60</v>
      </c>
      <c r="E70" s="74">
        <v>1.0</v>
      </c>
      <c r="F70" s="46"/>
      <c r="G70" s="47">
        <v>49.13</v>
      </c>
      <c r="H70" s="47">
        <v>0.0</v>
      </c>
      <c r="I70" s="7"/>
      <c r="J70" s="47">
        <v>2.46</v>
      </c>
      <c r="K70" s="8">
        <f t="shared" si="1"/>
        <v>46.67</v>
      </c>
      <c r="L70" s="8"/>
      <c r="M70" s="7"/>
      <c r="N70" s="7"/>
      <c r="O70" s="7"/>
      <c r="P70" s="7"/>
      <c r="Q70" s="7" t="s">
        <v>490</v>
      </c>
      <c r="R70" s="7" t="s">
        <v>698</v>
      </c>
      <c r="S70" s="7"/>
      <c r="T70" s="7" t="s">
        <v>699</v>
      </c>
      <c r="U70" s="7" t="s">
        <v>542</v>
      </c>
      <c r="V70" s="65">
        <v>1688.0</v>
      </c>
      <c r="W70" s="7"/>
      <c r="X70" s="7"/>
    </row>
    <row r="71">
      <c r="A71" s="74">
        <v>1.0</v>
      </c>
      <c r="B71" s="45">
        <v>45852.822847222225</v>
      </c>
      <c r="C71" s="7" t="s">
        <v>178</v>
      </c>
      <c r="D71" s="7" t="s">
        <v>60</v>
      </c>
      <c r="E71" s="74">
        <v>1.0</v>
      </c>
      <c r="F71" s="46"/>
      <c r="G71" s="47">
        <v>34.79</v>
      </c>
      <c r="H71" s="47">
        <v>0.0</v>
      </c>
      <c r="I71" s="7"/>
      <c r="J71" s="47">
        <v>1.31</v>
      </c>
      <c r="K71" s="8">
        <f t="shared" si="1"/>
        <v>33.48</v>
      </c>
      <c r="L71" s="8"/>
      <c r="M71" s="7"/>
      <c r="N71" s="7"/>
      <c r="O71" s="7"/>
      <c r="P71" s="7"/>
      <c r="Q71" s="7" t="s">
        <v>490</v>
      </c>
      <c r="R71" s="7" t="s">
        <v>700</v>
      </c>
      <c r="S71" s="7"/>
      <c r="T71" s="7" t="s">
        <v>701</v>
      </c>
      <c r="U71" s="7" t="s">
        <v>493</v>
      </c>
      <c r="V71" s="65">
        <v>1681.0</v>
      </c>
      <c r="W71" s="7"/>
      <c r="X71" s="7"/>
    </row>
    <row r="72">
      <c r="A72" s="74">
        <v>1.0</v>
      </c>
      <c r="B72" s="45">
        <v>45852.811435185184</v>
      </c>
      <c r="C72" s="7" t="s">
        <v>702</v>
      </c>
      <c r="D72" s="7" t="s">
        <v>60</v>
      </c>
      <c r="E72" s="74">
        <v>1.0</v>
      </c>
      <c r="F72" s="46"/>
      <c r="G72" s="47">
        <v>49.79</v>
      </c>
      <c r="H72" s="47">
        <v>0.0</v>
      </c>
      <c r="I72" s="7"/>
      <c r="J72" s="47">
        <v>2.49</v>
      </c>
      <c r="K72" s="8">
        <f t="shared" si="1"/>
        <v>47.3</v>
      </c>
      <c r="L72" s="8"/>
      <c r="M72" s="7"/>
      <c r="N72" s="7"/>
      <c r="O72" s="7"/>
      <c r="P72" s="7"/>
      <c r="Q72" s="7" t="s">
        <v>490</v>
      </c>
      <c r="R72" s="7" t="s">
        <v>703</v>
      </c>
      <c r="S72" s="7"/>
      <c r="T72" s="7" t="s">
        <v>704</v>
      </c>
      <c r="U72" s="7" t="s">
        <v>617</v>
      </c>
      <c r="V72" s="65">
        <v>1675.0</v>
      </c>
      <c r="W72" s="7"/>
      <c r="X72" s="7"/>
    </row>
    <row r="73">
      <c r="A73" s="74">
        <v>1.0</v>
      </c>
      <c r="B73" s="45">
        <v>45852.68670138889</v>
      </c>
      <c r="C73" s="7" t="s">
        <v>705</v>
      </c>
      <c r="D73" s="7" t="s">
        <v>60</v>
      </c>
      <c r="E73" s="74">
        <v>1.0</v>
      </c>
      <c r="F73" s="46"/>
      <c r="G73" s="47">
        <v>49.13</v>
      </c>
      <c r="H73" s="47">
        <v>0.0</v>
      </c>
      <c r="I73" s="7"/>
      <c r="J73" s="47">
        <v>2.46</v>
      </c>
      <c r="K73" s="8">
        <f t="shared" si="1"/>
        <v>46.67</v>
      </c>
      <c r="L73" s="8"/>
      <c r="M73" s="7"/>
      <c r="N73" s="7"/>
      <c r="O73" s="7"/>
      <c r="P73" s="7"/>
      <c r="Q73" s="7" t="s">
        <v>490</v>
      </c>
      <c r="R73" s="7" t="s">
        <v>706</v>
      </c>
      <c r="S73" s="7" t="s">
        <v>707</v>
      </c>
      <c r="T73" s="7" t="s">
        <v>708</v>
      </c>
      <c r="U73" s="7" t="s">
        <v>521</v>
      </c>
      <c r="V73" s="65">
        <v>1659.0</v>
      </c>
      <c r="W73" s="7"/>
      <c r="X73" s="7"/>
    </row>
    <row r="74">
      <c r="A74" s="74">
        <v>1.0</v>
      </c>
      <c r="B74" s="45">
        <v>45852.60824074074</v>
      </c>
      <c r="C74" s="7" t="s">
        <v>709</v>
      </c>
      <c r="D74" s="7" t="s">
        <v>60</v>
      </c>
      <c r="E74" s="74">
        <v>1.0</v>
      </c>
      <c r="F74" s="46"/>
      <c r="G74" s="47">
        <v>47.26</v>
      </c>
      <c r="H74" s="47">
        <v>0.0</v>
      </c>
      <c r="I74" s="7"/>
      <c r="J74" s="47">
        <v>2.38</v>
      </c>
      <c r="K74" s="8">
        <f t="shared" si="1"/>
        <v>44.88</v>
      </c>
      <c r="L74" s="8"/>
      <c r="M74" s="7"/>
      <c r="N74" s="7"/>
      <c r="O74" s="7"/>
      <c r="P74" s="7"/>
      <c r="Q74" s="7" t="s">
        <v>490</v>
      </c>
      <c r="R74" s="7" t="s">
        <v>710</v>
      </c>
      <c r="S74" s="7" t="s">
        <v>711</v>
      </c>
      <c r="T74" s="7" t="s">
        <v>712</v>
      </c>
      <c r="U74" s="7" t="s">
        <v>545</v>
      </c>
      <c r="V74" s="65">
        <v>1656.0</v>
      </c>
      <c r="W74" s="7"/>
      <c r="X74" s="7"/>
    </row>
    <row r="75">
      <c r="A75" s="74">
        <v>1.0</v>
      </c>
      <c r="B75" s="45">
        <v>45852.372152777774</v>
      </c>
      <c r="C75" s="7" t="s">
        <v>713</v>
      </c>
      <c r="D75" s="7" t="s">
        <v>577</v>
      </c>
      <c r="E75" s="74">
        <v>2.0</v>
      </c>
      <c r="F75" s="46"/>
      <c r="G75" s="47">
        <v>73.53</v>
      </c>
      <c r="H75" s="47">
        <v>0.0</v>
      </c>
      <c r="I75" s="7"/>
      <c r="J75" s="47">
        <v>3.54</v>
      </c>
      <c r="K75" s="8">
        <f t="shared" si="1"/>
        <v>69.99</v>
      </c>
      <c r="L75" s="8"/>
      <c r="M75" s="7"/>
      <c r="N75" s="7"/>
      <c r="O75" s="7"/>
      <c r="P75" s="7"/>
      <c r="Q75" s="7" t="s">
        <v>490</v>
      </c>
      <c r="R75" s="7" t="s">
        <v>714</v>
      </c>
      <c r="S75" s="7" t="s">
        <v>715</v>
      </c>
      <c r="T75" s="7" t="s">
        <v>716</v>
      </c>
      <c r="U75" s="7" t="s">
        <v>684</v>
      </c>
      <c r="V75" s="65">
        <v>1649.0</v>
      </c>
      <c r="W75" s="7"/>
      <c r="X75" s="7"/>
    </row>
    <row r="76">
      <c r="A76" s="74">
        <v>1.0</v>
      </c>
      <c r="B76" s="45">
        <v>45852.35890046296</v>
      </c>
      <c r="C76" s="7" t="s">
        <v>717</v>
      </c>
      <c r="D76" s="7" t="s">
        <v>60</v>
      </c>
      <c r="E76" s="74">
        <v>1.0</v>
      </c>
      <c r="F76" s="46"/>
      <c r="G76" s="47">
        <v>34.46</v>
      </c>
      <c r="H76" s="47">
        <v>0.0</v>
      </c>
      <c r="I76" s="7"/>
      <c r="J76" s="47">
        <v>1.3</v>
      </c>
      <c r="K76" s="8">
        <f t="shared" si="1"/>
        <v>33.16</v>
      </c>
      <c r="L76" s="8"/>
      <c r="M76" s="7"/>
      <c r="N76" s="7"/>
      <c r="O76" s="7"/>
      <c r="P76" s="7"/>
      <c r="Q76" s="7" t="s">
        <v>490</v>
      </c>
      <c r="R76" s="7" t="s">
        <v>718</v>
      </c>
      <c r="S76" s="7"/>
      <c r="T76" s="7" t="s">
        <v>719</v>
      </c>
      <c r="U76" s="7" t="s">
        <v>493</v>
      </c>
      <c r="V76" s="65">
        <v>1646.0</v>
      </c>
      <c r="W76" s="7"/>
      <c r="X76" s="7"/>
    </row>
    <row r="77">
      <c r="A77" s="74">
        <v>1.0</v>
      </c>
      <c r="B77" s="45">
        <v>45852.191041666665</v>
      </c>
      <c r="C77" s="7" t="s">
        <v>720</v>
      </c>
      <c r="D77" s="7" t="s">
        <v>60</v>
      </c>
      <c r="E77" s="74">
        <v>1.0</v>
      </c>
      <c r="F77" s="46"/>
      <c r="G77" s="47">
        <v>34.46</v>
      </c>
      <c r="H77" s="47">
        <v>0.0</v>
      </c>
      <c r="I77" s="7"/>
      <c r="J77" s="47">
        <v>1.3</v>
      </c>
      <c r="K77" s="8">
        <f t="shared" si="1"/>
        <v>33.16</v>
      </c>
      <c r="L77" s="8"/>
      <c r="M77" s="7"/>
      <c r="N77" s="7"/>
      <c r="O77" s="7"/>
      <c r="P77" s="7"/>
      <c r="Q77" s="7" t="s">
        <v>490</v>
      </c>
      <c r="R77" s="7" t="s">
        <v>721</v>
      </c>
      <c r="S77" s="7"/>
      <c r="T77" s="7" t="s">
        <v>722</v>
      </c>
      <c r="U77" s="7" t="s">
        <v>493</v>
      </c>
      <c r="V77" s="65">
        <v>1633.0</v>
      </c>
      <c r="W77" s="7"/>
      <c r="X77" s="7"/>
    </row>
    <row r="78">
      <c r="A78" s="74">
        <v>1.0</v>
      </c>
      <c r="B78" s="45">
        <v>45852.18100694445</v>
      </c>
      <c r="C78" s="7" t="s">
        <v>723</v>
      </c>
      <c r="D78" s="7" t="s">
        <v>60</v>
      </c>
      <c r="E78" s="74">
        <v>1.0</v>
      </c>
      <c r="F78" s="46"/>
      <c r="G78" s="47">
        <v>49.13</v>
      </c>
      <c r="H78" s="47">
        <v>0.0</v>
      </c>
      <c r="I78" s="7"/>
      <c r="J78" s="47">
        <v>2.46</v>
      </c>
      <c r="K78" s="8">
        <f t="shared" si="1"/>
        <v>46.67</v>
      </c>
      <c r="L78" s="8"/>
      <c r="M78" s="7"/>
      <c r="N78" s="7"/>
      <c r="O78" s="7"/>
      <c r="P78" s="7"/>
      <c r="Q78" s="7" t="s">
        <v>490</v>
      </c>
      <c r="R78" s="7" t="s">
        <v>724</v>
      </c>
      <c r="S78" s="7"/>
      <c r="T78" s="7" t="s">
        <v>725</v>
      </c>
      <c r="U78" s="7" t="s">
        <v>726</v>
      </c>
      <c r="V78" s="65">
        <v>1631.0</v>
      </c>
      <c r="W78" s="7"/>
      <c r="X78" s="7"/>
    </row>
    <row r="79">
      <c r="A79" s="74">
        <v>1.0</v>
      </c>
      <c r="B79" s="45">
        <v>45852.133055555554</v>
      </c>
      <c r="C79" s="7" t="s">
        <v>727</v>
      </c>
      <c r="D79" s="7" t="s">
        <v>60</v>
      </c>
      <c r="E79" s="74">
        <v>1.0</v>
      </c>
      <c r="F79" s="46"/>
      <c r="G79" s="47">
        <v>34.46</v>
      </c>
      <c r="H79" s="47">
        <v>0.0</v>
      </c>
      <c r="I79" s="7"/>
      <c r="J79" s="47">
        <v>1.3</v>
      </c>
      <c r="K79" s="8">
        <f t="shared" si="1"/>
        <v>33.16</v>
      </c>
      <c r="L79" s="8"/>
      <c r="M79" s="7"/>
      <c r="N79" s="7"/>
      <c r="O79" s="7"/>
      <c r="P79" s="7"/>
      <c r="Q79" s="7" t="s">
        <v>490</v>
      </c>
      <c r="R79" s="7" t="s">
        <v>728</v>
      </c>
      <c r="S79" s="7"/>
      <c r="T79" s="7" t="s">
        <v>729</v>
      </c>
      <c r="U79" s="7" t="s">
        <v>493</v>
      </c>
      <c r="V79" s="65">
        <v>1627.0</v>
      </c>
      <c r="W79" s="7"/>
      <c r="X79" s="7"/>
    </row>
    <row r="80">
      <c r="A80" s="74">
        <v>1.0</v>
      </c>
      <c r="B80" s="45">
        <v>45852.109826388885</v>
      </c>
      <c r="C80" s="7" t="s">
        <v>730</v>
      </c>
      <c r="D80" s="7" t="s">
        <v>60</v>
      </c>
      <c r="E80" s="74">
        <v>1.0</v>
      </c>
      <c r="F80" s="46"/>
      <c r="G80" s="47">
        <v>34.4</v>
      </c>
      <c r="H80" s="47">
        <v>0.0</v>
      </c>
      <c r="I80" s="7"/>
      <c r="J80" s="47">
        <v>1.3</v>
      </c>
      <c r="K80" s="8">
        <f t="shared" si="1"/>
        <v>33.1</v>
      </c>
      <c r="L80" s="8"/>
      <c r="M80" s="7"/>
      <c r="N80" s="7"/>
      <c r="O80" s="7"/>
      <c r="P80" s="7"/>
      <c r="Q80" s="7" t="s">
        <v>490</v>
      </c>
      <c r="R80" s="7" t="s">
        <v>731</v>
      </c>
      <c r="S80" s="7"/>
      <c r="T80" s="7" t="s">
        <v>732</v>
      </c>
      <c r="U80" s="7" t="s">
        <v>493</v>
      </c>
      <c r="V80" s="65">
        <v>1625.0</v>
      </c>
      <c r="W80" s="7"/>
      <c r="X80" s="7"/>
    </row>
    <row r="81">
      <c r="A81" s="74">
        <v>1.0</v>
      </c>
      <c r="B81" s="45">
        <v>45852.03579861111</v>
      </c>
      <c r="C81" s="7" t="s">
        <v>733</v>
      </c>
      <c r="D81" s="7" t="s">
        <v>60</v>
      </c>
      <c r="E81" s="74">
        <v>1.0</v>
      </c>
      <c r="F81" s="46"/>
      <c r="G81" s="47">
        <v>46.67</v>
      </c>
      <c r="H81" s="47">
        <v>0.0</v>
      </c>
      <c r="I81" s="7"/>
      <c r="J81" s="47">
        <v>2.35</v>
      </c>
      <c r="K81" s="8">
        <f t="shared" si="1"/>
        <v>44.32</v>
      </c>
      <c r="L81" s="8"/>
      <c r="M81" s="7"/>
      <c r="N81" s="7"/>
      <c r="O81" s="7"/>
      <c r="P81" s="7"/>
      <c r="Q81" s="7" t="s">
        <v>490</v>
      </c>
      <c r="R81" s="7" t="s">
        <v>734</v>
      </c>
      <c r="S81" s="7"/>
      <c r="T81" s="7" t="s">
        <v>735</v>
      </c>
      <c r="U81" s="7" t="s">
        <v>545</v>
      </c>
      <c r="V81" s="65">
        <v>1620.0</v>
      </c>
      <c r="W81" s="7"/>
      <c r="X81" s="7"/>
    </row>
    <row r="82">
      <c r="A82" s="74">
        <v>1.0</v>
      </c>
      <c r="B82" s="45">
        <v>45852.00041666667</v>
      </c>
      <c r="C82" s="7" t="s">
        <v>736</v>
      </c>
      <c r="D82" s="7" t="s">
        <v>60</v>
      </c>
      <c r="E82" s="74">
        <v>1.0</v>
      </c>
      <c r="F82" s="46"/>
      <c r="G82" s="47">
        <v>51.36</v>
      </c>
      <c r="H82" s="47">
        <v>0.0</v>
      </c>
      <c r="I82" s="7"/>
      <c r="J82" s="47">
        <v>2.56</v>
      </c>
      <c r="K82" s="8">
        <f t="shared" si="1"/>
        <v>48.8</v>
      </c>
      <c r="L82" s="8"/>
      <c r="M82" s="7"/>
      <c r="N82" s="7"/>
      <c r="O82" s="7"/>
      <c r="P82" s="7"/>
      <c r="Q82" s="7" t="s">
        <v>490</v>
      </c>
      <c r="R82" s="7" t="s">
        <v>737</v>
      </c>
      <c r="S82" s="65">
        <v>2.0</v>
      </c>
      <c r="T82" s="7" t="s">
        <v>738</v>
      </c>
      <c r="U82" s="7" t="s">
        <v>51</v>
      </c>
      <c r="V82" s="65">
        <v>1618.0</v>
      </c>
      <c r="W82" s="7"/>
      <c r="X82" s="7"/>
    </row>
    <row r="83">
      <c r="A83" s="74">
        <v>1.0</v>
      </c>
      <c r="B83" s="45">
        <v>45851.980625</v>
      </c>
      <c r="C83" s="7" t="s">
        <v>243</v>
      </c>
      <c r="D83" s="7" t="s">
        <v>60</v>
      </c>
      <c r="E83" s="74">
        <v>1.0</v>
      </c>
      <c r="F83" s="46"/>
      <c r="G83" s="47">
        <v>34.4</v>
      </c>
      <c r="H83" s="47">
        <v>0.0</v>
      </c>
      <c r="I83" s="7"/>
      <c r="J83" s="47">
        <v>1.3</v>
      </c>
      <c r="K83" s="8">
        <f t="shared" si="1"/>
        <v>33.1</v>
      </c>
      <c r="L83" s="8"/>
      <c r="M83" s="7"/>
      <c r="N83" s="7"/>
      <c r="O83" s="7"/>
      <c r="P83" s="7"/>
      <c r="Q83" s="7" t="s">
        <v>490</v>
      </c>
      <c r="R83" s="7" t="s">
        <v>739</v>
      </c>
      <c r="S83" s="7"/>
      <c r="T83" s="7" t="s">
        <v>740</v>
      </c>
      <c r="U83" s="7" t="s">
        <v>493</v>
      </c>
      <c r="V83" s="65">
        <v>1615.0</v>
      </c>
      <c r="W83" s="7"/>
      <c r="X83" s="7"/>
    </row>
    <row r="84">
      <c r="A84" s="74">
        <v>1.0</v>
      </c>
      <c r="B84" s="45">
        <v>45851.88597222222</v>
      </c>
      <c r="C84" s="7" t="s">
        <v>741</v>
      </c>
      <c r="D84" s="7" t="s">
        <v>60</v>
      </c>
      <c r="E84" s="74">
        <v>1.0</v>
      </c>
      <c r="F84" s="46"/>
      <c r="G84" s="47">
        <v>34.4</v>
      </c>
      <c r="H84" s="47">
        <v>0.0</v>
      </c>
      <c r="I84" s="7"/>
      <c r="J84" s="47">
        <v>1.3</v>
      </c>
      <c r="K84" s="8">
        <f t="shared" si="1"/>
        <v>33.1</v>
      </c>
      <c r="L84" s="8"/>
      <c r="M84" s="7"/>
      <c r="N84" s="7"/>
      <c r="O84" s="7"/>
      <c r="P84" s="7"/>
      <c r="Q84" s="7" t="s">
        <v>490</v>
      </c>
      <c r="R84" s="7" t="s">
        <v>742</v>
      </c>
      <c r="S84" s="7"/>
      <c r="T84" s="7" t="s">
        <v>743</v>
      </c>
      <c r="U84" s="7" t="s">
        <v>493</v>
      </c>
      <c r="V84" s="65">
        <v>1608.0</v>
      </c>
      <c r="W84" s="7"/>
      <c r="X84" s="7"/>
    </row>
    <row r="85">
      <c r="A85" s="74">
        <v>1.0</v>
      </c>
      <c r="B85" s="45">
        <v>45851.83048611111</v>
      </c>
      <c r="C85" s="7" t="s">
        <v>744</v>
      </c>
      <c r="D85" s="7" t="s">
        <v>60</v>
      </c>
      <c r="E85" s="74">
        <v>1.0</v>
      </c>
      <c r="F85" s="46"/>
      <c r="G85" s="47">
        <v>34.46</v>
      </c>
      <c r="H85" s="47">
        <v>0.0</v>
      </c>
      <c r="I85" s="7"/>
      <c r="J85" s="47">
        <v>1.3</v>
      </c>
      <c r="K85" s="8">
        <f t="shared" si="1"/>
        <v>33.16</v>
      </c>
      <c r="L85" s="8"/>
      <c r="M85" s="7"/>
      <c r="N85" s="7"/>
      <c r="O85" s="7"/>
      <c r="P85" s="7"/>
      <c r="Q85" s="7" t="s">
        <v>490</v>
      </c>
      <c r="R85" s="7" t="s">
        <v>745</v>
      </c>
      <c r="S85" s="7"/>
      <c r="T85" s="7" t="s">
        <v>746</v>
      </c>
      <c r="U85" s="7" t="s">
        <v>493</v>
      </c>
      <c r="V85" s="65">
        <v>1597.0</v>
      </c>
      <c r="W85" s="7"/>
      <c r="X85" s="7"/>
    </row>
    <row r="86">
      <c r="A86" s="74">
        <v>1.0</v>
      </c>
      <c r="B86" s="45">
        <v>45851.82695601852</v>
      </c>
      <c r="C86" s="7" t="s">
        <v>747</v>
      </c>
      <c r="D86" s="7" t="s">
        <v>60</v>
      </c>
      <c r="E86" s="74">
        <v>1.0</v>
      </c>
      <c r="F86" s="46"/>
      <c r="G86" s="47">
        <v>36.15</v>
      </c>
      <c r="H86" s="47">
        <v>0.0</v>
      </c>
      <c r="I86" s="7"/>
      <c r="J86" s="47">
        <v>1.35</v>
      </c>
      <c r="K86" s="8">
        <f t="shared" si="1"/>
        <v>34.8</v>
      </c>
      <c r="L86" s="8"/>
      <c r="M86" s="7"/>
      <c r="N86" s="7"/>
      <c r="O86" s="7"/>
      <c r="P86" s="7"/>
      <c r="Q86" s="7" t="s">
        <v>490</v>
      </c>
      <c r="R86" s="7" t="s">
        <v>748</v>
      </c>
      <c r="S86" s="7"/>
      <c r="T86" s="7" t="s">
        <v>549</v>
      </c>
      <c r="U86" s="7" t="s">
        <v>493</v>
      </c>
      <c r="V86" s="65">
        <v>1596.0</v>
      </c>
      <c r="W86" s="7"/>
      <c r="X86" s="7"/>
    </row>
    <row r="87">
      <c r="A87" s="74">
        <v>1.0</v>
      </c>
      <c r="B87" s="45">
        <v>45851.810115740744</v>
      </c>
      <c r="C87" s="7" t="s">
        <v>749</v>
      </c>
      <c r="D87" s="7" t="s">
        <v>60</v>
      </c>
      <c r="E87" s="74">
        <v>1.0</v>
      </c>
      <c r="F87" s="46"/>
      <c r="G87" s="47">
        <v>36.53</v>
      </c>
      <c r="H87" s="47">
        <v>0.0</v>
      </c>
      <c r="I87" s="7"/>
      <c r="J87" s="47">
        <v>1.36</v>
      </c>
      <c r="K87" s="8">
        <f t="shared" si="1"/>
        <v>35.17</v>
      </c>
      <c r="L87" s="8"/>
      <c r="M87" s="7"/>
      <c r="N87" s="7"/>
      <c r="O87" s="7"/>
      <c r="P87" s="7"/>
      <c r="Q87" s="7" t="s">
        <v>490</v>
      </c>
      <c r="R87" s="7" t="s">
        <v>750</v>
      </c>
      <c r="S87" s="7"/>
      <c r="T87" s="7" t="s">
        <v>751</v>
      </c>
      <c r="U87" s="7" t="s">
        <v>493</v>
      </c>
      <c r="V87" s="65">
        <v>1585.0</v>
      </c>
      <c r="W87" s="7"/>
      <c r="X87" s="7"/>
    </row>
    <row r="88">
      <c r="A88" s="74">
        <v>1.0</v>
      </c>
      <c r="B88" s="45">
        <v>45850.72689814815</v>
      </c>
      <c r="C88" s="7" t="s">
        <v>130</v>
      </c>
      <c r="D88" s="7" t="s">
        <v>60</v>
      </c>
      <c r="E88" s="74">
        <v>1.0</v>
      </c>
      <c r="F88" s="46"/>
      <c r="G88" s="47">
        <v>49.13</v>
      </c>
      <c r="H88" s="47">
        <v>0.0</v>
      </c>
      <c r="I88" s="7"/>
      <c r="J88" s="47">
        <v>2.46</v>
      </c>
      <c r="K88" s="8">
        <f t="shared" si="1"/>
        <v>46.67</v>
      </c>
      <c r="L88" s="8"/>
      <c r="M88" s="7"/>
      <c r="N88" s="7"/>
      <c r="O88" s="7"/>
      <c r="P88" s="7"/>
      <c r="Q88" s="7" t="s">
        <v>490</v>
      </c>
      <c r="R88" s="7"/>
      <c r="S88" s="7"/>
      <c r="T88" s="7"/>
      <c r="U88" s="7" t="s">
        <v>521</v>
      </c>
      <c r="V88" s="65">
        <v>1577.0</v>
      </c>
      <c r="W88" s="7"/>
      <c r="X88" s="7"/>
    </row>
    <row r="89">
      <c r="A89" s="74">
        <v>1.0</v>
      </c>
      <c r="B89" s="45">
        <v>45850.56444444445</v>
      </c>
      <c r="C89" s="7" t="s">
        <v>752</v>
      </c>
      <c r="D89" s="7" t="s">
        <v>60</v>
      </c>
      <c r="E89" s="74">
        <v>1.0</v>
      </c>
      <c r="F89" s="46"/>
      <c r="G89" s="47">
        <v>47.26</v>
      </c>
      <c r="H89" s="47">
        <v>0.0</v>
      </c>
      <c r="I89" s="7"/>
      <c r="J89" s="47">
        <v>2.38</v>
      </c>
      <c r="K89" s="8">
        <f t="shared" si="1"/>
        <v>44.88</v>
      </c>
      <c r="L89" s="8"/>
      <c r="M89" s="7"/>
      <c r="N89" s="7"/>
      <c r="O89" s="7"/>
      <c r="P89" s="7"/>
      <c r="Q89" s="7" t="s">
        <v>490</v>
      </c>
      <c r="R89" s="7" t="s">
        <v>753</v>
      </c>
      <c r="S89" s="7" t="s">
        <v>754</v>
      </c>
      <c r="T89" s="7" t="s">
        <v>755</v>
      </c>
      <c r="U89" s="7" t="s">
        <v>545</v>
      </c>
      <c r="V89" s="65">
        <v>1576.0</v>
      </c>
      <c r="W89" s="7"/>
      <c r="X89" s="7"/>
    </row>
    <row r="90">
      <c r="A90" s="74">
        <v>1.0</v>
      </c>
      <c r="B90" s="45">
        <v>45850.17177083333</v>
      </c>
      <c r="C90" s="7" t="s">
        <v>756</v>
      </c>
      <c r="D90" s="7" t="s">
        <v>60</v>
      </c>
      <c r="E90" s="74">
        <v>1.0</v>
      </c>
      <c r="F90" s="46"/>
      <c r="G90" s="47">
        <v>34.5</v>
      </c>
      <c r="H90" s="47">
        <v>0.0</v>
      </c>
      <c r="I90" s="7"/>
      <c r="J90" s="47">
        <v>1.3</v>
      </c>
      <c r="K90" s="8">
        <f t="shared" si="1"/>
        <v>33.2</v>
      </c>
      <c r="L90" s="8"/>
      <c r="M90" s="7"/>
      <c r="N90" s="7"/>
      <c r="O90" s="7"/>
      <c r="P90" s="7"/>
      <c r="Q90" s="7" t="s">
        <v>490</v>
      </c>
      <c r="R90" s="7" t="s">
        <v>757</v>
      </c>
      <c r="S90" s="7"/>
      <c r="T90" s="7" t="s">
        <v>758</v>
      </c>
      <c r="U90" s="7" t="s">
        <v>493</v>
      </c>
      <c r="V90" s="65">
        <v>1571.0</v>
      </c>
      <c r="W90" s="7"/>
      <c r="X90" s="7"/>
    </row>
    <row r="91">
      <c r="A91" s="74">
        <v>1.0</v>
      </c>
      <c r="B91" s="45">
        <v>45849.900625</v>
      </c>
      <c r="C91" s="7" t="s">
        <v>759</v>
      </c>
      <c r="D91" s="7" t="s">
        <v>60</v>
      </c>
      <c r="E91" s="74">
        <v>1.0</v>
      </c>
      <c r="F91" s="46"/>
      <c r="G91" s="47">
        <v>34.12</v>
      </c>
      <c r="H91" s="47">
        <v>0.0</v>
      </c>
      <c r="I91" s="7"/>
      <c r="J91" s="47">
        <v>1.29</v>
      </c>
      <c r="K91" s="8">
        <f t="shared" si="1"/>
        <v>32.83</v>
      </c>
      <c r="L91" s="8"/>
      <c r="M91" s="7"/>
      <c r="N91" s="7"/>
      <c r="O91" s="7"/>
      <c r="P91" s="7"/>
      <c r="Q91" s="7" t="s">
        <v>490</v>
      </c>
      <c r="R91" s="7" t="s">
        <v>760</v>
      </c>
      <c r="S91" s="7" t="s">
        <v>761</v>
      </c>
      <c r="T91" s="7" t="s">
        <v>762</v>
      </c>
      <c r="U91" s="7" t="s">
        <v>493</v>
      </c>
      <c r="V91" s="65">
        <v>1567.0</v>
      </c>
      <c r="W91" s="7"/>
      <c r="X91" s="7"/>
    </row>
    <row r="92">
      <c r="A92" s="74">
        <v>1.0</v>
      </c>
      <c r="B92" s="45">
        <v>45848.766284722224</v>
      </c>
      <c r="C92" s="7" t="s">
        <v>460</v>
      </c>
      <c r="D92" s="7" t="s">
        <v>60</v>
      </c>
      <c r="E92" s="74">
        <v>1.0</v>
      </c>
      <c r="F92" s="46"/>
      <c r="G92" s="47">
        <v>49.13</v>
      </c>
      <c r="H92" s="47">
        <v>0.0</v>
      </c>
      <c r="I92" s="7"/>
      <c r="J92" s="47">
        <v>2.46</v>
      </c>
      <c r="K92" s="8">
        <f t="shared" si="1"/>
        <v>46.67</v>
      </c>
      <c r="L92" s="8"/>
      <c r="M92" s="7"/>
      <c r="N92" s="7"/>
      <c r="O92" s="7"/>
      <c r="P92" s="7"/>
      <c r="Q92" s="7" t="s">
        <v>490</v>
      </c>
      <c r="R92" s="7" t="s">
        <v>763</v>
      </c>
      <c r="S92" s="7"/>
      <c r="T92" s="7" t="s">
        <v>764</v>
      </c>
      <c r="U92" s="7" t="s">
        <v>542</v>
      </c>
      <c r="V92" s="65">
        <v>1552.0</v>
      </c>
      <c r="W92" s="7"/>
      <c r="X92" s="7"/>
    </row>
    <row r="93">
      <c r="A93" s="74">
        <v>1.0</v>
      </c>
      <c r="B93" s="45">
        <v>45848.54136574074</v>
      </c>
      <c r="C93" s="7" t="s">
        <v>765</v>
      </c>
      <c r="D93" s="7" t="s">
        <v>60</v>
      </c>
      <c r="E93" s="74">
        <v>1.0</v>
      </c>
      <c r="F93" s="46"/>
      <c r="G93" s="47">
        <v>51.37</v>
      </c>
      <c r="H93" s="47">
        <v>0.0</v>
      </c>
      <c r="I93" s="7"/>
      <c r="J93" s="47">
        <v>2.56</v>
      </c>
      <c r="K93" s="8">
        <f t="shared" si="1"/>
        <v>48.81</v>
      </c>
      <c r="L93" s="8"/>
      <c r="M93" s="7"/>
      <c r="N93" s="7"/>
      <c r="O93" s="7"/>
      <c r="P93" s="7"/>
      <c r="Q93" s="7" t="s">
        <v>490</v>
      </c>
      <c r="R93" s="7" t="s">
        <v>766</v>
      </c>
      <c r="S93" s="7"/>
      <c r="T93" s="7" t="s">
        <v>767</v>
      </c>
      <c r="U93" s="7" t="s">
        <v>521</v>
      </c>
      <c r="V93" s="65">
        <v>1548.0</v>
      </c>
      <c r="W93" s="7"/>
      <c r="X93" s="7"/>
    </row>
    <row r="94">
      <c r="A94" s="74">
        <v>1.0</v>
      </c>
      <c r="B94" s="45">
        <v>45848.430925925924</v>
      </c>
      <c r="C94" s="7" t="s">
        <v>150</v>
      </c>
      <c r="D94" s="7" t="s">
        <v>60</v>
      </c>
      <c r="E94" s="74">
        <v>1.0</v>
      </c>
      <c r="F94" s="46"/>
      <c r="G94" s="47">
        <v>34.5</v>
      </c>
      <c r="H94" s="47">
        <v>0.0</v>
      </c>
      <c r="I94" s="7"/>
      <c r="J94" s="47">
        <v>1.3</v>
      </c>
      <c r="K94" s="8">
        <f t="shared" si="1"/>
        <v>33.2</v>
      </c>
      <c r="L94" s="8"/>
      <c r="M94" s="7"/>
      <c r="N94" s="7"/>
      <c r="O94" s="7"/>
      <c r="P94" s="7"/>
      <c r="Q94" s="7" t="s">
        <v>490</v>
      </c>
      <c r="R94" s="7" t="s">
        <v>768</v>
      </c>
      <c r="S94" s="7"/>
      <c r="T94" s="7" t="s">
        <v>769</v>
      </c>
      <c r="U94" s="7" t="s">
        <v>493</v>
      </c>
      <c r="V94" s="65">
        <v>1547.0</v>
      </c>
      <c r="W94" s="7"/>
      <c r="X94" s="7"/>
    </row>
    <row r="95">
      <c r="A95" s="74">
        <v>1.0</v>
      </c>
      <c r="B95" s="45">
        <v>45848.39188657407</v>
      </c>
      <c r="C95" s="7" t="s">
        <v>221</v>
      </c>
      <c r="D95" s="7" t="s">
        <v>60</v>
      </c>
      <c r="E95" s="74">
        <v>1.0</v>
      </c>
      <c r="F95" s="46"/>
      <c r="G95" s="47">
        <v>47.26</v>
      </c>
      <c r="H95" s="47">
        <v>0.0</v>
      </c>
      <c r="I95" s="7"/>
      <c r="J95" s="47">
        <v>2.38</v>
      </c>
      <c r="K95" s="8">
        <f t="shared" si="1"/>
        <v>44.88</v>
      </c>
      <c r="L95" s="8"/>
      <c r="M95" s="7"/>
      <c r="N95" s="7"/>
      <c r="O95" s="7"/>
      <c r="P95" s="7"/>
      <c r="Q95" s="7" t="s">
        <v>490</v>
      </c>
      <c r="R95" s="7" t="s">
        <v>770</v>
      </c>
      <c r="S95" s="7"/>
      <c r="T95" s="7" t="s">
        <v>771</v>
      </c>
      <c r="U95" s="7" t="s">
        <v>545</v>
      </c>
      <c r="V95" s="65">
        <v>1546.0</v>
      </c>
      <c r="W95" s="7"/>
      <c r="X95" s="7"/>
    </row>
    <row r="96">
      <c r="A96" s="74">
        <v>1.0</v>
      </c>
      <c r="B96" s="45">
        <v>45848.38527777778</v>
      </c>
      <c r="C96" s="7" t="s">
        <v>221</v>
      </c>
      <c r="D96" s="7" t="s">
        <v>60</v>
      </c>
      <c r="E96" s="74">
        <v>1.0</v>
      </c>
      <c r="F96" s="46"/>
      <c r="G96" s="47">
        <v>47.26</v>
      </c>
      <c r="H96" s="47">
        <v>0.0</v>
      </c>
      <c r="I96" s="7"/>
      <c r="J96" s="47">
        <v>2.38</v>
      </c>
      <c r="K96" s="8">
        <f t="shared" si="1"/>
        <v>44.88</v>
      </c>
      <c r="L96" s="8"/>
      <c r="M96" s="7"/>
      <c r="N96" s="7"/>
      <c r="O96" s="7"/>
      <c r="P96" s="7"/>
      <c r="Q96" s="7" t="s">
        <v>490</v>
      </c>
      <c r="R96" s="7" t="s">
        <v>770</v>
      </c>
      <c r="S96" s="7"/>
      <c r="T96" s="7" t="s">
        <v>771</v>
      </c>
      <c r="U96" s="7" t="s">
        <v>545</v>
      </c>
      <c r="V96" s="65">
        <v>1545.0</v>
      </c>
      <c r="W96" s="7"/>
      <c r="X96" s="7"/>
    </row>
    <row r="97">
      <c r="A97" s="74">
        <v>1.0</v>
      </c>
      <c r="B97" s="45">
        <v>45848.13239583333</v>
      </c>
      <c r="C97" s="7" t="s">
        <v>378</v>
      </c>
      <c r="D97" s="7" t="s">
        <v>60</v>
      </c>
      <c r="E97" s="74">
        <v>1.0</v>
      </c>
      <c r="F97" s="46"/>
      <c r="G97" s="47">
        <v>34.5</v>
      </c>
      <c r="H97" s="47">
        <v>0.0</v>
      </c>
      <c r="I97" s="7"/>
      <c r="J97" s="47">
        <v>1.3</v>
      </c>
      <c r="K97" s="8">
        <f t="shared" si="1"/>
        <v>33.2</v>
      </c>
      <c r="L97" s="8"/>
      <c r="M97" s="7"/>
      <c r="N97" s="7"/>
      <c r="O97" s="7"/>
      <c r="P97" s="7"/>
      <c r="Q97" s="7" t="s">
        <v>490</v>
      </c>
      <c r="R97" s="7" t="s">
        <v>772</v>
      </c>
      <c r="S97" s="7"/>
      <c r="T97" s="7" t="s">
        <v>773</v>
      </c>
      <c r="U97" s="7" t="s">
        <v>493</v>
      </c>
      <c r="V97" s="65">
        <v>1544.0</v>
      </c>
      <c r="W97" s="7"/>
      <c r="X97" s="7"/>
    </row>
    <row r="98">
      <c r="A98" s="74">
        <v>1.0</v>
      </c>
      <c r="B98" s="45">
        <v>45848.07111111111</v>
      </c>
      <c r="C98" s="7" t="s">
        <v>304</v>
      </c>
      <c r="D98" s="7" t="s">
        <v>60</v>
      </c>
      <c r="E98" s="74">
        <v>1.0</v>
      </c>
      <c r="F98" s="46"/>
      <c r="G98" s="47">
        <v>34.5</v>
      </c>
      <c r="H98" s="47">
        <v>0.0</v>
      </c>
      <c r="I98" s="7"/>
      <c r="J98" s="47">
        <v>1.3</v>
      </c>
      <c r="K98" s="8">
        <f t="shared" si="1"/>
        <v>33.2</v>
      </c>
      <c r="L98" s="8"/>
      <c r="M98" s="7"/>
      <c r="N98" s="7"/>
      <c r="O98" s="7"/>
      <c r="P98" s="7"/>
      <c r="Q98" s="7" t="s">
        <v>490</v>
      </c>
      <c r="R98" s="7" t="s">
        <v>774</v>
      </c>
      <c r="S98" s="7"/>
      <c r="T98" s="7" t="s">
        <v>775</v>
      </c>
      <c r="U98" s="7" t="s">
        <v>493</v>
      </c>
      <c r="V98" s="65">
        <v>1543.0</v>
      </c>
      <c r="W98" s="7"/>
      <c r="X98" s="7"/>
    </row>
    <row r="99">
      <c r="A99" s="74">
        <v>1.0</v>
      </c>
      <c r="B99" s="45">
        <v>45848.039039351854</v>
      </c>
      <c r="C99" s="7" t="s">
        <v>161</v>
      </c>
      <c r="D99" s="7" t="s">
        <v>60</v>
      </c>
      <c r="E99" s="74">
        <v>1.0</v>
      </c>
      <c r="F99" s="46"/>
      <c r="G99" s="47">
        <v>34.24</v>
      </c>
      <c r="H99" s="47">
        <v>0.0</v>
      </c>
      <c r="I99" s="7"/>
      <c r="J99" s="47">
        <v>1.29</v>
      </c>
      <c r="K99" s="8">
        <f t="shared" si="1"/>
        <v>32.95</v>
      </c>
      <c r="L99" s="8"/>
      <c r="M99" s="7"/>
      <c r="N99" s="7"/>
      <c r="O99" s="7"/>
      <c r="P99" s="7"/>
      <c r="Q99" s="7" t="s">
        <v>490</v>
      </c>
      <c r="R99" s="7" t="s">
        <v>776</v>
      </c>
      <c r="S99" s="7"/>
      <c r="T99" s="7" t="s">
        <v>777</v>
      </c>
      <c r="U99" s="7" t="s">
        <v>493</v>
      </c>
      <c r="V99" s="65">
        <v>1542.0</v>
      </c>
      <c r="W99" s="7"/>
      <c r="X99" s="7"/>
    </row>
    <row r="100">
      <c r="A100" s="74">
        <v>1.0</v>
      </c>
      <c r="B100" s="45">
        <v>45847.80164351852</v>
      </c>
      <c r="C100" s="7" t="s">
        <v>190</v>
      </c>
      <c r="D100" s="7" t="s">
        <v>60</v>
      </c>
      <c r="E100" s="74">
        <v>1.0</v>
      </c>
      <c r="F100" s="46"/>
      <c r="G100" s="47">
        <v>51.36</v>
      </c>
      <c r="H100" s="47">
        <v>0.0</v>
      </c>
      <c r="I100" s="7"/>
      <c r="J100" s="47">
        <v>2.56</v>
      </c>
      <c r="K100" s="8">
        <f t="shared" si="1"/>
        <v>48.8</v>
      </c>
      <c r="L100" s="8"/>
      <c r="M100" s="7"/>
      <c r="N100" s="7"/>
      <c r="O100" s="7"/>
      <c r="P100" s="7"/>
      <c r="Q100" s="7" t="s">
        <v>490</v>
      </c>
      <c r="R100" s="7" t="s">
        <v>778</v>
      </c>
      <c r="S100" s="7"/>
      <c r="T100" s="7" t="s">
        <v>779</v>
      </c>
      <c r="U100" s="7" t="s">
        <v>51</v>
      </c>
      <c r="V100" s="65">
        <v>1534.0</v>
      </c>
      <c r="W100" s="7"/>
      <c r="X100" s="7"/>
    </row>
    <row r="101">
      <c r="A101" s="74">
        <v>1.0</v>
      </c>
      <c r="B101" s="45">
        <v>45847.78811342592</v>
      </c>
      <c r="C101" s="7" t="s">
        <v>780</v>
      </c>
      <c r="D101" s="7" t="s">
        <v>60</v>
      </c>
      <c r="E101" s="74">
        <v>1.0</v>
      </c>
      <c r="F101" s="46"/>
      <c r="G101" s="47">
        <v>49.13</v>
      </c>
      <c r="H101" s="47">
        <v>0.0</v>
      </c>
      <c r="I101" s="7"/>
      <c r="J101" s="47">
        <v>2.46</v>
      </c>
      <c r="K101" s="8">
        <f t="shared" si="1"/>
        <v>46.67</v>
      </c>
      <c r="L101" s="8"/>
      <c r="M101" s="7"/>
      <c r="N101" s="7"/>
      <c r="O101" s="7"/>
      <c r="P101" s="7"/>
      <c r="Q101" s="7" t="s">
        <v>490</v>
      </c>
      <c r="R101" s="7" t="s">
        <v>781</v>
      </c>
      <c r="S101" s="7"/>
      <c r="T101" s="7" t="s">
        <v>782</v>
      </c>
      <c r="U101" s="7" t="s">
        <v>525</v>
      </c>
      <c r="V101" s="65">
        <v>1533.0</v>
      </c>
      <c r="W101" s="7"/>
      <c r="X101" s="7"/>
    </row>
    <row r="102">
      <c r="A102" s="74">
        <v>1.0</v>
      </c>
      <c r="B102" s="45">
        <v>45847.7346412037</v>
      </c>
      <c r="C102" s="7" t="s">
        <v>783</v>
      </c>
      <c r="D102" s="7" t="s">
        <v>60</v>
      </c>
      <c r="E102" s="74">
        <v>1.0</v>
      </c>
      <c r="F102" s="46"/>
      <c r="G102" s="47">
        <v>34.24</v>
      </c>
      <c r="H102" s="47">
        <v>0.0</v>
      </c>
      <c r="I102" s="7"/>
      <c r="J102" s="47">
        <v>1.29</v>
      </c>
      <c r="K102" s="8">
        <f t="shared" si="1"/>
        <v>32.95</v>
      </c>
      <c r="L102" s="8"/>
      <c r="M102" s="7"/>
      <c r="N102" s="7"/>
      <c r="O102" s="7"/>
      <c r="P102" s="7"/>
      <c r="Q102" s="7" t="s">
        <v>490</v>
      </c>
      <c r="R102" s="7" t="s">
        <v>784</v>
      </c>
      <c r="S102" s="7"/>
      <c r="T102" s="7" t="s">
        <v>785</v>
      </c>
      <c r="U102" s="7" t="s">
        <v>493</v>
      </c>
      <c r="V102" s="65">
        <v>1531.0</v>
      </c>
      <c r="W102" s="7"/>
      <c r="X102" s="7"/>
    </row>
    <row r="103">
      <c r="A103" s="74">
        <v>1.0</v>
      </c>
      <c r="B103" s="45">
        <v>45847.69462962963</v>
      </c>
      <c r="C103" s="7" t="s">
        <v>786</v>
      </c>
      <c r="D103" s="7" t="s">
        <v>60</v>
      </c>
      <c r="E103" s="74">
        <v>1.0</v>
      </c>
      <c r="F103" s="46"/>
      <c r="G103" s="47">
        <v>49.71</v>
      </c>
      <c r="H103" s="47">
        <v>0.0</v>
      </c>
      <c r="I103" s="7"/>
      <c r="J103" s="47">
        <v>2.49</v>
      </c>
      <c r="K103" s="8">
        <f t="shared" si="1"/>
        <v>47.22</v>
      </c>
      <c r="L103" s="8"/>
      <c r="M103" s="7"/>
      <c r="N103" s="7"/>
      <c r="O103" s="7"/>
      <c r="P103" s="7"/>
      <c r="Q103" s="7" t="s">
        <v>490</v>
      </c>
      <c r="R103" s="7" t="s">
        <v>787</v>
      </c>
      <c r="S103" s="7" t="s">
        <v>788</v>
      </c>
      <c r="T103" s="7" t="s">
        <v>789</v>
      </c>
      <c r="U103" s="7" t="s">
        <v>617</v>
      </c>
      <c r="V103" s="65">
        <v>1528.0</v>
      </c>
      <c r="W103" s="7"/>
      <c r="X103" s="7"/>
    </row>
    <row r="104">
      <c r="A104" s="74">
        <v>1.0</v>
      </c>
      <c r="B104" s="45">
        <v>45847.691030092596</v>
      </c>
      <c r="C104" s="7" t="s">
        <v>790</v>
      </c>
      <c r="D104" s="7" t="s">
        <v>60</v>
      </c>
      <c r="E104" s="74">
        <v>1.0</v>
      </c>
      <c r="F104" s="46"/>
      <c r="G104" s="47">
        <v>38.53</v>
      </c>
      <c r="H104" s="47">
        <v>0.0</v>
      </c>
      <c r="I104" s="7"/>
      <c r="J104" s="47">
        <v>1.42</v>
      </c>
      <c r="K104" s="8">
        <f t="shared" si="1"/>
        <v>37.11</v>
      </c>
      <c r="L104" s="8"/>
      <c r="M104" s="7"/>
      <c r="N104" s="7"/>
      <c r="O104" s="7"/>
      <c r="P104" s="7"/>
      <c r="Q104" s="7" t="s">
        <v>490</v>
      </c>
      <c r="R104" s="65">
        <v>100.0</v>
      </c>
      <c r="S104" s="7" t="s">
        <v>791</v>
      </c>
      <c r="T104" s="7" t="s">
        <v>792</v>
      </c>
      <c r="U104" s="7" t="s">
        <v>493</v>
      </c>
      <c r="V104" s="65">
        <v>1527.0</v>
      </c>
      <c r="W104" s="7"/>
      <c r="X104" s="7"/>
    </row>
    <row r="105">
      <c r="A105" s="74">
        <v>1.0</v>
      </c>
      <c r="B105" s="45">
        <v>45847.62850694444</v>
      </c>
      <c r="C105" s="7" t="s">
        <v>254</v>
      </c>
      <c r="D105" s="7" t="s">
        <v>60</v>
      </c>
      <c r="E105" s="74">
        <v>1.0</v>
      </c>
      <c r="F105" s="46"/>
      <c r="G105" s="47">
        <v>34.24</v>
      </c>
      <c r="H105" s="47">
        <v>0.0</v>
      </c>
      <c r="I105" s="7"/>
      <c r="J105" s="47">
        <v>1.29</v>
      </c>
      <c r="K105" s="8">
        <f t="shared" si="1"/>
        <v>32.95</v>
      </c>
      <c r="L105" s="8"/>
      <c r="M105" s="7"/>
      <c r="N105" s="7"/>
      <c r="O105" s="7"/>
      <c r="P105" s="7"/>
      <c r="Q105" s="7" t="s">
        <v>490</v>
      </c>
      <c r="R105" s="7"/>
      <c r="S105" s="7"/>
      <c r="T105" s="7"/>
      <c r="U105" s="7" t="s">
        <v>493</v>
      </c>
      <c r="V105" s="65">
        <v>1519.0</v>
      </c>
      <c r="W105" s="7"/>
      <c r="X105" s="7"/>
    </row>
    <row r="106">
      <c r="A106" s="74">
        <v>1.0</v>
      </c>
      <c r="B106" s="45">
        <v>45847.53936342592</v>
      </c>
      <c r="C106" s="7" t="s">
        <v>375</v>
      </c>
      <c r="D106" s="7" t="s">
        <v>60</v>
      </c>
      <c r="E106" s="74">
        <v>1.0</v>
      </c>
      <c r="F106" s="46"/>
      <c r="G106" s="47">
        <v>34.5</v>
      </c>
      <c r="H106" s="47">
        <v>0.0</v>
      </c>
      <c r="I106" s="7"/>
      <c r="J106" s="47">
        <v>1.3</v>
      </c>
      <c r="K106" s="8">
        <f t="shared" si="1"/>
        <v>33.2</v>
      </c>
      <c r="L106" s="8"/>
      <c r="M106" s="7"/>
      <c r="N106" s="7"/>
      <c r="O106" s="7"/>
      <c r="P106" s="7"/>
      <c r="Q106" s="7" t="s">
        <v>490</v>
      </c>
      <c r="R106" s="7" t="s">
        <v>793</v>
      </c>
      <c r="S106" s="7"/>
      <c r="T106" s="7" t="s">
        <v>794</v>
      </c>
      <c r="U106" s="7" t="s">
        <v>493</v>
      </c>
      <c r="V106" s="65">
        <v>1515.0</v>
      </c>
      <c r="W106" s="7"/>
      <c r="X106" s="7"/>
    </row>
    <row r="107">
      <c r="A107" s="74">
        <v>1.0</v>
      </c>
      <c r="B107" s="45">
        <v>45847.5147337963</v>
      </c>
      <c r="C107" s="7" t="s">
        <v>233</v>
      </c>
      <c r="D107" s="7" t="s">
        <v>60</v>
      </c>
      <c r="E107" s="74">
        <v>1.0</v>
      </c>
      <c r="F107" s="46"/>
      <c r="G107" s="47">
        <v>34.32</v>
      </c>
      <c r="H107" s="47">
        <v>0.0</v>
      </c>
      <c r="I107" s="7"/>
      <c r="J107" s="47">
        <v>1.3</v>
      </c>
      <c r="K107" s="8">
        <f t="shared" si="1"/>
        <v>33.02</v>
      </c>
      <c r="L107" s="8"/>
      <c r="M107" s="7"/>
      <c r="N107" s="7"/>
      <c r="O107" s="7"/>
      <c r="P107" s="7"/>
      <c r="Q107" s="7" t="s">
        <v>490</v>
      </c>
      <c r="R107" s="7" t="s">
        <v>795</v>
      </c>
      <c r="S107" s="7"/>
      <c r="T107" s="7" t="s">
        <v>796</v>
      </c>
      <c r="U107" s="7" t="s">
        <v>493</v>
      </c>
      <c r="V107" s="65">
        <v>1514.0</v>
      </c>
      <c r="W107" s="7"/>
      <c r="X107" s="7"/>
    </row>
    <row r="108">
      <c r="A108" s="74">
        <v>1.0</v>
      </c>
      <c r="B108" s="45">
        <v>45847.342152777775</v>
      </c>
      <c r="C108" s="7" t="s">
        <v>356</v>
      </c>
      <c r="D108" s="7" t="s">
        <v>60</v>
      </c>
      <c r="E108" s="74">
        <v>1.0</v>
      </c>
      <c r="F108" s="46"/>
      <c r="G108" s="47">
        <v>49.13</v>
      </c>
      <c r="H108" s="47">
        <v>0.0</v>
      </c>
      <c r="I108" s="7"/>
      <c r="J108" s="47">
        <v>2.46</v>
      </c>
      <c r="K108" s="8">
        <f t="shared" si="1"/>
        <v>46.67</v>
      </c>
      <c r="L108" s="8"/>
      <c r="M108" s="7"/>
      <c r="N108" s="7"/>
      <c r="O108" s="7"/>
      <c r="P108" s="7"/>
      <c r="Q108" s="7" t="s">
        <v>490</v>
      </c>
      <c r="R108" s="7" t="s">
        <v>797</v>
      </c>
      <c r="S108" s="7"/>
      <c r="T108" s="7" t="s">
        <v>798</v>
      </c>
      <c r="U108" s="7" t="s">
        <v>525</v>
      </c>
      <c r="V108" s="65">
        <v>1505.0</v>
      </c>
      <c r="W108" s="7"/>
      <c r="X108" s="7"/>
    </row>
    <row r="109">
      <c r="A109" s="74">
        <v>1.0</v>
      </c>
      <c r="B109" s="45">
        <v>45847.10392361111</v>
      </c>
      <c r="C109" s="7" t="s">
        <v>799</v>
      </c>
      <c r="D109" s="7" t="s">
        <v>60</v>
      </c>
      <c r="E109" s="74">
        <v>1.0</v>
      </c>
      <c r="F109" s="46"/>
      <c r="G109" s="47">
        <v>46.67</v>
      </c>
      <c r="H109" s="47">
        <v>0.0</v>
      </c>
      <c r="I109" s="7"/>
      <c r="J109" s="47">
        <v>2.35</v>
      </c>
      <c r="K109" s="8">
        <f t="shared" si="1"/>
        <v>44.32</v>
      </c>
      <c r="L109" s="8"/>
      <c r="M109" s="7"/>
      <c r="N109" s="7"/>
      <c r="O109" s="7"/>
      <c r="P109" s="7"/>
      <c r="Q109" s="7" t="s">
        <v>490</v>
      </c>
      <c r="R109" s="7" t="s">
        <v>800</v>
      </c>
      <c r="S109" s="7"/>
      <c r="T109" s="7" t="s">
        <v>620</v>
      </c>
      <c r="U109" s="7" t="s">
        <v>545</v>
      </c>
      <c r="V109" s="65">
        <v>1489.0</v>
      </c>
      <c r="W109" s="7"/>
      <c r="X109" s="7"/>
    </row>
    <row r="110">
      <c r="A110" s="74">
        <v>1.0</v>
      </c>
      <c r="B110" s="45">
        <v>45847.04880787037</v>
      </c>
      <c r="C110" s="7" t="s">
        <v>333</v>
      </c>
      <c r="D110" s="7" t="s">
        <v>60</v>
      </c>
      <c r="E110" s="74">
        <v>1.0</v>
      </c>
      <c r="F110" s="46"/>
      <c r="G110" s="47">
        <v>34.32</v>
      </c>
      <c r="H110" s="47">
        <v>0.0</v>
      </c>
      <c r="I110" s="7"/>
      <c r="J110" s="47">
        <v>1.3</v>
      </c>
      <c r="K110" s="8">
        <f t="shared" si="1"/>
        <v>33.02</v>
      </c>
      <c r="L110" s="8"/>
      <c r="M110" s="7"/>
      <c r="N110" s="7"/>
      <c r="O110" s="7"/>
      <c r="P110" s="7"/>
      <c r="Q110" s="7" t="s">
        <v>490</v>
      </c>
      <c r="R110" s="7" t="s">
        <v>801</v>
      </c>
      <c r="S110" s="7"/>
      <c r="T110" s="7" t="s">
        <v>802</v>
      </c>
      <c r="U110" s="7" t="s">
        <v>493</v>
      </c>
      <c r="V110" s="65">
        <v>1476.0</v>
      </c>
      <c r="W110" s="7"/>
      <c r="X110" s="7"/>
    </row>
    <row r="111">
      <c r="A111" s="74">
        <v>1.0</v>
      </c>
      <c r="B111" s="45">
        <v>45847.042280092595</v>
      </c>
      <c r="C111" s="7" t="s">
        <v>448</v>
      </c>
      <c r="D111" s="7" t="s">
        <v>60</v>
      </c>
      <c r="E111" s="74">
        <v>1.0</v>
      </c>
      <c r="F111" s="46"/>
      <c r="G111" s="47">
        <v>34.12</v>
      </c>
      <c r="H111" s="47">
        <v>0.0</v>
      </c>
      <c r="I111" s="7"/>
      <c r="J111" s="47">
        <v>1.29</v>
      </c>
      <c r="K111" s="8">
        <f t="shared" si="1"/>
        <v>32.83</v>
      </c>
      <c r="L111" s="8"/>
      <c r="M111" s="7"/>
      <c r="N111" s="7"/>
      <c r="O111" s="7"/>
      <c r="P111" s="7"/>
      <c r="Q111" s="7" t="s">
        <v>490</v>
      </c>
      <c r="R111" s="7" t="s">
        <v>803</v>
      </c>
      <c r="S111" s="7"/>
      <c r="T111" s="7" t="s">
        <v>732</v>
      </c>
      <c r="U111" s="7" t="s">
        <v>493</v>
      </c>
      <c r="V111" s="65">
        <v>1474.0</v>
      </c>
      <c r="W111" s="7"/>
      <c r="X111" s="7"/>
    </row>
    <row r="112">
      <c r="A112" s="74">
        <v>1.0</v>
      </c>
      <c r="B112" s="45">
        <v>45846.855208333334</v>
      </c>
      <c r="C112" s="7" t="s">
        <v>804</v>
      </c>
      <c r="D112" s="7" t="s">
        <v>60</v>
      </c>
      <c r="E112" s="74">
        <v>1.0</v>
      </c>
      <c r="F112" s="46"/>
      <c r="G112" s="47">
        <v>34.32</v>
      </c>
      <c r="H112" s="47">
        <v>0.0</v>
      </c>
      <c r="I112" s="7"/>
      <c r="J112" s="47">
        <v>1.3</v>
      </c>
      <c r="K112" s="8">
        <f t="shared" si="1"/>
        <v>33.02</v>
      </c>
      <c r="L112" s="8"/>
      <c r="M112" s="7"/>
      <c r="N112" s="7"/>
      <c r="O112" s="7"/>
      <c r="P112" s="7"/>
      <c r="Q112" s="7" t="s">
        <v>490</v>
      </c>
      <c r="R112" s="7" t="s">
        <v>805</v>
      </c>
      <c r="S112" s="7"/>
      <c r="T112" s="7" t="s">
        <v>806</v>
      </c>
      <c r="U112" s="7" t="s">
        <v>493</v>
      </c>
      <c r="V112" s="65">
        <v>1439.0</v>
      </c>
      <c r="W112" s="7"/>
      <c r="X112" s="7"/>
    </row>
    <row r="113">
      <c r="A113" s="74">
        <v>1.0</v>
      </c>
      <c r="B113" s="45">
        <v>45846.73883101852</v>
      </c>
      <c r="C113" s="7" t="s">
        <v>807</v>
      </c>
      <c r="D113" s="7" t="s">
        <v>60</v>
      </c>
      <c r="E113" s="74">
        <v>1.0</v>
      </c>
      <c r="F113" s="46"/>
      <c r="G113" s="47">
        <v>46.67</v>
      </c>
      <c r="H113" s="47">
        <v>0.0</v>
      </c>
      <c r="I113" s="7"/>
      <c r="J113" s="47">
        <v>2.35</v>
      </c>
      <c r="K113" s="8">
        <f t="shared" si="1"/>
        <v>44.32</v>
      </c>
      <c r="L113" s="8"/>
      <c r="M113" s="7"/>
      <c r="N113" s="7"/>
      <c r="O113" s="7"/>
      <c r="P113" s="7"/>
      <c r="Q113" s="7" t="s">
        <v>490</v>
      </c>
      <c r="R113" s="7" t="s">
        <v>808</v>
      </c>
      <c r="S113" s="7"/>
      <c r="T113" s="7" t="s">
        <v>809</v>
      </c>
      <c r="U113" s="7" t="s">
        <v>545</v>
      </c>
      <c r="V113" s="65">
        <v>1437.0</v>
      </c>
      <c r="W113" s="7"/>
      <c r="X113" s="7"/>
    </row>
    <row r="114">
      <c r="A114" s="74">
        <v>1.0</v>
      </c>
      <c r="B114" s="45">
        <v>45846.66710648148</v>
      </c>
      <c r="C114" s="7" t="s">
        <v>107</v>
      </c>
      <c r="D114" s="7" t="s">
        <v>60</v>
      </c>
      <c r="E114" s="74">
        <v>1.0</v>
      </c>
      <c r="F114" s="46"/>
      <c r="G114" s="47">
        <v>34.32</v>
      </c>
      <c r="H114" s="47">
        <v>0.0</v>
      </c>
      <c r="I114" s="7"/>
      <c r="J114" s="47">
        <v>1.3</v>
      </c>
      <c r="K114" s="8">
        <f t="shared" si="1"/>
        <v>33.02</v>
      </c>
      <c r="L114" s="8"/>
      <c r="M114" s="7"/>
      <c r="N114" s="7"/>
      <c r="O114" s="7"/>
      <c r="P114" s="7"/>
      <c r="Q114" s="7" t="s">
        <v>490</v>
      </c>
      <c r="R114" s="7" t="s">
        <v>810</v>
      </c>
      <c r="S114" s="7"/>
      <c r="T114" s="7" t="s">
        <v>811</v>
      </c>
      <c r="U114" s="7" t="s">
        <v>493</v>
      </c>
      <c r="V114" s="65">
        <v>1436.0</v>
      </c>
      <c r="W114" s="7"/>
      <c r="X114" s="7"/>
    </row>
    <row r="115">
      <c r="A115" s="74">
        <v>1.0</v>
      </c>
      <c r="B115" s="45">
        <v>45846.65996527778</v>
      </c>
      <c r="C115" s="7" t="s">
        <v>812</v>
      </c>
      <c r="D115" s="7" t="s">
        <v>60</v>
      </c>
      <c r="E115" s="74">
        <v>1.0</v>
      </c>
      <c r="F115" s="46"/>
      <c r="G115" s="47">
        <v>50.29</v>
      </c>
      <c r="H115" s="47">
        <v>0.0</v>
      </c>
      <c r="I115" s="7"/>
      <c r="J115" s="47">
        <v>2.51</v>
      </c>
      <c r="K115" s="8">
        <f t="shared" si="1"/>
        <v>47.78</v>
      </c>
      <c r="L115" s="8"/>
      <c r="M115" s="7"/>
      <c r="N115" s="7"/>
      <c r="O115" s="7"/>
      <c r="P115" s="7"/>
      <c r="Q115" s="7" t="s">
        <v>490</v>
      </c>
      <c r="R115" s="7" t="s">
        <v>813</v>
      </c>
      <c r="S115" s="7" t="s">
        <v>814</v>
      </c>
      <c r="T115" s="7" t="s">
        <v>815</v>
      </c>
      <c r="U115" s="7" t="s">
        <v>555</v>
      </c>
      <c r="V115" s="65">
        <v>1435.0</v>
      </c>
      <c r="W115" s="7"/>
      <c r="X115" s="7"/>
    </row>
    <row r="116">
      <c r="A116" s="74">
        <v>1.0</v>
      </c>
      <c r="B116" s="45">
        <v>45846.531851851854</v>
      </c>
      <c r="C116" s="7" t="s">
        <v>816</v>
      </c>
      <c r="D116" s="7" t="s">
        <v>60</v>
      </c>
      <c r="E116" s="74">
        <v>1.0</v>
      </c>
      <c r="F116" s="46"/>
      <c r="G116" s="47">
        <v>34.12</v>
      </c>
      <c r="H116" s="47">
        <v>0.0</v>
      </c>
      <c r="I116" s="7"/>
      <c r="J116" s="47">
        <v>1.29</v>
      </c>
      <c r="K116" s="8">
        <f t="shared" si="1"/>
        <v>32.83</v>
      </c>
      <c r="L116" s="8"/>
      <c r="M116" s="7"/>
      <c r="N116" s="7"/>
      <c r="O116" s="7"/>
      <c r="P116" s="7"/>
      <c r="Q116" s="7" t="s">
        <v>490</v>
      </c>
      <c r="R116" s="7" t="s">
        <v>817</v>
      </c>
      <c r="S116" s="7"/>
      <c r="T116" s="7" t="s">
        <v>818</v>
      </c>
      <c r="U116" s="7" t="s">
        <v>493</v>
      </c>
      <c r="V116" s="65">
        <v>1430.0</v>
      </c>
      <c r="W116" s="7"/>
      <c r="X116" s="7"/>
    </row>
    <row r="117">
      <c r="A117" s="74">
        <v>1.0</v>
      </c>
      <c r="B117" s="45">
        <v>45846.43751157408</v>
      </c>
      <c r="C117" s="7" t="s">
        <v>160</v>
      </c>
      <c r="D117" s="7" t="s">
        <v>60</v>
      </c>
      <c r="E117" s="74">
        <v>1.0</v>
      </c>
      <c r="F117" s="46"/>
      <c r="G117" s="47">
        <v>34.5</v>
      </c>
      <c r="H117" s="47">
        <v>0.0</v>
      </c>
      <c r="I117" s="7"/>
      <c r="J117" s="47">
        <v>1.82</v>
      </c>
      <c r="K117" s="8">
        <f t="shared" si="1"/>
        <v>32.68</v>
      </c>
      <c r="L117" s="8"/>
      <c r="M117" s="7"/>
      <c r="N117" s="7"/>
      <c r="O117" s="7"/>
      <c r="P117" s="7"/>
      <c r="Q117" s="7" t="s">
        <v>490</v>
      </c>
      <c r="R117" s="7"/>
      <c r="S117" s="7"/>
      <c r="T117" s="7"/>
      <c r="U117" s="7" t="s">
        <v>542</v>
      </c>
      <c r="V117" s="65">
        <v>1428.0</v>
      </c>
      <c r="W117" s="7"/>
      <c r="X117" s="7"/>
    </row>
    <row r="118">
      <c r="A118" s="74">
        <v>1.0</v>
      </c>
      <c r="B118" s="45">
        <v>45846.42322916666</v>
      </c>
      <c r="C118" s="7" t="s">
        <v>157</v>
      </c>
      <c r="D118" s="7" t="s">
        <v>60</v>
      </c>
      <c r="E118" s="74">
        <v>1.0</v>
      </c>
      <c r="F118" s="46"/>
      <c r="G118" s="47">
        <v>49.13</v>
      </c>
      <c r="H118" s="47">
        <v>0.0</v>
      </c>
      <c r="I118" s="7"/>
      <c r="J118" s="47">
        <v>2.46</v>
      </c>
      <c r="K118" s="8">
        <f t="shared" si="1"/>
        <v>46.67</v>
      </c>
      <c r="L118" s="8"/>
      <c r="M118" s="7"/>
      <c r="N118" s="7"/>
      <c r="O118" s="7"/>
      <c r="P118" s="7"/>
      <c r="Q118" s="7" t="s">
        <v>490</v>
      </c>
      <c r="R118" s="7" t="s">
        <v>819</v>
      </c>
      <c r="S118" s="7"/>
      <c r="T118" s="7" t="s">
        <v>820</v>
      </c>
      <c r="U118" s="7" t="s">
        <v>726</v>
      </c>
      <c r="V118" s="65">
        <v>1427.0</v>
      </c>
      <c r="W118" s="7"/>
      <c r="X118" s="7"/>
    </row>
    <row r="119">
      <c r="A119" s="74">
        <v>1.0</v>
      </c>
      <c r="B119" s="45">
        <v>45846.39423611111</v>
      </c>
      <c r="C119" s="7" t="s">
        <v>132</v>
      </c>
      <c r="D119" s="7" t="s">
        <v>60</v>
      </c>
      <c r="E119" s="74">
        <v>1.0</v>
      </c>
      <c r="F119" s="46"/>
      <c r="G119" s="47">
        <v>49.13</v>
      </c>
      <c r="H119" s="47">
        <v>0.0</v>
      </c>
      <c r="I119" s="7"/>
      <c r="J119" s="47">
        <v>2.46</v>
      </c>
      <c r="K119" s="8">
        <f t="shared" si="1"/>
        <v>46.67</v>
      </c>
      <c r="L119" s="8"/>
      <c r="M119" s="7"/>
      <c r="N119" s="7"/>
      <c r="O119" s="7"/>
      <c r="P119" s="7"/>
      <c r="Q119" s="7" t="s">
        <v>490</v>
      </c>
      <c r="R119" s="7" t="s">
        <v>821</v>
      </c>
      <c r="S119" s="7"/>
      <c r="T119" s="7" t="s">
        <v>822</v>
      </c>
      <c r="U119" s="7" t="s">
        <v>823</v>
      </c>
      <c r="V119" s="65">
        <v>1426.0</v>
      </c>
      <c r="W119" s="7"/>
      <c r="X119" s="7"/>
    </row>
    <row r="120">
      <c r="A120" s="74">
        <v>1.0</v>
      </c>
      <c r="B120" s="45">
        <v>45846.28905092592</v>
      </c>
      <c r="C120" s="7" t="s">
        <v>824</v>
      </c>
      <c r="D120" s="7" t="s">
        <v>60</v>
      </c>
      <c r="E120" s="74">
        <v>1.0</v>
      </c>
      <c r="F120" s="46"/>
      <c r="G120" s="47">
        <v>51.37</v>
      </c>
      <c r="H120" s="47">
        <v>0.0</v>
      </c>
      <c r="I120" s="7"/>
      <c r="J120" s="47">
        <v>2.56</v>
      </c>
      <c r="K120" s="8">
        <f t="shared" si="1"/>
        <v>48.81</v>
      </c>
      <c r="L120" s="8"/>
      <c r="M120" s="7"/>
      <c r="N120" s="7"/>
      <c r="O120" s="7"/>
      <c r="P120" s="7"/>
      <c r="Q120" s="7" t="s">
        <v>490</v>
      </c>
      <c r="R120" s="7" t="s">
        <v>825</v>
      </c>
      <c r="S120" s="7"/>
      <c r="T120" s="7" t="s">
        <v>826</v>
      </c>
      <c r="U120" s="7" t="s">
        <v>633</v>
      </c>
      <c r="V120" s="65">
        <v>1417.0</v>
      </c>
      <c r="W120" s="7"/>
      <c r="X120" s="7"/>
    </row>
    <row r="121">
      <c r="A121" s="74">
        <v>1.0</v>
      </c>
      <c r="B121" s="45">
        <v>45846.2240625</v>
      </c>
      <c r="C121" s="7" t="s">
        <v>827</v>
      </c>
      <c r="D121" s="7" t="s">
        <v>60</v>
      </c>
      <c r="E121" s="74">
        <v>1.0</v>
      </c>
      <c r="F121" s="46"/>
      <c r="G121" s="47">
        <v>49.13</v>
      </c>
      <c r="H121" s="47">
        <v>0.0</v>
      </c>
      <c r="I121" s="7"/>
      <c r="J121" s="47">
        <v>2.46</v>
      </c>
      <c r="K121" s="8">
        <f t="shared" si="1"/>
        <v>46.67</v>
      </c>
      <c r="L121" s="8"/>
      <c r="M121" s="7"/>
      <c r="N121" s="7"/>
      <c r="O121" s="7"/>
      <c r="P121" s="7"/>
      <c r="Q121" s="7" t="s">
        <v>490</v>
      </c>
      <c r="R121" s="7" t="s">
        <v>828</v>
      </c>
      <c r="S121" s="7" t="s">
        <v>829</v>
      </c>
      <c r="T121" s="7" t="s">
        <v>830</v>
      </c>
      <c r="U121" s="7" t="s">
        <v>542</v>
      </c>
      <c r="V121" s="65">
        <v>1415.0</v>
      </c>
      <c r="W121" s="7"/>
      <c r="X121" s="7"/>
    </row>
    <row r="122">
      <c r="A122" s="74">
        <v>1.0</v>
      </c>
      <c r="B122" s="45">
        <v>45846.025983796295</v>
      </c>
      <c r="C122" s="7" t="s">
        <v>831</v>
      </c>
      <c r="D122" s="7" t="s">
        <v>60</v>
      </c>
      <c r="E122" s="74">
        <v>1.0</v>
      </c>
      <c r="F122" s="46"/>
      <c r="G122" s="47">
        <v>34.5</v>
      </c>
      <c r="H122" s="47">
        <v>0.0</v>
      </c>
      <c r="I122" s="7"/>
      <c r="J122" s="47">
        <v>1.3</v>
      </c>
      <c r="K122" s="8">
        <f t="shared" si="1"/>
        <v>33.2</v>
      </c>
      <c r="L122" s="8"/>
      <c r="M122" s="7"/>
      <c r="N122" s="7"/>
      <c r="O122" s="7"/>
      <c r="P122" s="7"/>
      <c r="Q122" s="7" t="s">
        <v>490</v>
      </c>
      <c r="R122" s="7" t="s">
        <v>832</v>
      </c>
      <c r="S122" s="7" t="s">
        <v>833</v>
      </c>
      <c r="T122" s="7" t="s">
        <v>834</v>
      </c>
      <c r="U122" s="7" t="s">
        <v>493</v>
      </c>
      <c r="V122" s="65">
        <v>1413.0</v>
      </c>
      <c r="W122" s="7"/>
      <c r="X122" s="7"/>
    </row>
    <row r="123">
      <c r="A123" s="74">
        <v>1.0</v>
      </c>
      <c r="B123" s="45">
        <v>45846.00929398148</v>
      </c>
      <c r="C123" s="7" t="s">
        <v>835</v>
      </c>
      <c r="D123" s="7" t="s">
        <v>60</v>
      </c>
      <c r="E123" s="74">
        <v>1.0</v>
      </c>
      <c r="F123" s="46"/>
      <c r="G123" s="47">
        <v>34.5</v>
      </c>
      <c r="H123" s="47">
        <v>0.0</v>
      </c>
      <c r="I123" s="7"/>
      <c r="J123" s="47">
        <v>1.3</v>
      </c>
      <c r="K123" s="8">
        <f t="shared" si="1"/>
        <v>33.2</v>
      </c>
      <c r="L123" s="8"/>
      <c r="M123" s="7"/>
      <c r="N123" s="7"/>
      <c r="O123" s="7"/>
      <c r="P123" s="7"/>
      <c r="Q123" s="7" t="s">
        <v>490</v>
      </c>
      <c r="R123" s="7" t="s">
        <v>836</v>
      </c>
      <c r="S123" s="7"/>
      <c r="T123" s="7" t="s">
        <v>837</v>
      </c>
      <c r="U123" s="7" t="s">
        <v>493</v>
      </c>
      <c r="V123" s="65">
        <v>1412.0</v>
      </c>
      <c r="W123" s="7"/>
      <c r="X123" s="7"/>
    </row>
    <row r="124">
      <c r="A124" s="74">
        <v>1.0</v>
      </c>
      <c r="B124" s="45">
        <v>45845.905335648145</v>
      </c>
      <c r="C124" s="7" t="s">
        <v>838</v>
      </c>
      <c r="D124" s="7" t="s">
        <v>60</v>
      </c>
      <c r="E124" s="74">
        <v>1.0</v>
      </c>
      <c r="F124" s="46"/>
      <c r="G124" s="47">
        <v>34.24</v>
      </c>
      <c r="H124" s="47">
        <v>0.0</v>
      </c>
      <c r="I124" s="7"/>
      <c r="J124" s="47">
        <v>1.29</v>
      </c>
      <c r="K124" s="8">
        <f t="shared" si="1"/>
        <v>32.95</v>
      </c>
      <c r="L124" s="8"/>
      <c r="M124" s="7"/>
      <c r="N124" s="7"/>
      <c r="O124" s="7"/>
      <c r="P124" s="7"/>
      <c r="Q124" s="7" t="s">
        <v>490</v>
      </c>
      <c r="R124" s="7" t="s">
        <v>839</v>
      </c>
      <c r="S124" s="7"/>
      <c r="T124" s="7" t="s">
        <v>840</v>
      </c>
      <c r="U124" s="7" t="s">
        <v>493</v>
      </c>
      <c r="V124" s="65">
        <v>1409.0</v>
      </c>
      <c r="W124" s="7"/>
      <c r="X124" s="7"/>
    </row>
    <row r="125">
      <c r="A125" s="74">
        <v>1.0</v>
      </c>
      <c r="B125" s="45">
        <v>45845.888449074075</v>
      </c>
      <c r="C125" s="7" t="s">
        <v>162</v>
      </c>
      <c r="D125" s="7" t="s">
        <v>60</v>
      </c>
      <c r="E125" s="74">
        <v>1.0</v>
      </c>
      <c r="F125" s="46"/>
      <c r="G125" s="47">
        <v>49.13</v>
      </c>
      <c r="H125" s="47">
        <v>0.0</v>
      </c>
      <c r="I125" s="7"/>
      <c r="J125" s="47">
        <v>2.46</v>
      </c>
      <c r="K125" s="8">
        <f t="shared" si="1"/>
        <v>46.67</v>
      </c>
      <c r="L125" s="8"/>
      <c r="M125" s="7"/>
      <c r="N125" s="7"/>
      <c r="O125" s="7"/>
      <c r="P125" s="7"/>
      <c r="Q125" s="7" t="s">
        <v>490</v>
      </c>
      <c r="R125" s="7" t="s">
        <v>841</v>
      </c>
      <c r="S125" s="7"/>
      <c r="T125" s="7" t="s">
        <v>842</v>
      </c>
      <c r="U125" s="7" t="s">
        <v>525</v>
      </c>
      <c r="V125" s="65">
        <v>1407.0</v>
      </c>
      <c r="W125" s="7"/>
      <c r="X125" s="7"/>
    </row>
    <row r="126">
      <c r="A126" s="74">
        <v>1.0</v>
      </c>
      <c r="B126" s="45">
        <v>45845.88385416667</v>
      </c>
      <c r="C126" s="7" t="s">
        <v>133</v>
      </c>
      <c r="D126" s="7" t="s">
        <v>60</v>
      </c>
      <c r="E126" s="74">
        <v>1.0</v>
      </c>
      <c r="F126" s="46"/>
      <c r="G126" s="47">
        <v>34.32</v>
      </c>
      <c r="H126" s="47">
        <v>0.0</v>
      </c>
      <c r="I126" s="7"/>
      <c r="J126" s="47">
        <v>1.3</v>
      </c>
      <c r="K126" s="8">
        <f t="shared" si="1"/>
        <v>33.02</v>
      </c>
      <c r="L126" s="8"/>
      <c r="M126" s="7"/>
      <c r="N126" s="7"/>
      <c r="O126" s="7"/>
      <c r="P126" s="7"/>
      <c r="Q126" s="7" t="s">
        <v>490</v>
      </c>
      <c r="R126" s="7" t="s">
        <v>843</v>
      </c>
      <c r="S126" s="7"/>
      <c r="T126" s="7" t="s">
        <v>844</v>
      </c>
      <c r="U126" s="7" t="s">
        <v>493</v>
      </c>
      <c r="V126" s="65">
        <v>1405.0</v>
      </c>
      <c r="W126" s="7"/>
      <c r="X126" s="7"/>
    </row>
    <row r="127">
      <c r="A127" s="74">
        <v>1.0</v>
      </c>
      <c r="B127" s="45">
        <v>45845.831099537034</v>
      </c>
      <c r="C127" s="7" t="s">
        <v>369</v>
      </c>
      <c r="D127" s="7" t="s">
        <v>60</v>
      </c>
      <c r="E127" s="74">
        <v>1.0</v>
      </c>
      <c r="F127" s="46"/>
      <c r="G127" s="47">
        <v>34.5</v>
      </c>
      <c r="H127" s="47">
        <v>0.0</v>
      </c>
      <c r="I127" s="7"/>
      <c r="J127" s="47">
        <v>1.3</v>
      </c>
      <c r="K127" s="8">
        <f t="shared" si="1"/>
        <v>33.2</v>
      </c>
      <c r="L127" s="8"/>
      <c r="M127" s="7"/>
      <c r="N127" s="7"/>
      <c r="O127" s="7"/>
      <c r="P127" s="7"/>
      <c r="Q127" s="7" t="s">
        <v>490</v>
      </c>
      <c r="R127" s="7" t="s">
        <v>845</v>
      </c>
      <c r="S127" s="7"/>
      <c r="T127" s="7" t="s">
        <v>846</v>
      </c>
      <c r="U127" s="7" t="s">
        <v>493</v>
      </c>
      <c r="V127" s="65">
        <v>1402.0</v>
      </c>
      <c r="W127" s="7"/>
      <c r="X127" s="7"/>
    </row>
    <row r="128">
      <c r="A128" s="74">
        <v>1.0</v>
      </c>
      <c r="B128" s="45">
        <v>45844.8971875</v>
      </c>
      <c r="C128" s="7" t="s">
        <v>847</v>
      </c>
      <c r="D128" s="7" t="s">
        <v>60</v>
      </c>
      <c r="E128" s="74">
        <v>1.0</v>
      </c>
      <c r="F128" s="46"/>
      <c r="G128" s="47">
        <v>34.5</v>
      </c>
      <c r="H128" s="47">
        <v>0.0</v>
      </c>
      <c r="I128" s="7"/>
      <c r="J128" s="47">
        <v>1.3</v>
      </c>
      <c r="K128" s="8">
        <f t="shared" si="1"/>
        <v>33.2</v>
      </c>
      <c r="L128" s="8"/>
      <c r="M128" s="7"/>
      <c r="N128" s="7"/>
      <c r="O128" s="7"/>
      <c r="P128" s="7"/>
      <c r="Q128" s="7" t="s">
        <v>490</v>
      </c>
      <c r="R128" s="7" t="s">
        <v>848</v>
      </c>
      <c r="S128" s="7" t="s">
        <v>849</v>
      </c>
      <c r="T128" s="7" t="s">
        <v>850</v>
      </c>
      <c r="U128" s="7" t="s">
        <v>493</v>
      </c>
      <c r="V128" s="65">
        <v>1398.0</v>
      </c>
      <c r="W128" s="7"/>
      <c r="X128" s="7"/>
    </row>
    <row r="129">
      <c r="A129" s="74">
        <v>1.0</v>
      </c>
      <c r="B129" s="45">
        <v>45844.58200231481</v>
      </c>
      <c r="C129" s="7" t="s">
        <v>851</v>
      </c>
      <c r="D129" s="7" t="s">
        <v>577</v>
      </c>
      <c r="E129" s="74">
        <v>2.0</v>
      </c>
      <c r="F129" s="46"/>
      <c r="G129" s="47">
        <v>59.49</v>
      </c>
      <c r="H129" s="47">
        <v>0.0</v>
      </c>
      <c r="I129" s="7"/>
      <c r="J129" s="47">
        <v>2.03</v>
      </c>
      <c r="K129" s="8">
        <f t="shared" si="1"/>
        <v>57.46</v>
      </c>
      <c r="L129" s="8"/>
      <c r="M129" s="7"/>
      <c r="N129" s="7"/>
      <c r="O129" s="7"/>
      <c r="P129" s="7"/>
      <c r="Q129" s="7" t="s">
        <v>490</v>
      </c>
      <c r="R129" s="7" t="s">
        <v>852</v>
      </c>
      <c r="S129" s="7" t="s">
        <v>853</v>
      </c>
      <c r="T129" s="7" t="s">
        <v>854</v>
      </c>
      <c r="U129" s="7" t="s">
        <v>493</v>
      </c>
      <c r="V129" s="65">
        <v>1396.0</v>
      </c>
      <c r="W129" s="7"/>
      <c r="X129" s="7"/>
    </row>
    <row r="130">
      <c r="A130" s="74">
        <v>1.0</v>
      </c>
      <c r="B130" s="45">
        <v>45842.89140046296</v>
      </c>
      <c r="C130" s="7" t="s">
        <v>406</v>
      </c>
      <c r="D130" s="7" t="s">
        <v>60</v>
      </c>
      <c r="E130" s="74">
        <v>1.0</v>
      </c>
      <c r="F130" s="46"/>
      <c r="G130" s="47">
        <v>34.24</v>
      </c>
      <c r="H130" s="47">
        <v>0.0</v>
      </c>
      <c r="I130" s="7"/>
      <c r="J130" s="47">
        <v>1.81</v>
      </c>
      <c r="K130" s="8">
        <f t="shared" si="1"/>
        <v>32.43</v>
      </c>
      <c r="L130" s="8"/>
      <c r="M130" s="7"/>
      <c r="N130" s="7"/>
      <c r="O130" s="7"/>
      <c r="P130" s="7"/>
      <c r="Q130" s="7" t="s">
        <v>490</v>
      </c>
      <c r="R130" s="7"/>
      <c r="S130" s="7"/>
      <c r="T130" s="7"/>
      <c r="U130" s="7" t="s">
        <v>545</v>
      </c>
      <c r="V130" s="65">
        <v>1391.0</v>
      </c>
      <c r="W130" s="7"/>
      <c r="X130" s="7"/>
    </row>
    <row r="131">
      <c r="A131" s="74">
        <v>1.0</v>
      </c>
      <c r="B131" s="45">
        <v>45842.160092592596</v>
      </c>
      <c r="C131" s="7" t="s">
        <v>364</v>
      </c>
      <c r="D131" s="7" t="s">
        <v>60</v>
      </c>
      <c r="E131" s="74">
        <v>1.0</v>
      </c>
      <c r="F131" s="46"/>
      <c r="G131" s="47">
        <v>46.67</v>
      </c>
      <c r="H131" s="47">
        <v>0.0</v>
      </c>
      <c r="I131" s="7"/>
      <c r="J131" s="47">
        <v>2.35</v>
      </c>
      <c r="K131" s="8">
        <f t="shared" si="1"/>
        <v>44.32</v>
      </c>
      <c r="L131" s="8"/>
      <c r="M131" s="7"/>
      <c r="N131" s="7"/>
      <c r="O131" s="7"/>
      <c r="P131" s="7"/>
      <c r="Q131" s="7" t="s">
        <v>490</v>
      </c>
      <c r="R131" s="7" t="s">
        <v>855</v>
      </c>
      <c r="S131" s="7"/>
      <c r="T131" s="7" t="s">
        <v>856</v>
      </c>
      <c r="U131" s="7" t="s">
        <v>545</v>
      </c>
      <c r="V131" s="65">
        <v>1381.0</v>
      </c>
      <c r="W131" s="7"/>
      <c r="X131" s="7"/>
    </row>
    <row r="132">
      <c r="A132" s="74">
        <v>1.0</v>
      </c>
      <c r="B132" s="45">
        <v>45841.96424768519</v>
      </c>
      <c r="C132" s="7" t="s">
        <v>857</v>
      </c>
      <c r="D132" s="7" t="s">
        <v>60</v>
      </c>
      <c r="E132" s="74">
        <v>1.0</v>
      </c>
      <c r="F132" s="46"/>
      <c r="G132" s="47">
        <v>36.57</v>
      </c>
      <c r="H132" s="47">
        <v>0.0</v>
      </c>
      <c r="I132" s="7"/>
      <c r="J132" s="47">
        <v>1.36</v>
      </c>
      <c r="K132" s="8">
        <f t="shared" si="1"/>
        <v>35.21</v>
      </c>
      <c r="L132" s="8"/>
      <c r="M132" s="7"/>
      <c r="N132" s="7"/>
      <c r="O132" s="7"/>
      <c r="P132" s="7"/>
      <c r="Q132" s="7" t="s">
        <v>490</v>
      </c>
      <c r="R132" s="7" t="s">
        <v>858</v>
      </c>
      <c r="S132" s="7"/>
      <c r="T132" s="7" t="s">
        <v>859</v>
      </c>
      <c r="U132" s="7" t="s">
        <v>493</v>
      </c>
      <c r="V132" s="65">
        <v>1379.0</v>
      </c>
      <c r="W132" s="7"/>
      <c r="X132" s="7"/>
    </row>
    <row r="133">
      <c r="A133" s="74">
        <v>1.0</v>
      </c>
      <c r="B133" s="45">
        <v>45841.22381944444</v>
      </c>
      <c r="C133" s="7" t="s">
        <v>860</v>
      </c>
      <c r="D133" s="7" t="s">
        <v>60</v>
      </c>
      <c r="E133" s="74">
        <v>1.0</v>
      </c>
      <c r="F133" s="46"/>
      <c r="G133" s="47">
        <v>34.5</v>
      </c>
      <c r="H133" s="47">
        <v>0.0</v>
      </c>
      <c r="I133" s="7"/>
      <c r="J133" s="47">
        <v>1.3</v>
      </c>
      <c r="K133" s="8">
        <f t="shared" si="1"/>
        <v>33.2</v>
      </c>
      <c r="L133" s="8"/>
      <c r="M133" s="7"/>
      <c r="N133" s="7"/>
      <c r="O133" s="7"/>
      <c r="P133" s="7"/>
      <c r="Q133" s="7" t="s">
        <v>490</v>
      </c>
      <c r="R133" s="7" t="s">
        <v>861</v>
      </c>
      <c r="S133" s="7"/>
      <c r="T133" s="7" t="s">
        <v>862</v>
      </c>
      <c r="U133" s="7" t="s">
        <v>493</v>
      </c>
      <c r="V133" s="65">
        <v>1377.0</v>
      </c>
      <c r="W133" s="7"/>
      <c r="X133" s="7"/>
    </row>
    <row r="134">
      <c r="A134" s="74">
        <v>1.0</v>
      </c>
      <c r="B134" s="45">
        <v>45841.19834490741</v>
      </c>
      <c r="C134" s="7" t="s">
        <v>863</v>
      </c>
      <c r="D134" s="7" t="s">
        <v>60</v>
      </c>
      <c r="E134" s="74">
        <v>1.0</v>
      </c>
      <c r="F134" s="46"/>
      <c r="G134" s="47">
        <v>49.87</v>
      </c>
      <c r="H134" s="47">
        <v>0.0</v>
      </c>
      <c r="I134" s="7"/>
      <c r="J134" s="47">
        <v>2.49</v>
      </c>
      <c r="K134" s="8">
        <f t="shared" si="1"/>
        <v>47.38</v>
      </c>
      <c r="L134" s="8"/>
      <c r="M134" s="7"/>
      <c r="N134" s="7"/>
      <c r="O134" s="7"/>
      <c r="P134" s="7"/>
      <c r="Q134" s="7" t="s">
        <v>490</v>
      </c>
      <c r="R134" s="7" t="s">
        <v>864</v>
      </c>
      <c r="S134" s="7"/>
      <c r="T134" s="7" t="s">
        <v>865</v>
      </c>
      <c r="U134" s="7" t="s">
        <v>617</v>
      </c>
      <c r="V134" s="65">
        <v>1376.0</v>
      </c>
      <c r="W134" s="7"/>
      <c r="X134" s="7"/>
    </row>
    <row r="135">
      <c r="A135" s="74">
        <v>1.0</v>
      </c>
      <c r="B135" s="45">
        <v>45841.123460648145</v>
      </c>
      <c r="C135" s="7" t="s">
        <v>866</v>
      </c>
      <c r="D135" s="7" t="s">
        <v>60</v>
      </c>
      <c r="E135" s="74">
        <v>1.0</v>
      </c>
      <c r="F135" s="46"/>
      <c r="G135" s="47">
        <v>46.67</v>
      </c>
      <c r="H135" s="47">
        <v>0.0</v>
      </c>
      <c r="I135" s="7"/>
      <c r="J135" s="47">
        <v>2.35</v>
      </c>
      <c r="K135" s="8">
        <f t="shared" si="1"/>
        <v>44.32</v>
      </c>
      <c r="L135" s="8"/>
      <c r="M135" s="7"/>
      <c r="N135" s="7"/>
      <c r="O135" s="7"/>
      <c r="P135" s="7"/>
      <c r="Q135" s="7" t="s">
        <v>490</v>
      </c>
      <c r="R135" s="7" t="s">
        <v>867</v>
      </c>
      <c r="S135" s="7"/>
      <c r="T135" s="7" t="s">
        <v>868</v>
      </c>
      <c r="U135" s="7" t="s">
        <v>545</v>
      </c>
      <c r="V135" s="65">
        <v>1374.0</v>
      </c>
      <c r="W135" s="7"/>
      <c r="X135" s="7"/>
    </row>
    <row r="136">
      <c r="A136" s="74">
        <v>1.0</v>
      </c>
      <c r="B136" s="45">
        <v>45841.09388888889</v>
      </c>
      <c r="C136" s="7" t="s">
        <v>869</v>
      </c>
      <c r="D136" s="7" t="s">
        <v>60</v>
      </c>
      <c r="E136" s="74">
        <v>1.0</v>
      </c>
      <c r="F136" s="46"/>
      <c r="G136" s="47">
        <v>36.23</v>
      </c>
      <c r="H136" s="47">
        <v>0.0</v>
      </c>
      <c r="I136" s="7"/>
      <c r="J136" s="47">
        <v>1.35</v>
      </c>
      <c r="K136" s="8">
        <f t="shared" si="1"/>
        <v>34.88</v>
      </c>
      <c r="L136" s="8"/>
      <c r="M136" s="7"/>
      <c r="N136" s="7"/>
      <c r="O136" s="7"/>
      <c r="P136" s="7"/>
      <c r="Q136" s="7" t="s">
        <v>490</v>
      </c>
      <c r="R136" s="7" t="s">
        <v>870</v>
      </c>
      <c r="S136" s="7"/>
      <c r="T136" s="7" t="s">
        <v>871</v>
      </c>
      <c r="U136" s="7" t="s">
        <v>493</v>
      </c>
      <c r="V136" s="65">
        <v>1373.0</v>
      </c>
      <c r="W136" s="7"/>
      <c r="X136" s="7"/>
    </row>
    <row r="137">
      <c r="A137" s="74">
        <v>1.0</v>
      </c>
      <c r="B137" s="45">
        <v>45840.674421296295</v>
      </c>
      <c r="C137" s="7" t="s">
        <v>872</v>
      </c>
      <c r="D137" s="7" t="s">
        <v>60</v>
      </c>
      <c r="E137" s="74">
        <v>1.0</v>
      </c>
      <c r="F137" s="46"/>
      <c r="G137" s="47">
        <v>77.97</v>
      </c>
      <c r="H137" s="47">
        <v>0.0</v>
      </c>
      <c r="I137" s="7"/>
      <c r="J137" s="47">
        <v>3.73</v>
      </c>
      <c r="K137" s="8">
        <f t="shared" si="1"/>
        <v>74.24</v>
      </c>
      <c r="L137" s="8"/>
      <c r="M137" s="7"/>
      <c r="N137" s="7"/>
      <c r="O137" s="7"/>
      <c r="P137" s="7"/>
      <c r="Q137" s="7" t="s">
        <v>490</v>
      </c>
      <c r="R137" s="7" t="s">
        <v>873</v>
      </c>
      <c r="S137" s="7" t="s">
        <v>874</v>
      </c>
      <c r="T137" s="7" t="s">
        <v>875</v>
      </c>
      <c r="U137" s="7" t="s">
        <v>555</v>
      </c>
      <c r="V137" s="65">
        <v>1367.0</v>
      </c>
      <c r="W137" s="7"/>
      <c r="X137" s="7"/>
    </row>
    <row r="138">
      <c r="A138" s="74">
        <v>1.0</v>
      </c>
      <c r="B138" s="45">
        <v>45839.94865740741</v>
      </c>
      <c r="C138" s="7" t="s">
        <v>876</v>
      </c>
      <c r="D138" s="7" t="s">
        <v>60</v>
      </c>
      <c r="E138" s="74">
        <v>1.0</v>
      </c>
      <c r="F138" s="46"/>
      <c r="G138" s="47">
        <v>49.13</v>
      </c>
      <c r="H138" s="47">
        <v>0.0</v>
      </c>
      <c r="I138" s="7"/>
      <c r="J138" s="47">
        <v>2.46</v>
      </c>
      <c r="K138" s="8">
        <f t="shared" si="1"/>
        <v>46.67</v>
      </c>
      <c r="L138" s="8"/>
      <c r="M138" s="7"/>
      <c r="N138" s="7"/>
      <c r="O138" s="7"/>
      <c r="P138" s="7"/>
      <c r="Q138" s="7" t="s">
        <v>490</v>
      </c>
      <c r="R138" s="7" t="s">
        <v>877</v>
      </c>
      <c r="S138" s="7"/>
      <c r="T138" s="7" t="s">
        <v>878</v>
      </c>
      <c r="U138" s="7" t="s">
        <v>525</v>
      </c>
      <c r="V138" s="65">
        <v>1364.0</v>
      </c>
      <c r="W138" s="7"/>
      <c r="X138" s="7"/>
    </row>
    <row r="139">
      <c r="A139" s="74">
        <v>1.0</v>
      </c>
      <c r="B139" s="45">
        <v>45839.808645833335</v>
      </c>
      <c r="C139" s="7" t="s">
        <v>128</v>
      </c>
      <c r="D139" s="7" t="s">
        <v>879</v>
      </c>
      <c r="E139" s="74">
        <v>3.0</v>
      </c>
      <c r="F139" s="46"/>
      <c r="G139" s="47">
        <v>84.48</v>
      </c>
      <c r="H139" s="47">
        <v>0.0</v>
      </c>
      <c r="I139" s="7"/>
      <c r="J139" s="47">
        <v>4.02</v>
      </c>
      <c r="K139" s="8">
        <f t="shared" si="1"/>
        <v>80.46</v>
      </c>
      <c r="L139" s="8"/>
      <c r="M139" s="7"/>
      <c r="N139" s="7"/>
      <c r="O139" s="7"/>
      <c r="P139" s="7"/>
      <c r="Q139" s="7" t="s">
        <v>490</v>
      </c>
      <c r="R139" s="7" t="s">
        <v>880</v>
      </c>
      <c r="S139" s="7" t="s">
        <v>881</v>
      </c>
      <c r="T139" s="7" t="s">
        <v>850</v>
      </c>
      <c r="U139" s="7" t="s">
        <v>882</v>
      </c>
      <c r="V139" s="65">
        <v>1354.0</v>
      </c>
      <c r="W139" s="7"/>
      <c r="X139" s="7"/>
    </row>
    <row r="140">
      <c r="A140" s="74">
        <v>1.0</v>
      </c>
      <c r="B140" s="45">
        <v>45839.29142361111</v>
      </c>
      <c r="C140" s="7" t="s">
        <v>883</v>
      </c>
      <c r="D140" s="7" t="s">
        <v>60</v>
      </c>
      <c r="E140" s="74">
        <v>1.0</v>
      </c>
      <c r="F140" s="46"/>
      <c r="G140" s="47">
        <v>49.13</v>
      </c>
      <c r="H140" s="47">
        <v>0.0</v>
      </c>
      <c r="I140" s="7"/>
      <c r="J140" s="47">
        <v>2.46</v>
      </c>
      <c r="K140" s="8">
        <f t="shared" si="1"/>
        <v>46.67</v>
      </c>
      <c r="L140" s="8"/>
      <c r="M140" s="7"/>
      <c r="N140" s="7"/>
      <c r="O140" s="7"/>
      <c r="P140" s="7"/>
      <c r="Q140" s="7" t="s">
        <v>490</v>
      </c>
      <c r="R140" s="7" t="s">
        <v>884</v>
      </c>
      <c r="S140" s="7" t="s">
        <v>885</v>
      </c>
      <c r="T140" s="7" t="s">
        <v>886</v>
      </c>
      <c r="U140" s="7" t="s">
        <v>521</v>
      </c>
      <c r="V140" s="65">
        <v>1350.0</v>
      </c>
      <c r="W140" s="7"/>
      <c r="X140" s="7"/>
    </row>
    <row r="141">
      <c r="A141" s="74">
        <v>1.0</v>
      </c>
      <c r="B141" s="45">
        <v>45839.2343287037</v>
      </c>
      <c r="C141" s="7" t="s">
        <v>887</v>
      </c>
      <c r="D141" s="7" t="s">
        <v>60</v>
      </c>
      <c r="E141" s="74">
        <v>1.0</v>
      </c>
      <c r="F141" s="46"/>
      <c r="G141" s="47">
        <v>49.13</v>
      </c>
      <c r="H141" s="47">
        <v>0.0</v>
      </c>
      <c r="I141" s="7"/>
      <c r="J141" s="47">
        <v>2.46</v>
      </c>
      <c r="K141" s="8">
        <f t="shared" si="1"/>
        <v>46.67</v>
      </c>
      <c r="L141" s="8"/>
      <c r="M141" s="7"/>
      <c r="N141" s="7"/>
      <c r="O141" s="7"/>
      <c r="P141" s="7"/>
      <c r="Q141" s="7" t="s">
        <v>490</v>
      </c>
      <c r="R141" s="7" t="s">
        <v>888</v>
      </c>
      <c r="S141" s="7"/>
      <c r="T141" s="7" t="s">
        <v>889</v>
      </c>
      <c r="U141" s="7" t="s">
        <v>525</v>
      </c>
      <c r="V141" s="65">
        <v>1349.0</v>
      </c>
      <c r="W141" s="7"/>
      <c r="X141" s="7"/>
    </row>
    <row r="142">
      <c r="A142" s="74">
        <v>1.0</v>
      </c>
      <c r="B142" s="45">
        <v>45839.147152777776</v>
      </c>
      <c r="C142" s="7" t="s">
        <v>890</v>
      </c>
      <c r="D142" s="7" t="s">
        <v>60</v>
      </c>
      <c r="E142" s="74">
        <v>1.0</v>
      </c>
      <c r="F142" s="46"/>
      <c r="G142" s="47">
        <v>34.12</v>
      </c>
      <c r="H142" s="47">
        <v>0.0</v>
      </c>
      <c r="I142" s="7"/>
      <c r="J142" s="47">
        <v>1.8</v>
      </c>
      <c r="K142" s="8">
        <f t="shared" si="1"/>
        <v>32.32</v>
      </c>
      <c r="L142" s="8"/>
      <c r="M142" s="7"/>
      <c r="N142" s="7"/>
      <c r="O142" s="7"/>
      <c r="P142" s="7"/>
      <c r="Q142" s="7" t="s">
        <v>490</v>
      </c>
      <c r="R142" s="7"/>
      <c r="S142" s="7"/>
      <c r="T142" s="7"/>
      <c r="U142" s="7" t="s">
        <v>560</v>
      </c>
      <c r="V142" s="65">
        <v>1346.0</v>
      </c>
      <c r="W142" s="7"/>
      <c r="X142" s="7"/>
    </row>
    <row r="143">
      <c r="A143" s="74">
        <v>1.0</v>
      </c>
      <c r="B143" s="45">
        <v>45838.80615740741</v>
      </c>
      <c r="C143" s="7" t="s">
        <v>194</v>
      </c>
      <c r="D143" s="7" t="s">
        <v>60</v>
      </c>
      <c r="E143" s="74">
        <v>1.0</v>
      </c>
      <c r="F143" s="46"/>
      <c r="G143" s="47">
        <v>50.29</v>
      </c>
      <c r="H143" s="47">
        <v>0.0</v>
      </c>
      <c r="I143" s="7"/>
      <c r="J143" s="47">
        <v>2.51</v>
      </c>
      <c r="K143" s="8">
        <f t="shared" si="1"/>
        <v>47.78</v>
      </c>
      <c r="L143" s="8"/>
      <c r="M143" s="7"/>
      <c r="N143" s="7"/>
      <c r="O143" s="7"/>
      <c r="P143" s="7"/>
      <c r="Q143" s="7" t="s">
        <v>490</v>
      </c>
      <c r="R143" s="7" t="s">
        <v>891</v>
      </c>
      <c r="S143" s="7"/>
      <c r="T143" s="7" t="s">
        <v>892</v>
      </c>
      <c r="U143" s="7" t="s">
        <v>555</v>
      </c>
      <c r="V143" s="65">
        <v>1338.0</v>
      </c>
      <c r="W143" s="7"/>
      <c r="X143" s="7"/>
    </row>
    <row r="144">
      <c r="A144" s="74">
        <v>1.0</v>
      </c>
      <c r="B144" s="45">
        <v>45838.59606481482</v>
      </c>
      <c r="C144" s="7" t="s">
        <v>893</v>
      </c>
      <c r="D144" s="7" t="s">
        <v>60</v>
      </c>
      <c r="E144" s="74">
        <v>1.0</v>
      </c>
      <c r="F144" s="46"/>
      <c r="G144" s="47">
        <v>34.24</v>
      </c>
      <c r="H144" s="47">
        <v>0.0</v>
      </c>
      <c r="I144" s="7"/>
      <c r="J144" s="47">
        <v>1.29</v>
      </c>
      <c r="K144" s="8">
        <f t="shared" si="1"/>
        <v>32.95</v>
      </c>
      <c r="L144" s="8"/>
      <c r="M144" s="7"/>
      <c r="N144" s="7"/>
      <c r="O144" s="7"/>
      <c r="P144" s="7"/>
      <c r="Q144" s="7" t="s">
        <v>490</v>
      </c>
      <c r="R144" s="7" t="s">
        <v>894</v>
      </c>
      <c r="S144" s="7"/>
      <c r="T144" s="7" t="s">
        <v>895</v>
      </c>
      <c r="U144" s="7" t="s">
        <v>493</v>
      </c>
      <c r="V144" s="65">
        <v>1337.0</v>
      </c>
      <c r="W144" s="7"/>
      <c r="X144" s="7"/>
    </row>
    <row r="145">
      <c r="A145" s="74">
        <v>1.0</v>
      </c>
      <c r="B145" s="45">
        <v>45838.032847222225</v>
      </c>
      <c r="C145" s="7" t="s">
        <v>173</v>
      </c>
      <c r="D145" s="7" t="s">
        <v>60</v>
      </c>
      <c r="E145" s="74">
        <v>1.0</v>
      </c>
      <c r="F145" s="46"/>
      <c r="G145" s="47">
        <v>49.13</v>
      </c>
      <c r="H145" s="47">
        <v>0.0</v>
      </c>
      <c r="I145" s="7"/>
      <c r="J145" s="47">
        <v>2.46</v>
      </c>
      <c r="K145" s="8">
        <f t="shared" si="1"/>
        <v>46.67</v>
      </c>
      <c r="L145" s="8"/>
      <c r="M145" s="7"/>
      <c r="N145" s="7"/>
      <c r="O145" s="7"/>
      <c r="P145" s="7"/>
      <c r="Q145" s="7" t="s">
        <v>490</v>
      </c>
      <c r="R145" s="7" t="s">
        <v>896</v>
      </c>
      <c r="S145" s="7"/>
      <c r="T145" s="7" t="s">
        <v>897</v>
      </c>
      <c r="U145" s="7" t="s">
        <v>542</v>
      </c>
      <c r="V145" s="65">
        <v>1325.0</v>
      </c>
      <c r="W145" s="7"/>
      <c r="X145" s="7"/>
    </row>
    <row r="146">
      <c r="A146" s="74">
        <v>1.0</v>
      </c>
      <c r="B146" s="45">
        <v>45838.00048611111</v>
      </c>
      <c r="C146" s="7" t="s">
        <v>898</v>
      </c>
      <c r="D146" s="7" t="s">
        <v>60</v>
      </c>
      <c r="E146" s="74">
        <v>1.0</v>
      </c>
      <c r="F146" s="46"/>
      <c r="G146" s="47">
        <v>48.06</v>
      </c>
      <c r="H146" s="47">
        <v>0.0</v>
      </c>
      <c r="I146" s="7"/>
      <c r="J146" s="47">
        <v>2.41</v>
      </c>
      <c r="K146" s="8">
        <f t="shared" si="1"/>
        <v>45.65</v>
      </c>
      <c r="L146" s="8"/>
      <c r="M146" s="7"/>
      <c r="N146" s="7"/>
      <c r="O146" s="7"/>
      <c r="P146" s="7"/>
      <c r="Q146" s="7" t="s">
        <v>490</v>
      </c>
      <c r="R146" s="7" t="s">
        <v>899</v>
      </c>
      <c r="S146" s="7" t="s">
        <v>900</v>
      </c>
      <c r="T146" s="7" t="s">
        <v>901</v>
      </c>
      <c r="U146" s="7" t="s">
        <v>902</v>
      </c>
      <c r="V146" s="65">
        <v>1324.0</v>
      </c>
      <c r="W146" s="7"/>
      <c r="X146" s="7"/>
    </row>
    <row r="147">
      <c r="A147" s="74">
        <v>1.0</v>
      </c>
      <c r="B147" s="45">
        <v>45837.82581018518</v>
      </c>
      <c r="C147" s="7" t="s">
        <v>903</v>
      </c>
      <c r="D147" s="7" t="s">
        <v>60</v>
      </c>
      <c r="E147" s="74">
        <v>1.0</v>
      </c>
      <c r="F147" s="46"/>
      <c r="G147" s="47">
        <v>34.12</v>
      </c>
      <c r="H147" s="47">
        <v>0.0</v>
      </c>
      <c r="I147" s="7"/>
      <c r="J147" s="47">
        <v>1.29</v>
      </c>
      <c r="K147" s="8">
        <f t="shared" si="1"/>
        <v>32.83</v>
      </c>
      <c r="L147" s="8"/>
      <c r="M147" s="7"/>
      <c r="N147" s="7"/>
      <c r="O147" s="7"/>
      <c r="P147" s="7"/>
      <c r="Q147" s="7" t="s">
        <v>490</v>
      </c>
      <c r="R147" s="7" t="s">
        <v>904</v>
      </c>
      <c r="S147" s="7"/>
      <c r="T147" s="7" t="s">
        <v>905</v>
      </c>
      <c r="U147" s="7" t="s">
        <v>493</v>
      </c>
      <c r="V147" s="65">
        <v>1319.0</v>
      </c>
      <c r="W147" s="7"/>
      <c r="X147" s="7"/>
    </row>
    <row r="148">
      <c r="A148" s="74">
        <v>1.0</v>
      </c>
      <c r="B148" s="45">
        <v>45837.534270833334</v>
      </c>
      <c r="C148" s="7" t="s">
        <v>906</v>
      </c>
      <c r="D148" s="7" t="s">
        <v>60</v>
      </c>
      <c r="E148" s="74">
        <v>1.0</v>
      </c>
      <c r="F148" s="46"/>
      <c r="G148" s="47">
        <v>34.5</v>
      </c>
      <c r="H148" s="47">
        <v>0.0</v>
      </c>
      <c r="I148" s="7"/>
      <c r="J148" s="47">
        <v>1.3</v>
      </c>
      <c r="K148" s="8">
        <f t="shared" si="1"/>
        <v>33.2</v>
      </c>
      <c r="L148" s="8"/>
      <c r="M148" s="7"/>
      <c r="N148" s="7"/>
      <c r="O148" s="7"/>
      <c r="P148" s="7"/>
      <c r="Q148" s="7" t="s">
        <v>490</v>
      </c>
      <c r="R148" s="7" t="s">
        <v>907</v>
      </c>
      <c r="S148" s="7"/>
      <c r="T148" s="7" t="s">
        <v>854</v>
      </c>
      <c r="U148" s="7" t="s">
        <v>493</v>
      </c>
      <c r="V148" s="65">
        <v>1307.0</v>
      </c>
      <c r="W148" s="7"/>
      <c r="X148" s="7"/>
    </row>
    <row r="149">
      <c r="A149" s="74">
        <v>1.0</v>
      </c>
      <c r="B149" s="68">
        <v>45837.44732638889</v>
      </c>
      <c r="C149" s="70" t="s">
        <v>908</v>
      </c>
      <c r="D149" s="70"/>
      <c r="E149" s="113"/>
      <c r="F149" s="113">
        <v>1.0</v>
      </c>
      <c r="G149" s="72">
        <v>100.0</v>
      </c>
      <c r="H149" s="72">
        <v>0.0</v>
      </c>
      <c r="I149" s="70" t="s">
        <v>259</v>
      </c>
      <c r="J149" s="47">
        <v>4.7</v>
      </c>
      <c r="K149" s="8">
        <f t="shared" si="1"/>
        <v>95.3</v>
      </c>
      <c r="L149" s="8"/>
      <c r="M149" s="7"/>
      <c r="N149" s="7"/>
      <c r="O149" s="7"/>
      <c r="P149" s="7"/>
      <c r="Q149" s="7" t="s">
        <v>490</v>
      </c>
      <c r="R149" s="7" t="s">
        <v>909</v>
      </c>
      <c r="S149" s="7"/>
      <c r="T149" s="7" t="s">
        <v>910</v>
      </c>
      <c r="U149" s="7" t="s">
        <v>545</v>
      </c>
      <c r="V149" s="7"/>
      <c r="W149" s="7"/>
      <c r="X149" s="7"/>
    </row>
    <row r="150">
      <c r="A150" s="74">
        <v>1.0</v>
      </c>
      <c r="B150" s="45">
        <v>45837.39945601852</v>
      </c>
      <c r="C150" s="7" t="s">
        <v>911</v>
      </c>
      <c r="D150" s="7" t="s">
        <v>60</v>
      </c>
      <c r="E150" s="74">
        <v>1.0</v>
      </c>
      <c r="F150" s="46"/>
      <c r="G150" s="47">
        <v>36.57</v>
      </c>
      <c r="H150" s="47">
        <v>0.0</v>
      </c>
      <c r="I150" s="7"/>
      <c r="J150" s="47">
        <v>1.36</v>
      </c>
      <c r="K150" s="8">
        <f t="shared" si="1"/>
        <v>35.21</v>
      </c>
      <c r="L150" s="8"/>
      <c r="M150" s="7"/>
      <c r="N150" s="7"/>
      <c r="O150" s="7"/>
      <c r="P150" s="7"/>
      <c r="Q150" s="7" t="s">
        <v>490</v>
      </c>
      <c r="R150" s="7" t="s">
        <v>912</v>
      </c>
      <c r="S150" s="7"/>
      <c r="T150" s="7" t="s">
        <v>913</v>
      </c>
      <c r="U150" s="7" t="s">
        <v>493</v>
      </c>
      <c r="V150" s="65">
        <v>1305.0</v>
      </c>
      <c r="W150" s="7"/>
      <c r="X150" s="7"/>
    </row>
    <row r="151">
      <c r="A151" s="74">
        <v>1.0</v>
      </c>
      <c r="B151" s="45">
        <v>45837.20553240741</v>
      </c>
      <c r="C151" s="7" t="s">
        <v>914</v>
      </c>
      <c r="D151" s="7" t="s">
        <v>60</v>
      </c>
      <c r="E151" s="74">
        <v>1.0</v>
      </c>
      <c r="F151" s="46"/>
      <c r="G151" s="47">
        <v>36.26</v>
      </c>
      <c r="H151" s="47">
        <v>0.0</v>
      </c>
      <c r="I151" s="7"/>
      <c r="J151" s="47">
        <v>1.35</v>
      </c>
      <c r="K151" s="8">
        <f t="shared" si="1"/>
        <v>34.91</v>
      </c>
      <c r="L151" s="8"/>
      <c r="M151" s="7"/>
      <c r="N151" s="7"/>
      <c r="O151" s="7"/>
      <c r="P151" s="7"/>
      <c r="Q151" s="7" t="s">
        <v>490</v>
      </c>
      <c r="R151" s="7" t="s">
        <v>915</v>
      </c>
      <c r="S151" s="7"/>
      <c r="T151" s="7" t="s">
        <v>916</v>
      </c>
      <c r="U151" s="7" t="s">
        <v>493</v>
      </c>
      <c r="V151" s="65">
        <v>1296.0</v>
      </c>
      <c r="W151" s="7"/>
      <c r="X151" s="7"/>
    </row>
    <row r="152">
      <c r="A152" s="74">
        <v>1.0</v>
      </c>
      <c r="B152" s="45">
        <v>45837.197696759256</v>
      </c>
      <c r="C152" s="7" t="s">
        <v>917</v>
      </c>
      <c r="D152" s="7" t="s">
        <v>60</v>
      </c>
      <c r="E152" s="74">
        <v>1.0</v>
      </c>
      <c r="F152" s="46"/>
      <c r="G152" s="47">
        <v>47.13</v>
      </c>
      <c r="H152" s="47">
        <v>0.0</v>
      </c>
      <c r="I152" s="7"/>
      <c r="J152" s="47">
        <v>2.37</v>
      </c>
      <c r="K152" s="8">
        <f t="shared" si="1"/>
        <v>44.76</v>
      </c>
      <c r="L152" s="8"/>
      <c r="M152" s="7"/>
      <c r="N152" s="7"/>
      <c r="O152" s="7"/>
      <c r="P152" s="7"/>
      <c r="Q152" s="7" t="s">
        <v>490</v>
      </c>
      <c r="R152" s="7" t="s">
        <v>918</v>
      </c>
      <c r="S152" s="7" t="s">
        <v>919</v>
      </c>
      <c r="T152" s="7" t="s">
        <v>920</v>
      </c>
      <c r="U152" s="7" t="s">
        <v>497</v>
      </c>
      <c r="V152" s="65">
        <v>1294.0</v>
      </c>
      <c r="W152" s="7"/>
      <c r="X152" s="7"/>
    </row>
    <row r="153">
      <c r="A153" s="74">
        <v>1.0</v>
      </c>
      <c r="B153" s="45">
        <v>45837.07533564815</v>
      </c>
      <c r="C153" s="7" t="s">
        <v>921</v>
      </c>
      <c r="D153" s="7" t="s">
        <v>60</v>
      </c>
      <c r="E153" s="74">
        <v>1.0</v>
      </c>
      <c r="F153" s="46"/>
      <c r="G153" s="47">
        <v>34.5</v>
      </c>
      <c r="H153" s="47">
        <v>0.0</v>
      </c>
      <c r="I153" s="7"/>
      <c r="J153" s="47">
        <v>1.3</v>
      </c>
      <c r="K153" s="8">
        <f t="shared" si="1"/>
        <v>33.2</v>
      </c>
      <c r="L153" s="8"/>
      <c r="M153" s="7"/>
      <c r="N153" s="7"/>
      <c r="O153" s="7"/>
      <c r="P153" s="7"/>
      <c r="Q153" s="7" t="s">
        <v>490</v>
      </c>
      <c r="R153" s="7" t="s">
        <v>922</v>
      </c>
      <c r="S153" s="7"/>
      <c r="T153" s="7" t="s">
        <v>923</v>
      </c>
      <c r="U153" s="7" t="s">
        <v>493</v>
      </c>
      <c r="V153" s="65">
        <v>1285.0</v>
      </c>
      <c r="W153" s="7"/>
      <c r="X153" s="7"/>
    </row>
    <row r="154">
      <c r="A154" s="74">
        <v>1.0</v>
      </c>
      <c r="B154" s="45">
        <v>45837.04800925926</v>
      </c>
      <c r="C154" s="7" t="s">
        <v>924</v>
      </c>
      <c r="D154" s="7" t="s">
        <v>60</v>
      </c>
      <c r="E154" s="74">
        <v>1.0</v>
      </c>
      <c r="F154" s="46"/>
      <c r="G154" s="47">
        <v>34.32</v>
      </c>
      <c r="H154" s="47">
        <v>0.0</v>
      </c>
      <c r="I154" s="7"/>
      <c r="J154" s="47">
        <v>1.3</v>
      </c>
      <c r="K154" s="8">
        <f t="shared" si="1"/>
        <v>33.02</v>
      </c>
      <c r="L154" s="8"/>
      <c r="M154" s="7"/>
      <c r="N154" s="7"/>
      <c r="O154" s="7"/>
      <c r="P154" s="7"/>
      <c r="Q154" s="7" t="s">
        <v>490</v>
      </c>
      <c r="R154" s="7" t="s">
        <v>925</v>
      </c>
      <c r="S154" s="7"/>
      <c r="T154" s="7" t="s">
        <v>926</v>
      </c>
      <c r="U154" s="7" t="s">
        <v>493</v>
      </c>
      <c r="V154" s="65">
        <v>1284.0</v>
      </c>
      <c r="W154" s="7"/>
      <c r="X154" s="7"/>
    </row>
    <row r="155">
      <c r="A155" s="74">
        <v>1.0</v>
      </c>
      <c r="B155" s="45">
        <v>45836.826689814814</v>
      </c>
      <c r="C155" s="7" t="s">
        <v>253</v>
      </c>
      <c r="D155" s="7" t="s">
        <v>60</v>
      </c>
      <c r="E155" s="74">
        <v>1.0</v>
      </c>
      <c r="F155" s="46"/>
      <c r="G155" s="47">
        <v>34.5</v>
      </c>
      <c r="H155" s="47">
        <v>0.0</v>
      </c>
      <c r="I155" s="7"/>
      <c r="J155" s="47">
        <v>1.3</v>
      </c>
      <c r="K155" s="8">
        <f t="shared" si="1"/>
        <v>33.2</v>
      </c>
      <c r="L155" s="8"/>
      <c r="M155" s="7"/>
      <c r="N155" s="7"/>
      <c r="O155" s="7"/>
      <c r="P155" s="7"/>
      <c r="Q155" s="7" t="s">
        <v>490</v>
      </c>
      <c r="R155" s="7" t="s">
        <v>927</v>
      </c>
      <c r="S155" s="7"/>
      <c r="T155" s="7" t="s">
        <v>928</v>
      </c>
      <c r="U155" s="7" t="s">
        <v>493</v>
      </c>
      <c r="V155" s="65">
        <v>1274.0</v>
      </c>
      <c r="W155" s="7"/>
      <c r="X155" s="7"/>
    </row>
    <row r="156">
      <c r="A156" s="74">
        <v>1.0</v>
      </c>
      <c r="B156" s="45">
        <v>45836.81762731481</v>
      </c>
      <c r="C156" s="7" t="s">
        <v>304</v>
      </c>
      <c r="D156" s="7" t="s">
        <v>60</v>
      </c>
      <c r="E156" s="74">
        <v>1.0</v>
      </c>
      <c r="F156" s="46"/>
      <c r="G156" s="47">
        <v>34.5</v>
      </c>
      <c r="H156" s="47">
        <v>0.0</v>
      </c>
      <c r="I156" s="7"/>
      <c r="J156" s="47">
        <v>1.3</v>
      </c>
      <c r="K156" s="8">
        <f t="shared" si="1"/>
        <v>33.2</v>
      </c>
      <c r="L156" s="8"/>
      <c r="M156" s="7"/>
      <c r="N156" s="7"/>
      <c r="O156" s="7"/>
      <c r="P156" s="7"/>
      <c r="Q156" s="7" t="s">
        <v>490</v>
      </c>
      <c r="R156" s="7" t="s">
        <v>774</v>
      </c>
      <c r="S156" s="7"/>
      <c r="T156" s="7" t="s">
        <v>775</v>
      </c>
      <c r="U156" s="7" t="s">
        <v>493</v>
      </c>
      <c r="V156" s="65">
        <v>1273.0</v>
      </c>
      <c r="W156" s="7"/>
      <c r="X156" s="7"/>
    </row>
    <row r="157">
      <c r="A157" s="74">
        <v>1.0</v>
      </c>
      <c r="B157" s="45">
        <v>45836.79009259259</v>
      </c>
      <c r="C157" s="7" t="s">
        <v>929</v>
      </c>
      <c r="D157" s="7" t="s">
        <v>60</v>
      </c>
      <c r="E157" s="74">
        <v>1.0</v>
      </c>
      <c r="F157" s="46"/>
      <c r="G157" s="47">
        <v>46.63</v>
      </c>
      <c r="H157" s="47">
        <v>0.0</v>
      </c>
      <c r="I157" s="7"/>
      <c r="J157" s="47">
        <v>2.35</v>
      </c>
      <c r="K157" s="8">
        <f t="shared" si="1"/>
        <v>44.28</v>
      </c>
      <c r="L157" s="8"/>
      <c r="M157" s="7"/>
      <c r="N157" s="7"/>
      <c r="O157" s="7"/>
      <c r="P157" s="7"/>
      <c r="Q157" s="7" t="s">
        <v>490</v>
      </c>
      <c r="R157" s="7"/>
      <c r="S157" s="7"/>
      <c r="T157" s="7"/>
      <c r="U157" s="7" t="s">
        <v>545</v>
      </c>
      <c r="V157" s="65">
        <v>1272.0</v>
      </c>
      <c r="W157" s="7"/>
      <c r="X157" s="7"/>
    </row>
    <row r="158">
      <c r="A158" s="74">
        <v>1.0</v>
      </c>
      <c r="B158" s="45">
        <v>45836.71608796297</v>
      </c>
      <c r="C158" s="7" t="s">
        <v>930</v>
      </c>
      <c r="D158" s="7" t="s">
        <v>577</v>
      </c>
      <c r="E158" s="74">
        <v>2.0</v>
      </c>
      <c r="F158" s="46"/>
      <c r="G158" s="47">
        <v>74.23</v>
      </c>
      <c r="H158" s="47">
        <v>0.0</v>
      </c>
      <c r="I158" s="7"/>
      <c r="J158" s="47">
        <v>3.57</v>
      </c>
      <c r="K158" s="8">
        <f t="shared" si="1"/>
        <v>70.66</v>
      </c>
      <c r="L158" s="8"/>
      <c r="M158" s="7"/>
      <c r="N158" s="7"/>
      <c r="O158" s="7"/>
      <c r="P158" s="7"/>
      <c r="Q158" s="7" t="s">
        <v>490</v>
      </c>
      <c r="R158" s="7" t="s">
        <v>931</v>
      </c>
      <c r="S158" s="7"/>
      <c r="T158" s="7" t="s">
        <v>932</v>
      </c>
      <c r="U158" s="7" t="s">
        <v>525</v>
      </c>
      <c r="V158" s="65">
        <v>1258.0</v>
      </c>
      <c r="W158" s="7"/>
      <c r="X158" s="7"/>
    </row>
    <row r="159">
      <c r="A159" s="74">
        <v>1.0</v>
      </c>
      <c r="B159" s="45">
        <v>45836.68446759259</v>
      </c>
      <c r="C159" s="7" t="s">
        <v>347</v>
      </c>
      <c r="D159" s="7" t="s">
        <v>60</v>
      </c>
      <c r="E159" s="74">
        <v>1.0</v>
      </c>
      <c r="F159" s="46"/>
      <c r="G159" s="47">
        <v>34.5</v>
      </c>
      <c r="H159" s="47">
        <v>0.0</v>
      </c>
      <c r="I159" s="7"/>
      <c r="J159" s="47">
        <v>1.3</v>
      </c>
      <c r="K159" s="8">
        <f t="shared" si="1"/>
        <v>33.2</v>
      </c>
      <c r="L159" s="8"/>
      <c r="M159" s="7"/>
      <c r="N159" s="7"/>
      <c r="O159" s="7"/>
      <c r="P159" s="7"/>
      <c r="Q159" s="7" t="s">
        <v>490</v>
      </c>
      <c r="R159" s="7" t="s">
        <v>933</v>
      </c>
      <c r="S159" s="7"/>
      <c r="T159" s="7" t="s">
        <v>934</v>
      </c>
      <c r="U159" s="7" t="s">
        <v>493</v>
      </c>
      <c r="V159" s="65">
        <v>1255.0</v>
      </c>
      <c r="W159" s="7"/>
      <c r="X159" s="7"/>
    </row>
    <row r="160">
      <c r="A160" s="74">
        <v>1.0</v>
      </c>
      <c r="B160" s="45">
        <v>45836.67053240741</v>
      </c>
      <c r="C160" s="7" t="s">
        <v>935</v>
      </c>
      <c r="D160" s="7" t="s">
        <v>60</v>
      </c>
      <c r="E160" s="74">
        <v>1.0</v>
      </c>
      <c r="F160" s="46"/>
      <c r="G160" s="47">
        <v>49.13</v>
      </c>
      <c r="H160" s="47">
        <v>0.0</v>
      </c>
      <c r="I160" s="7"/>
      <c r="J160" s="47">
        <v>2.46</v>
      </c>
      <c r="K160" s="8">
        <f t="shared" si="1"/>
        <v>46.67</v>
      </c>
      <c r="L160" s="8"/>
      <c r="M160" s="7"/>
      <c r="N160" s="7"/>
      <c r="O160" s="7"/>
      <c r="P160" s="7"/>
      <c r="Q160" s="7" t="s">
        <v>490</v>
      </c>
      <c r="R160" s="7" t="s">
        <v>936</v>
      </c>
      <c r="S160" s="7" t="s">
        <v>937</v>
      </c>
      <c r="T160" s="7" t="s">
        <v>938</v>
      </c>
      <c r="U160" s="7" t="s">
        <v>939</v>
      </c>
      <c r="V160" s="65">
        <v>1253.0</v>
      </c>
      <c r="W160" s="7"/>
      <c r="X160" s="7"/>
    </row>
    <row r="161">
      <c r="A161" s="74">
        <v>1.0</v>
      </c>
      <c r="B161" s="45">
        <v>45836.6622337963</v>
      </c>
      <c r="C161" s="7" t="s">
        <v>223</v>
      </c>
      <c r="D161" s="7" t="s">
        <v>60</v>
      </c>
      <c r="E161" s="74">
        <v>1.0</v>
      </c>
      <c r="F161" s="46"/>
      <c r="G161" s="47">
        <v>34.32</v>
      </c>
      <c r="H161" s="47">
        <v>0.0</v>
      </c>
      <c r="I161" s="7"/>
      <c r="J161" s="47">
        <v>1.3</v>
      </c>
      <c r="K161" s="8">
        <f t="shared" si="1"/>
        <v>33.02</v>
      </c>
      <c r="L161" s="8"/>
      <c r="M161" s="7"/>
      <c r="N161" s="7"/>
      <c r="O161" s="7"/>
      <c r="P161" s="7"/>
      <c r="Q161" s="7" t="s">
        <v>490</v>
      </c>
      <c r="R161" s="7" t="s">
        <v>940</v>
      </c>
      <c r="S161" s="7"/>
      <c r="T161" s="7" t="s">
        <v>941</v>
      </c>
      <c r="U161" s="7" t="s">
        <v>493</v>
      </c>
      <c r="V161" s="65">
        <v>1252.0</v>
      </c>
      <c r="W161" s="7"/>
      <c r="X161" s="7"/>
    </row>
    <row r="162">
      <c r="A162" s="74">
        <v>1.0</v>
      </c>
      <c r="B162" s="45">
        <v>45836.658229166664</v>
      </c>
      <c r="C162" s="7" t="s">
        <v>112</v>
      </c>
      <c r="D162" s="7" t="s">
        <v>577</v>
      </c>
      <c r="E162" s="74">
        <v>2.0</v>
      </c>
      <c r="F162" s="46"/>
      <c r="G162" s="47">
        <v>72.25</v>
      </c>
      <c r="H162" s="47">
        <v>0.0</v>
      </c>
      <c r="I162" s="7"/>
      <c r="J162" s="47">
        <v>3.48</v>
      </c>
      <c r="K162" s="8">
        <f t="shared" si="1"/>
        <v>68.77</v>
      </c>
      <c r="L162" s="8"/>
      <c r="M162" s="7"/>
      <c r="N162" s="7"/>
      <c r="O162" s="7"/>
      <c r="P162" s="7"/>
      <c r="Q162" s="7" t="s">
        <v>490</v>
      </c>
      <c r="R162" s="7" t="s">
        <v>942</v>
      </c>
      <c r="S162" s="7"/>
      <c r="T162" s="7" t="s">
        <v>943</v>
      </c>
      <c r="U162" s="7" t="s">
        <v>545</v>
      </c>
      <c r="V162" s="65">
        <v>1251.0</v>
      </c>
      <c r="W162" s="7"/>
      <c r="X162" s="7"/>
    </row>
    <row r="163">
      <c r="A163" s="74">
        <v>1.0</v>
      </c>
      <c r="B163" s="45">
        <v>45836.62368055555</v>
      </c>
      <c r="C163" s="7" t="s">
        <v>944</v>
      </c>
      <c r="D163" s="7" t="s">
        <v>60</v>
      </c>
      <c r="E163" s="74">
        <v>1.0</v>
      </c>
      <c r="F163" s="46"/>
      <c r="G163" s="47">
        <v>34.5</v>
      </c>
      <c r="H163" s="47">
        <v>0.0</v>
      </c>
      <c r="I163" s="7"/>
      <c r="J163" s="47">
        <v>1.82</v>
      </c>
      <c r="K163" s="8">
        <f t="shared" si="1"/>
        <v>32.68</v>
      </c>
      <c r="L163" s="8"/>
      <c r="M163" s="7"/>
      <c r="N163" s="7"/>
      <c r="O163" s="7"/>
      <c r="P163" s="7"/>
      <c r="Q163" s="7" t="s">
        <v>490</v>
      </c>
      <c r="R163" s="7" t="s">
        <v>945</v>
      </c>
      <c r="S163" s="7" t="s">
        <v>946</v>
      </c>
      <c r="T163" s="7" t="s">
        <v>947</v>
      </c>
      <c r="U163" s="7" t="s">
        <v>948</v>
      </c>
      <c r="V163" s="65">
        <v>1244.0</v>
      </c>
      <c r="W163" s="7"/>
      <c r="X163" s="7"/>
    </row>
    <row r="164">
      <c r="A164" s="74">
        <v>1.0</v>
      </c>
      <c r="B164" s="45">
        <v>45836.5883912037</v>
      </c>
      <c r="C164" s="7" t="s">
        <v>949</v>
      </c>
      <c r="D164" s="7" t="s">
        <v>60</v>
      </c>
      <c r="E164" s="74">
        <v>1.0</v>
      </c>
      <c r="F164" s="46"/>
      <c r="G164" s="47">
        <v>34.5</v>
      </c>
      <c r="H164" s="47">
        <v>0.0</v>
      </c>
      <c r="I164" s="7"/>
      <c r="J164" s="47">
        <v>1.3</v>
      </c>
      <c r="K164" s="8">
        <f t="shared" si="1"/>
        <v>33.2</v>
      </c>
      <c r="L164" s="8"/>
      <c r="M164" s="7"/>
      <c r="N164" s="7"/>
      <c r="O164" s="7"/>
      <c r="P164" s="7"/>
      <c r="Q164" s="7" t="s">
        <v>490</v>
      </c>
      <c r="R164" s="7" t="s">
        <v>950</v>
      </c>
      <c r="S164" s="7"/>
      <c r="T164" s="7" t="s">
        <v>951</v>
      </c>
      <c r="U164" s="7" t="s">
        <v>493</v>
      </c>
      <c r="V164" s="65">
        <v>1240.0</v>
      </c>
      <c r="W164" s="7"/>
      <c r="X164" s="7"/>
    </row>
    <row r="165">
      <c r="A165" s="74">
        <v>1.0</v>
      </c>
      <c r="B165" s="45">
        <v>45836.50565972222</v>
      </c>
      <c r="C165" s="7" t="s">
        <v>952</v>
      </c>
      <c r="D165" s="7" t="s">
        <v>60</v>
      </c>
      <c r="E165" s="74">
        <v>1.0</v>
      </c>
      <c r="F165" s="46"/>
      <c r="G165" s="47">
        <v>34.5</v>
      </c>
      <c r="H165" s="47">
        <v>0.0</v>
      </c>
      <c r="I165" s="7"/>
      <c r="J165" s="47">
        <v>1.3</v>
      </c>
      <c r="K165" s="8">
        <f t="shared" si="1"/>
        <v>33.2</v>
      </c>
      <c r="L165" s="8"/>
      <c r="M165" s="7"/>
      <c r="N165" s="7"/>
      <c r="O165" s="7"/>
      <c r="P165" s="7"/>
      <c r="Q165" s="7" t="s">
        <v>490</v>
      </c>
      <c r="R165" s="7" t="s">
        <v>953</v>
      </c>
      <c r="S165" s="7" t="s">
        <v>954</v>
      </c>
      <c r="T165" s="7" t="s">
        <v>955</v>
      </c>
      <c r="U165" s="7" t="s">
        <v>493</v>
      </c>
      <c r="V165" s="65">
        <v>1226.0</v>
      </c>
      <c r="W165" s="7"/>
      <c r="X165" s="7"/>
    </row>
    <row r="166">
      <c r="A166" s="74">
        <v>1.0</v>
      </c>
      <c r="B166" s="45">
        <v>45836.49563657407</v>
      </c>
      <c r="C166" s="7" t="s">
        <v>956</v>
      </c>
      <c r="D166" s="7" t="s">
        <v>60</v>
      </c>
      <c r="E166" s="74">
        <v>1.0</v>
      </c>
      <c r="F166" s="46"/>
      <c r="G166" s="47">
        <v>34.5</v>
      </c>
      <c r="H166" s="47">
        <v>0.0</v>
      </c>
      <c r="I166" s="7"/>
      <c r="J166" s="47">
        <v>1.3</v>
      </c>
      <c r="K166" s="8">
        <f t="shared" si="1"/>
        <v>33.2</v>
      </c>
      <c r="L166" s="8"/>
      <c r="M166" s="7"/>
      <c r="N166" s="7"/>
      <c r="O166" s="7"/>
      <c r="P166" s="7"/>
      <c r="Q166" s="7" t="s">
        <v>490</v>
      </c>
      <c r="R166" s="7" t="s">
        <v>957</v>
      </c>
      <c r="S166" s="7"/>
      <c r="T166" s="7" t="s">
        <v>958</v>
      </c>
      <c r="U166" s="7" t="s">
        <v>493</v>
      </c>
      <c r="V166" s="65">
        <v>1225.0</v>
      </c>
      <c r="W166" s="7"/>
      <c r="X166" s="7"/>
    </row>
    <row r="167">
      <c r="A167" s="74">
        <v>1.0</v>
      </c>
      <c r="B167" s="45">
        <v>45836.461168981485</v>
      </c>
      <c r="C167" s="7" t="s">
        <v>389</v>
      </c>
      <c r="D167" s="7" t="s">
        <v>60</v>
      </c>
      <c r="E167" s="74">
        <v>1.0</v>
      </c>
      <c r="F167" s="46"/>
      <c r="G167" s="47">
        <v>49.13</v>
      </c>
      <c r="H167" s="47">
        <v>0.0</v>
      </c>
      <c r="I167" s="7"/>
      <c r="J167" s="47">
        <v>2.46</v>
      </c>
      <c r="K167" s="8">
        <f t="shared" si="1"/>
        <v>46.67</v>
      </c>
      <c r="L167" s="8"/>
      <c r="M167" s="7"/>
      <c r="N167" s="7"/>
      <c r="O167" s="7"/>
      <c r="P167" s="7"/>
      <c r="Q167" s="7" t="s">
        <v>490</v>
      </c>
      <c r="R167" s="7" t="s">
        <v>959</v>
      </c>
      <c r="S167" s="7"/>
      <c r="T167" s="7" t="s">
        <v>960</v>
      </c>
      <c r="U167" s="7" t="s">
        <v>525</v>
      </c>
      <c r="V167" s="65">
        <v>1220.0</v>
      </c>
      <c r="W167" s="7"/>
      <c r="X167" s="7"/>
    </row>
    <row r="168">
      <c r="A168" s="74">
        <v>1.0</v>
      </c>
      <c r="B168" s="45">
        <v>45836.39127314815</v>
      </c>
      <c r="C168" s="7" t="s">
        <v>383</v>
      </c>
      <c r="D168" s="7" t="s">
        <v>60</v>
      </c>
      <c r="E168" s="74">
        <v>1.0</v>
      </c>
      <c r="F168" s="46"/>
      <c r="G168" s="47">
        <v>49.13</v>
      </c>
      <c r="H168" s="47">
        <v>0.0</v>
      </c>
      <c r="I168" s="7"/>
      <c r="J168" s="47">
        <v>2.46</v>
      </c>
      <c r="K168" s="8">
        <f t="shared" si="1"/>
        <v>46.67</v>
      </c>
      <c r="L168" s="8"/>
      <c r="M168" s="7"/>
      <c r="N168" s="7"/>
      <c r="O168" s="7"/>
      <c r="P168" s="7"/>
      <c r="Q168" s="7" t="s">
        <v>490</v>
      </c>
      <c r="R168" s="7" t="s">
        <v>961</v>
      </c>
      <c r="S168" s="7"/>
      <c r="T168" s="7" t="s">
        <v>962</v>
      </c>
      <c r="U168" s="7" t="s">
        <v>726</v>
      </c>
      <c r="V168" s="65">
        <v>1216.0</v>
      </c>
      <c r="W168" s="7"/>
      <c r="X168" s="7"/>
    </row>
    <row r="169">
      <c r="A169" s="74">
        <v>1.0</v>
      </c>
      <c r="B169" s="45">
        <v>45836.38319444445</v>
      </c>
      <c r="C169" s="7" t="s">
        <v>963</v>
      </c>
      <c r="D169" s="7" t="s">
        <v>577</v>
      </c>
      <c r="E169" s="74">
        <v>2.0</v>
      </c>
      <c r="F169" s="46"/>
      <c r="G169" s="47">
        <v>76.36</v>
      </c>
      <c r="H169" s="47">
        <v>0.0</v>
      </c>
      <c r="I169" s="7"/>
      <c r="J169" s="47">
        <v>3.66</v>
      </c>
      <c r="K169" s="8">
        <f t="shared" si="1"/>
        <v>72.7</v>
      </c>
      <c r="L169" s="8"/>
      <c r="M169" s="7"/>
      <c r="N169" s="7"/>
      <c r="O169" s="7"/>
      <c r="P169" s="7"/>
      <c r="Q169" s="7" t="s">
        <v>490</v>
      </c>
      <c r="R169" s="7"/>
      <c r="S169" s="7"/>
      <c r="T169" s="7"/>
      <c r="U169" s="7" t="s">
        <v>521</v>
      </c>
      <c r="V169" s="65">
        <v>1217.0</v>
      </c>
      <c r="W169" s="7"/>
      <c r="X169" s="7"/>
    </row>
    <row r="170">
      <c r="A170" s="74">
        <v>1.0</v>
      </c>
      <c r="B170" s="45">
        <v>45836.35309027778</v>
      </c>
      <c r="C170" s="7" t="s">
        <v>205</v>
      </c>
      <c r="D170" s="7" t="s">
        <v>60</v>
      </c>
      <c r="E170" s="74">
        <v>1.0</v>
      </c>
      <c r="F170" s="46"/>
      <c r="G170" s="47">
        <v>48.72</v>
      </c>
      <c r="H170" s="47">
        <v>0.0</v>
      </c>
      <c r="I170" s="7"/>
      <c r="J170" s="47">
        <v>2.44</v>
      </c>
      <c r="K170" s="8">
        <f t="shared" si="1"/>
        <v>46.28</v>
      </c>
      <c r="L170" s="8"/>
      <c r="M170" s="7"/>
      <c r="N170" s="7"/>
      <c r="O170" s="7"/>
      <c r="P170" s="7"/>
      <c r="Q170" s="7" t="s">
        <v>490</v>
      </c>
      <c r="R170" s="7" t="s">
        <v>964</v>
      </c>
      <c r="S170" s="65">
        <v>7.0</v>
      </c>
      <c r="T170" s="7" t="s">
        <v>965</v>
      </c>
      <c r="U170" s="7" t="s">
        <v>966</v>
      </c>
      <c r="V170" s="65">
        <v>1215.0</v>
      </c>
      <c r="W170" s="7"/>
      <c r="X170" s="7"/>
    </row>
    <row r="171">
      <c r="A171" s="74">
        <v>1.0</v>
      </c>
      <c r="B171" s="45">
        <v>45836.31984953704</v>
      </c>
      <c r="C171" s="7" t="s">
        <v>967</v>
      </c>
      <c r="D171" s="7" t="s">
        <v>60</v>
      </c>
      <c r="E171" s="74">
        <v>1.0</v>
      </c>
      <c r="F171" s="46"/>
      <c r="G171" s="47">
        <v>34.5</v>
      </c>
      <c r="H171" s="47">
        <v>0.0</v>
      </c>
      <c r="I171" s="7"/>
      <c r="J171" s="47">
        <v>1.3</v>
      </c>
      <c r="K171" s="8">
        <f t="shared" si="1"/>
        <v>33.2</v>
      </c>
      <c r="L171" s="8"/>
      <c r="M171" s="7"/>
      <c r="N171" s="7"/>
      <c r="O171" s="7"/>
      <c r="P171" s="7"/>
      <c r="Q171" s="7" t="s">
        <v>490</v>
      </c>
      <c r="R171" s="7"/>
      <c r="S171" s="7"/>
      <c r="T171" s="7"/>
      <c r="U171" s="7" t="s">
        <v>493</v>
      </c>
      <c r="V171" s="65">
        <v>1212.0</v>
      </c>
      <c r="W171" s="7"/>
      <c r="X171" s="7"/>
    </row>
    <row r="172">
      <c r="A172" s="74">
        <v>1.0</v>
      </c>
      <c r="B172" s="45">
        <v>45836.293125</v>
      </c>
      <c r="C172" s="7" t="s">
        <v>296</v>
      </c>
      <c r="D172" s="7" t="s">
        <v>60</v>
      </c>
      <c r="E172" s="74">
        <v>1.0</v>
      </c>
      <c r="F172" s="46"/>
      <c r="G172" s="47">
        <v>49.13</v>
      </c>
      <c r="H172" s="47">
        <v>0.0</v>
      </c>
      <c r="I172" s="7"/>
      <c r="J172" s="47">
        <v>2.46</v>
      </c>
      <c r="K172" s="8">
        <f t="shared" si="1"/>
        <v>46.67</v>
      </c>
      <c r="L172" s="8"/>
      <c r="M172" s="7"/>
      <c r="N172" s="7"/>
      <c r="O172" s="7"/>
      <c r="P172" s="7"/>
      <c r="Q172" s="7" t="s">
        <v>490</v>
      </c>
      <c r="R172" s="7" t="s">
        <v>968</v>
      </c>
      <c r="S172" s="7"/>
      <c r="T172" s="7" t="s">
        <v>969</v>
      </c>
      <c r="U172" s="7" t="s">
        <v>617</v>
      </c>
      <c r="V172" s="65">
        <v>1210.0</v>
      </c>
      <c r="W172" s="7"/>
      <c r="X172" s="7"/>
    </row>
    <row r="173">
      <c r="A173" s="74">
        <v>1.0</v>
      </c>
      <c r="B173" s="45">
        <v>45836.20543981482</v>
      </c>
      <c r="C173" s="7" t="s">
        <v>970</v>
      </c>
      <c r="D173" s="7" t="s">
        <v>60</v>
      </c>
      <c r="E173" s="74">
        <v>1.0</v>
      </c>
      <c r="F173" s="46"/>
      <c r="G173" s="47">
        <v>34.5</v>
      </c>
      <c r="H173" s="47">
        <v>0.0</v>
      </c>
      <c r="I173" s="7"/>
      <c r="J173" s="47">
        <v>1.3</v>
      </c>
      <c r="K173" s="8">
        <f t="shared" si="1"/>
        <v>33.2</v>
      </c>
      <c r="L173" s="8"/>
      <c r="M173" s="7"/>
      <c r="N173" s="7"/>
      <c r="O173" s="7"/>
      <c r="P173" s="7"/>
      <c r="Q173" s="7" t="s">
        <v>490</v>
      </c>
      <c r="R173" s="65">
        <v>629.0</v>
      </c>
      <c r="S173" s="7" t="s">
        <v>971</v>
      </c>
      <c r="T173" s="7" t="s">
        <v>972</v>
      </c>
      <c r="U173" s="7" t="s">
        <v>493</v>
      </c>
      <c r="V173" s="65">
        <v>1181.0</v>
      </c>
      <c r="W173" s="7"/>
      <c r="X173" s="7"/>
    </row>
    <row r="174">
      <c r="A174" s="74">
        <v>1.0</v>
      </c>
      <c r="B174" s="45">
        <v>45836.200370370374</v>
      </c>
      <c r="C174" s="7" t="s">
        <v>352</v>
      </c>
      <c r="D174" s="7" t="s">
        <v>60</v>
      </c>
      <c r="E174" s="74">
        <v>1.0</v>
      </c>
      <c r="F174" s="46"/>
      <c r="G174" s="47">
        <v>49.94</v>
      </c>
      <c r="H174" s="47">
        <v>0.0</v>
      </c>
      <c r="I174" s="7"/>
      <c r="J174" s="47">
        <v>2.5</v>
      </c>
      <c r="K174" s="8">
        <f t="shared" si="1"/>
        <v>47.44</v>
      </c>
      <c r="L174" s="8"/>
      <c r="M174" s="7"/>
      <c r="N174" s="7"/>
      <c r="O174" s="7"/>
      <c r="P174" s="7"/>
      <c r="Q174" s="7" t="s">
        <v>490</v>
      </c>
      <c r="R174" s="7"/>
      <c r="S174" s="7"/>
      <c r="T174" s="7"/>
      <c r="U174" s="7" t="s">
        <v>973</v>
      </c>
      <c r="V174" s="65">
        <v>1178.0</v>
      </c>
      <c r="W174" s="7"/>
      <c r="X174" s="7"/>
    </row>
    <row r="175">
      <c r="A175" s="74">
        <v>1.0</v>
      </c>
      <c r="B175" s="45">
        <v>45836.17983796296</v>
      </c>
      <c r="C175" s="7" t="s">
        <v>974</v>
      </c>
      <c r="D175" s="7" t="s">
        <v>60</v>
      </c>
      <c r="E175" s="74">
        <v>1.0</v>
      </c>
      <c r="F175" s="46"/>
      <c r="G175" s="47">
        <v>34.5</v>
      </c>
      <c r="H175" s="47">
        <v>0.0</v>
      </c>
      <c r="I175" s="7"/>
      <c r="J175" s="47">
        <v>1.3</v>
      </c>
      <c r="K175" s="8">
        <f t="shared" si="1"/>
        <v>33.2</v>
      </c>
      <c r="L175" s="8"/>
      <c r="M175" s="7"/>
      <c r="N175" s="7"/>
      <c r="O175" s="7"/>
      <c r="P175" s="7"/>
      <c r="Q175" s="7" t="s">
        <v>490</v>
      </c>
      <c r="R175" s="7" t="s">
        <v>975</v>
      </c>
      <c r="S175" s="7"/>
      <c r="T175" s="7" t="s">
        <v>976</v>
      </c>
      <c r="U175" s="7" t="s">
        <v>493</v>
      </c>
      <c r="V175" s="65">
        <v>1174.0</v>
      </c>
      <c r="W175" s="7"/>
      <c r="X175" s="7"/>
    </row>
    <row r="176">
      <c r="A176" s="74">
        <v>1.0</v>
      </c>
      <c r="B176" s="45">
        <v>45836.16143518518</v>
      </c>
      <c r="C176" s="7" t="s">
        <v>977</v>
      </c>
      <c r="D176" s="7" t="s">
        <v>60</v>
      </c>
      <c r="E176" s="74">
        <v>1.0</v>
      </c>
      <c r="F176" s="46"/>
      <c r="G176" s="47">
        <v>34.07</v>
      </c>
      <c r="H176" s="47">
        <v>0.0</v>
      </c>
      <c r="I176" s="7"/>
      <c r="J176" s="47">
        <v>1.29</v>
      </c>
      <c r="K176" s="8">
        <f t="shared" si="1"/>
        <v>32.78</v>
      </c>
      <c r="L176" s="8"/>
      <c r="M176" s="7"/>
      <c r="N176" s="7"/>
      <c r="O176" s="7"/>
      <c r="P176" s="7"/>
      <c r="Q176" s="7" t="s">
        <v>490</v>
      </c>
      <c r="R176" s="7" t="s">
        <v>978</v>
      </c>
      <c r="S176" s="7" t="s">
        <v>979</v>
      </c>
      <c r="T176" s="7" t="s">
        <v>980</v>
      </c>
      <c r="U176" s="7" t="s">
        <v>493</v>
      </c>
      <c r="V176" s="65">
        <v>1171.0</v>
      </c>
      <c r="W176" s="7"/>
      <c r="X176" s="7"/>
    </row>
    <row r="177">
      <c r="A177" s="74">
        <v>1.0</v>
      </c>
      <c r="B177" s="45">
        <v>45836.138194444444</v>
      </c>
      <c r="C177" s="7" t="s">
        <v>981</v>
      </c>
      <c r="D177" s="7" t="s">
        <v>60</v>
      </c>
      <c r="E177" s="74">
        <v>1.0</v>
      </c>
      <c r="F177" s="46"/>
      <c r="G177" s="47">
        <v>34.5</v>
      </c>
      <c r="H177" s="47">
        <v>0.0</v>
      </c>
      <c r="I177" s="7"/>
      <c r="J177" s="47">
        <v>1.3</v>
      </c>
      <c r="K177" s="8">
        <f t="shared" si="1"/>
        <v>33.2</v>
      </c>
      <c r="L177" s="8"/>
      <c r="M177" s="7"/>
      <c r="N177" s="7"/>
      <c r="O177" s="7"/>
      <c r="P177" s="7"/>
      <c r="Q177" s="7" t="s">
        <v>490</v>
      </c>
      <c r="R177" s="7" t="s">
        <v>982</v>
      </c>
      <c r="S177" s="7"/>
      <c r="T177" s="7" t="s">
        <v>983</v>
      </c>
      <c r="U177" s="7" t="s">
        <v>493</v>
      </c>
      <c r="V177" s="65">
        <v>1165.0</v>
      </c>
      <c r="W177" s="7"/>
      <c r="X177" s="7"/>
    </row>
    <row r="178">
      <c r="A178" s="74">
        <v>1.0</v>
      </c>
      <c r="B178" s="45">
        <v>45836.13318287037</v>
      </c>
      <c r="C178" s="7" t="s">
        <v>984</v>
      </c>
      <c r="D178" s="7" t="s">
        <v>60</v>
      </c>
      <c r="E178" s="74">
        <v>1.0</v>
      </c>
      <c r="F178" s="46"/>
      <c r="G178" s="47">
        <v>34.5</v>
      </c>
      <c r="H178" s="47">
        <v>0.0</v>
      </c>
      <c r="I178" s="7"/>
      <c r="J178" s="47">
        <v>1.3</v>
      </c>
      <c r="K178" s="8">
        <f t="shared" si="1"/>
        <v>33.2</v>
      </c>
      <c r="L178" s="8"/>
      <c r="M178" s="7"/>
      <c r="N178" s="7"/>
      <c r="O178" s="7"/>
      <c r="P178" s="7"/>
      <c r="Q178" s="7" t="s">
        <v>490</v>
      </c>
      <c r="R178" s="7" t="s">
        <v>985</v>
      </c>
      <c r="S178" s="7"/>
      <c r="T178" s="7" t="s">
        <v>986</v>
      </c>
      <c r="U178" s="7" t="s">
        <v>493</v>
      </c>
      <c r="V178" s="65">
        <v>1163.0</v>
      </c>
      <c r="W178" s="7"/>
      <c r="X178" s="7"/>
    </row>
    <row r="179">
      <c r="A179" s="74">
        <v>1.0</v>
      </c>
      <c r="B179" s="45">
        <v>45836.11189814815</v>
      </c>
      <c r="C179" s="7" t="s">
        <v>987</v>
      </c>
      <c r="D179" s="7" t="s">
        <v>60</v>
      </c>
      <c r="E179" s="74">
        <v>1.0</v>
      </c>
      <c r="F179" s="46"/>
      <c r="G179" s="47">
        <v>34.32</v>
      </c>
      <c r="H179" s="47">
        <v>0.0</v>
      </c>
      <c r="I179" s="7"/>
      <c r="J179" s="47">
        <v>1.3</v>
      </c>
      <c r="K179" s="8">
        <f t="shared" si="1"/>
        <v>33.02</v>
      </c>
      <c r="L179" s="8"/>
      <c r="M179" s="7"/>
      <c r="N179" s="7"/>
      <c r="O179" s="7"/>
      <c r="P179" s="7"/>
      <c r="Q179" s="7" t="s">
        <v>490</v>
      </c>
      <c r="R179" s="7" t="s">
        <v>988</v>
      </c>
      <c r="S179" s="7"/>
      <c r="T179" s="7" t="s">
        <v>989</v>
      </c>
      <c r="U179" s="7" t="s">
        <v>493</v>
      </c>
      <c r="V179" s="65">
        <v>1161.0</v>
      </c>
      <c r="W179" s="7"/>
      <c r="X179" s="7"/>
    </row>
    <row r="180">
      <c r="A180" s="74">
        <v>1.0</v>
      </c>
      <c r="B180" s="45">
        <v>45836.10741898148</v>
      </c>
      <c r="C180" s="7" t="s">
        <v>64</v>
      </c>
      <c r="D180" s="7" t="s">
        <v>60</v>
      </c>
      <c r="E180" s="74">
        <v>1.0</v>
      </c>
      <c r="F180" s="46"/>
      <c r="G180" s="47">
        <v>34.12</v>
      </c>
      <c r="H180" s="47">
        <v>0.0</v>
      </c>
      <c r="I180" s="7"/>
      <c r="J180" s="47">
        <v>1.29</v>
      </c>
      <c r="K180" s="8">
        <f t="shared" si="1"/>
        <v>32.83</v>
      </c>
      <c r="L180" s="8"/>
      <c r="M180" s="7"/>
      <c r="N180" s="7"/>
      <c r="O180" s="7"/>
      <c r="P180" s="7"/>
      <c r="Q180" s="7" t="s">
        <v>490</v>
      </c>
      <c r="R180" s="7" t="s">
        <v>990</v>
      </c>
      <c r="S180" s="7" t="s">
        <v>991</v>
      </c>
      <c r="T180" s="7" t="s">
        <v>992</v>
      </c>
      <c r="U180" s="7" t="s">
        <v>493</v>
      </c>
      <c r="V180" s="65">
        <v>1157.0</v>
      </c>
      <c r="W180" s="7"/>
      <c r="X180" s="7"/>
    </row>
    <row r="181">
      <c r="A181" s="74">
        <v>1.0</v>
      </c>
      <c r="B181" s="45">
        <v>45836.10230324074</v>
      </c>
      <c r="C181" s="7" t="s">
        <v>993</v>
      </c>
      <c r="D181" s="7" t="s">
        <v>60</v>
      </c>
      <c r="E181" s="74">
        <v>1.0</v>
      </c>
      <c r="F181" s="46"/>
      <c r="G181" s="47">
        <v>47.26</v>
      </c>
      <c r="H181" s="47">
        <v>0.0</v>
      </c>
      <c r="I181" s="7"/>
      <c r="J181" s="47">
        <v>2.38</v>
      </c>
      <c r="K181" s="8">
        <f t="shared" si="1"/>
        <v>44.88</v>
      </c>
      <c r="L181" s="8"/>
      <c r="M181" s="7"/>
      <c r="N181" s="7"/>
      <c r="O181" s="7"/>
      <c r="P181" s="7"/>
      <c r="Q181" s="7" t="s">
        <v>490</v>
      </c>
      <c r="R181" s="7" t="s">
        <v>994</v>
      </c>
      <c r="S181" s="7"/>
      <c r="T181" s="7" t="s">
        <v>995</v>
      </c>
      <c r="U181" s="7" t="s">
        <v>545</v>
      </c>
      <c r="V181" s="65">
        <v>1155.0</v>
      </c>
      <c r="W181" s="7"/>
      <c r="X181" s="7"/>
    </row>
    <row r="182">
      <c r="A182" s="74">
        <v>1.0</v>
      </c>
      <c r="B182" s="45">
        <v>45836.09305555555</v>
      </c>
      <c r="C182" s="7" t="s">
        <v>351</v>
      </c>
      <c r="D182" s="7" t="s">
        <v>60</v>
      </c>
      <c r="E182" s="74">
        <v>1.0</v>
      </c>
      <c r="F182" s="46"/>
      <c r="G182" s="47">
        <v>47.13</v>
      </c>
      <c r="H182" s="47">
        <v>0.0</v>
      </c>
      <c r="I182" s="7"/>
      <c r="J182" s="47">
        <v>2.37</v>
      </c>
      <c r="K182" s="8">
        <f t="shared" si="1"/>
        <v>44.76</v>
      </c>
      <c r="L182" s="8"/>
      <c r="M182" s="7"/>
      <c r="N182" s="7"/>
      <c r="O182" s="7"/>
      <c r="P182" s="7"/>
      <c r="Q182" s="7" t="s">
        <v>490</v>
      </c>
      <c r="R182" s="7" t="s">
        <v>996</v>
      </c>
      <c r="S182" s="7" t="s">
        <v>997</v>
      </c>
      <c r="T182" s="7" t="s">
        <v>998</v>
      </c>
      <c r="U182" s="7" t="s">
        <v>497</v>
      </c>
      <c r="V182" s="65">
        <v>1148.0</v>
      </c>
      <c r="W182" s="7"/>
      <c r="X182" s="7"/>
    </row>
    <row r="183">
      <c r="A183" s="74">
        <v>1.0</v>
      </c>
      <c r="B183" s="45">
        <v>45836.0609375</v>
      </c>
      <c r="C183" s="7" t="s">
        <v>999</v>
      </c>
      <c r="D183" s="7" t="s">
        <v>60</v>
      </c>
      <c r="E183" s="74">
        <v>1.0</v>
      </c>
      <c r="F183" s="46"/>
      <c r="G183" s="47">
        <v>47.26</v>
      </c>
      <c r="H183" s="47">
        <v>0.0</v>
      </c>
      <c r="I183" s="7"/>
      <c r="J183" s="47">
        <v>2.38</v>
      </c>
      <c r="K183" s="8">
        <f t="shared" si="1"/>
        <v>44.88</v>
      </c>
      <c r="L183" s="8"/>
      <c r="M183" s="7"/>
      <c r="N183" s="7"/>
      <c r="O183" s="7"/>
      <c r="P183" s="7"/>
      <c r="Q183" s="7" t="s">
        <v>490</v>
      </c>
      <c r="R183" s="7" t="s">
        <v>1000</v>
      </c>
      <c r="S183" s="7"/>
      <c r="T183" s="7" t="s">
        <v>1001</v>
      </c>
      <c r="U183" s="7" t="s">
        <v>545</v>
      </c>
      <c r="V183" s="65">
        <v>1135.0</v>
      </c>
      <c r="W183" s="7"/>
      <c r="X183" s="7"/>
    </row>
    <row r="184">
      <c r="A184" s="74">
        <v>1.0</v>
      </c>
      <c r="B184" s="45">
        <v>45836.05190972222</v>
      </c>
      <c r="C184" s="7" t="s">
        <v>1002</v>
      </c>
      <c r="D184" s="7" t="s">
        <v>60</v>
      </c>
      <c r="E184" s="74">
        <v>1.0</v>
      </c>
      <c r="F184" s="46"/>
      <c r="G184" s="47">
        <v>52.6</v>
      </c>
      <c r="H184" s="47">
        <v>0.0</v>
      </c>
      <c r="I184" s="7"/>
      <c r="J184" s="47">
        <v>2.61</v>
      </c>
      <c r="K184" s="8">
        <f t="shared" si="1"/>
        <v>49.99</v>
      </c>
      <c r="L184" s="8"/>
      <c r="M184" s="7"/>
      <c r="N184" s="7"/>
      <c r="O184" s="7"/>
      <c r="P184" s="7"/>
      <c r="Q184" s="7" t="s">
        <v>490</v>
      </c>
      <c r="R184" s="7"/>
      <c r="S184" s="7"/>
      <c r="T184" s="7"/>
      <c r="U184" s="7" t="s">
        <v>510</v>
      </c>
      <c r="V184" s="65">
        <v>1125.0</v>
      </c>
      <c r="W184" s="7"/>
      <c r="X184" s="7"/>
    </row>
    <row r="185">
      <c r="A185" s="74">
        <v>1.0</v>
      </c>
      <c r="B185" s="45">
        <v>45836.049837962964</v>
      </c>
      <c r="C185" s="7" t="s">
        <v>1003</v>
      </c>
      <c r="D185" s="7" t="s">
        <v>60</v>
      </c>
      <c r="E185" s="74">
        <v>1.0</v>
      </c>
      <c r="F185" s="46"/>
      <c r="G185" s="47">
        <v>35.76</v>
      </c>
      <c r="H185" s="47">
        <v>0.0</v>
      </c>
      <c r="I185" s="7"/>
      <c r="J185" s="47">
        <v>1.34</v>
      </c>
      <c r="K185" s="8">
        <f t="shared" si="1"/>
        <v>34.42</v>
      </c>
      <c r="L185" s="8"/>
      <c r="M185" s="7"/>
      <c r="N185" s="7"/>
      <c r="O185" s="7"/>
      <c r="P185" s="7"/>
      <c r="Q185" s="7" t="s">
        <v>490</v>
      </c>
      <c r="R185" s="7" t="s">
        <v>1004</v>
      </c>
      <c r="S185" s="7"/>
      <c r="T185" s="7" t="s">
        <v>1005</v>
      </c>
      <c r="U185" s="7" t="s">
        <v>493</v>
      </c>
      <c r="V185" s="65">
        <v>1128.0</v>
      </c>
      <c r="W185" s="7"/>
      <c r="X185" s="7"/>
    </row>
    <row r="186">
      <c r="A186" s="74">
        <v>1.0</v>
      </c>
      <c r="B186" s="45">
        <v>45836.046898148146</v>
      </c>
      <c r="C186" s="7" t="s">
        <v>140</v>
      </c>
      <c r="D186" s="7" t="s">
        <v>60</v>
      </c>
      <c r="E186" s="74">
        <v>1.0</v>
      </c>
      <c r="F186" s="46"/>
      <c r="G186" s="47">
        <v>34.5</v>
      </c>
      <c r="H186" s="47">
        <v>0.0</v>
      </c>
      <c r="I186" s="7"/>
      <c r="J186" s="47">
        <v>1.3</v>
      </c>
      <c r="K186" s="8">
        <f t="shared" si="1"/>
        <v>33.2</v>
      </c>
      <c r="L186" s="8"/>
      <c r="M186" s="7"/>
      <c r="N186" s="7"/>
      <c r="O186" s="7"/>
      <c r="P186" s="7"/>
      <c r="Q186" s="7" t="s">
        <v>490</v>
      </c>
      <c r="R186" s="7" t="s">
        <v>1006</v>
      </c>
      <c r="S186" s="7"/>
      <c r="T186" s="7" t="s">
        <v>1007</v>
      </c>
      <c r="U186" s="7" t="s">
        <v>493</v>
      </c>
      <c r="V186" s="65">
        <v>1127.0</v>
      </c>
      <c r="W186" s="7"/>
      <c r="X186" s="7"/>
    </row>
    <row r="187">
      <c r="A187" s="74">
        <v>1.0</v>
      </c>
      <c r="B187" s="45">
        <v>45836.044907407406</v>
      </c>
      <c r="C187" s="7" t="s">
        <v>1008</v>
      </c>
      <c r="D187" s="7" t="s">
        <v>60</v>
      </c>
      <c r="E187" s="74">
        <v>1.0</v>
      </c>
      <c r="F187" s="46"/>
      <c r="G187" s="47">
        <v>34.5</v>
      </c>
      <c r="H187" s="47">
        <v>0.0</v>
      </c>
      <c r="I187" s="7"/>
      <c r="J187" s="47">
        <v>1.82</v>
      </c>
      <c r="K187" s="8">
        <f t="shared" si="1"/>
        <v>32.68</v>
      </c>
      <c r="L187" s="8"/>
      <c r="M187" s="7"/>
      <c r="N187" s="7"/>
      <c r="O187" s="7"/>
      <c r="P187" s="7"/>
      <c r="Q187" s="7" t="s">
        <v>490</v>
      </c>
      <c r="R187" s="7" t="s">
        <v>1009</v>
      </c>
      <c r="S187" s="7" t="s">
        <v>1010</v>
      </c>
      <c r="T187" s="7" t="s">
        <v>1011</v>
      </c>
      <c r="U187" s="7" t="s">
        <v>1012</v>
      </c>
      <c r="V187" s="65">
        <v>1124.0</v>
      </c>
      <c r="W187" s="7"/>
      <c r="X187" s="7"/>
    </row>
    <row r="188">
      <c r="A188" s="74">
        <v>1.0</v>
      </c>
      <c r="B188" s="45">
        <v>45836.03986111111</v>
      </c>
      <c r="C188" s="7" t="s">
        <v>408</v>
      </c>
      <c r="D188" s="7" t="s">
        <v>60</v>
      </c>
      <c r="E188" s="74">
        <v>1.0</v>
      </c>
      <c r="F188" s="46"/>
      <c r="G188" s="47">
        <v>34.32</v>
      </c>
      <c r="H188" s="47">
        <v>0.0</v>
      </c>
      <c r="I188" s="7"/>
      <c r="J188" s="47">
        <v>1.3</v>
      </c>
      <c r="K188" s="8">
        <f t="shared" si="1"/>
        <v>33.02</v>
      </c>
      <c r="L188" s="8"/>
      <c r="M188" s="7"/>
      <c r="N188" s="7"/>
      <c r="O188" s="7"/>
      <c r="P188" s="7"/>
      <c r="Q188" s="7" t="s">
        <v>490</v>
      </c>
      <c r="R188" s="7" t="s">
        <v>1013</v>
      </c>
      <c r="S188" s="7"/>
      <c r="T188" s="7" t="s">
        <v>1014</v>
      </c>
      <c r="U188" s="7" t="s">
        <v>493</v>
      </c>
      <c r="V188" s="65">
        <v>1122.0</v>
      </c>
      <c r="W188" s="7"/>
      <c r="X188" s="7"/>
    </row>
    <row r="189">
      <c r="A189" s="74">
        <v>1.0</v>
      </c>
      <c r="B189" s="45">
        <v>45836.039722222224</v>
      </c>
      <c r="C189" s="7" t="s">
        <v>313</v>
      </c>
      <c r="D189" s="7" t="s">
        <v>60</v>
      </c>
      <c r="E189" s="74">
        <v>1.0</v>
      </c>
      <c r="F189" s="46"/>
      <c r="G189" s="47">
        <v>34.24</v>
      </c>
      <c r="H189" s="47">
        <v>0.0</v>
      </c>
      <c r="I189" s="7"/>
      <c r="J189" s="47">
        <v>1.29</v>
      </c>
      <c r="K189" s="8">
        <f t="shared" si="1"/>
        <v>32.95</v>
      </c>
      <c r="L189" s="8"/>
      <c r="M189" s="7"/>
      <c r="N189" s="7"/>
      <c r="O189" s="7"/>
      <c r="P189" s="7"/>
      <c r="Q189" s="7" t="s">
        <v>490</v>
      </c>
      <c r="R189" s="7" t="s">
        <v>1015</v>
      </c>
      <c r="S189" s="7"/>
      <c r="T189" s="7" t="s">
        <v>1016</v>
      </c>
      <c r="U189" s="7" t="s">
        <v>493</v>
      </c>
      <c r="V189" s="65">
        <v>1119.0</v>
      </c>
      <c r="W189" s="7"/>
      <c r="X189" s="7"/>
    </row>
    <row r="190">
      <c r="A190" s="74">
        <v>1.0</v>
      </c>
      <c r="B190" s="45">
        <v>45836.037986111114</v>
      </c>
      <c r="C190" s="7" t="s">
        <v>1017</v>
      </c>
      <c r="D190" s="7" t="s">
        <v>60</v>
      </c>
      <c r="E190" s="74">
        <v>1.0</v>
      </c>
      <c r="F190" s="46"/>
      <c r="G190" s="47">
        <v>35.84</v>
      </c>
      <c r="H190" s="47">
        <v>0.0</v>
      </c>
      <c r="I190" s="7"/>
      <c r="J190" s="47">
        <v>1.34</v>
      </c>
      <c r="K190" s="8">
        <f t="shared" si="1"/>
        <v>34.5</v>
      </c>
      <c r="L190" s="8"/>
      <c r="M190" s="7"/>
      <c r="N190" s="7"/>
      <c r="O190" s="7"/>
      <c r="P190" s="7"/>
      <c r="Q190" s="7" t="s">
        <v>490</v>
      </c>
      <c r="R190" s="7" t="s">
        <v>1018</v>
      </c>
      <c r="S190" s="7" t="s">
        <v>1019</v>
      </c>
      <c r="T190" s="7" t="s">
        <v>1020</v>
      </c>
      <c r="U190" s="7" t="s">
        <v>493</v>
      </c>
      <c r="V190" s="65">
        <v>1115.0</v>
      </c>
      <c r="W190" s="7"/>
      <c r="X190" s="7"/>
    </row>
    <row r="191">
      <c r="A191" s="74">
        <v>1.0</v>
      </c>
      <c r="B191" s="45">
        <v>45836.03302083333</v>
      </c>
      <c r="C191" s="7" t="s">
        <v>365</v>
      </c>
      <c r="D191" s="7" t="s">
        <v>60</v>
      </c>
      <c r="E191" s="74">
        <v>1.0</v>
      </c>
      <c r="F191" s="46"/>
      <c r="G191" s="47">
        <v>46.67</v>
      </c>
      <c r="H191" s="47">
        <v>0.0</v>
      </c>
      <c r="I191" s="7"/>
      <c r="J191" s="47">
        <v>2.35</v>
      </c>
      <c r="K191" s="8">
        <f t="shared" si="1"/>
        <v>44.32</v>
      </c>
      <c r="L191" s="8"/>
      <c r="M191" s="7"/>
      <c r="N191" s="7"/>
      <c r="O191" s="7"/>
      <c r="P191" s="7"/>
      <c r="Q191" s="7" t="s">
        <v>490</v>
      </c>
      <c r="R191" s="7" t="s">
        <v>1021</v>
      </c>
      <c r="S191" s="7"/>
      <c r="T191" s="7" t="s">
        <v>1022</v>
      </c>
      <c r="U191" s="7" t="s">
        <v>545</v>
      </c>
      <c r="V191" s="65">
        <v>1116.0</v>
      </c>
      <c r="W191" s="7"/>
      <c r="X191" s="7"/>
    </row>
    <row r="192">
      <c r="A192" s="74">
        <v>1.0</v>
      </c>
      <c r="B192" s="45">
        <v>45836.03163194445</v>
      </c>
      <c r="C192" s="7" t="s">
        <v>1023</v>
      </c>
      <c r="D192" s="7" t="s">
        <v>60</v>
      </c>
      <c r="E192" s="74">
        <v>1.0</v>
      </c>
      <c r="F192" s="46"/>
      <c r="G192" s="47">
        <v>34.5</v>
      </c>
      <c r="H192" s="47">
        <v>0.0</v>
      </c>
      <c r="I192" s="7"/>
      <c r="J192" s="47">
        <v>1.3</v>
      </c>
      <c r="K192" s="8">
        <f t="shared" si="1"/>
        <v>33.2</v>
      </c>
      <c r="L192" s="8"/>
      <c r="M192" s="7"/>
      <c r="N192" s="7"/>
      <c r="O192" s="7"/>
      <c r="P192" s="7"/>
      <c r="Q192" s="7" t="s">
        <v>490</v>
      </c>
      <c r="R192" s="7" t="s">
        <v>1024</v>
      </c>
      <c r="S192" s="7"/>
      <c r="T192" s="7" t="s">
        <v>1025</v>
      </c>
      <c r="U192" s="7" t="s">
        <v>493</v>
      </c>
      <c r="V192" s="65">
        <v>1113.0</v>
      </c>
      <c r="W192" s="7"/>
      <c r="X192" s="7"/>
    </row>
    <row r="193">
      <c r="A193" s="74">
        <v>1.0</v>
      </c>
      <c r="B193" s="45">
        <v>45836.02222222222</v>
      </c>
      <c r="C193" s="7" t="s">
        <v>1026</v>
      </c>
      <c r="D193" s="67" t="s">
        <v>1027</v>
      </c>
      <c r="E193" s="74">
        <v>1.0</v>
      </c>
      <c r="F193" s="74">
        <v>1.0</v>
      </c>
      <c r="G193" s="47">
        <v>148.06</v>
      </c>
      <c r="H193" s="47">
        <v>0.0</v>
      </c>
      <c r="I193" s="7"/>
      <c r="J193" s="47">
        <v>4.59</v>
      </c>
      <c r="K193" s="8">
        <f t="shared" si="1"/>
        <v>143.47</v>
      </c>
      <c r="L193" s="8"/>
      <c r="M193" s="7"/>
      <c r="N193" s="7"/>
      <c r="O193" s="7"/>
      <c r="P193" s="7"/>
      <c r="Q193" s="7" t="s">
        <v>490</v>
      </c>
      <c r="R193" s="7" t="s">
        <v>1028</v>
      </c>
      <c r="S193" s="7" t="s">
        <v>1029</v>
      </c>
      <c r="T193" s="7" t="s">
        <v>1030</v>
      </c>
      <c r="U193" s="7" t="s">
        <v>493</v>
      </c>
      <c r="V193" s="65">
        <v>1106.0</v>
      </c>
      <c r="W193" s="7"/>
      <c r="X193" s="7"/>
    </row>
    <row r="194">
      <c r="A194" s="74">
        <v>1.0</v>
      </c>
      <c r="B194" s="45">
        <v>45836.016539351855</v>
      </c>
      <c r="C194" s="7" t="s">
        <v>1031</v>
      </c>
      <c r="D194" s="7" t="s">
        <v>60</v>
      </c>
      <c r="E194" s="74">
        <v>1.0</v>
      </c>
      <c r="F194" s="46"/>
      <c r="G194" s="47">
        <v>34.5</v>
      </c>
      <c r="H194" s="47">
        <v>0.0</v>
      </c>
      <c r="I194" s="7"/>
      <c r="J194" s="47">
        <v>1.3</v>
      </c>
      <c r="K194" s="8">
        <f t="shared" si="1"/>
        <v>33.2</v>
      </c>
      <c r="L194" s="8"/>
      <c r="M194" s="7"/>
      <c r="N194" s="7"/>
      <c r="O194" s="7"/>
      <c r="P194" s="7"/>
      <c r="Q194" s="7" t="s">
        <v>490</v>
      </c>
      <c r="R194" s="7" t="s">
        <v>1032</v>
      </c>
      <c r="S194" s="7"/>
      <c r="T194" s="7" t="s">
        <v>1033</v>
      </c>
      <c r="U194" s="7" t="s">
        <v>493</v>
      </c>
      <c r="V194" s="65">
        <v>1101.0</v>
      </c>
      <c r="W194" s="7"/>
      <c r="X194" s="7"/>
    </row>
    <row r="195">
      <c r="A195" s="74">
        <v>1.0</v>
      </c>
      <c r="B195" s="45">
        <v>45836.013020833336</v>
      </c>
      <c r="C195" s="7" t="s">
        <v>1034</v>
      </c>
      <c r="D195" s="7" t="s">
        <v>60</v>
      </c>
      <c r="E195" s="74">
        <v>1.0</v>
      </c>
      <c r="F195" s="46"/>
      <c r="G195" s="47">
        <v>34.5</v>
      </c>
      <c r="H195" s="47">
        <v>0.0</v>
      </c>
      <c r="I195" s="7"/>
      <c r="J195" s="47">
        <v>1.3</v>
      </c>
      <c r="K195" s="8">
        <f t="shared" si="1"/>
        <v>33.2</v>
      </c>
      <c r="L195" s="8"/>
      <c r="M195" s="7"/>
      <c r="N195" s="7"/>
      <c r="O195" s="7"/>
      <c r="P195" s="7"/>
      <c r="Q195" s="7" t="s">
        <v>490</v>
      </c>
      <c r="R195" s="7" t="s">
        <v>1035</v>
      </c>
      <c r="S195" s="7"/>
      <c r="T195" s="7" t="s">
        <v>1036</v>
      </c>
      <c r="U195" s="7" t="s">
        <v>493</v>
      </c>
      <c r="V195" s="65">
        <v>1103.0</v>
      </c>
      <c r="W195" s="7"/>
      <c r="X195" s="7"/>
    </row>
    <row r="196">
      <c r="A196" s="74">
        <v>1.0</v>
      </c>
      <c r="B196" s="45">
        <v>45836.01181712963</v>
      </c>
      <c r="C196" s="7" t="s">
        <v>1037</v>
      </c>
      <c r="D196" s="7" t="s">
        <v>60</v>
      </c>
      <c r="E196" s="74">
        <v>1.0</v>
      </c>
      <c r="F196" s="46"/>
      <c r="G196" s="47">
        <v>34.32</v>
      </c>
      <c r="H196" s="47">
        <v>0.0</v>
      </c>
      <c r="I196" s="7"/>
      <c r="J196" s="47">
        <v>1.3</v>
      </c>
      <c r="K196" s="8">
        <f t="shared" si="1"/>
        <v>33.02</v>
      </c>
      <c r="L196" s="8"/>
      <c r="M196" s="7"/>
      <c r="N196" s="7"/>
      <c r="O196" s="7"/>
      <c r="P196" s="7"/>
      <c r="Q196" s="7" t="s">
        <v>490</v>
      </c>
      <c r="R196" s="7" t="s">
        <v>1038</v>
      </c>
      <c r="S196" s="7"/>
      <c r="T196" s="7" t="s">
        <v>1039</v>
      </c>
      <c r="U196" s="7" t="s">
        <v>493</v>
      </c>
      <c r="V196" s="65">
        <v>1100.0</v>
      </c>
      <c r="W196" s="7"/>
      <c r="X196" s="7"/>
    </row>
    <row r="197">
      <c r="A197" s="74">
        <v>1.0</v>
      </c>
      <c r="B197" s="45">
        <v>45836.00664351852</v>
      </c>
      <c r="C197" s="7" t="s">
        <v>1040</v>
      </c>
      <c r="D197" s="7" t="s">
        <v>60</v>
      </c>
      <c r="E197" s="74">
        <v>1.0</v>
      </c>
      <c r="F197" s="46"/>
      <c r="G197" s="47">
        <v>34.32</v>
      </c>
      <c r="H197" s="47">
        <v>0.0</v>
      </c>
      <c r="I197" s="7"/>
      <c r="J197" s="47">
        <v>1.3</v>
      </c>
      <c r="K197" s="8">
        <f t="shared" si="1"/>
        <v>33.02</v>
      </c>
      <c r="L197" s="8"/>
      <c r="M197" s="7"/>
      <c r="N197" s="7"/>
      <c r="O197" s="7"/>
      <c r="P197" s="7"/>
      <c r="Q197" s="7" t="s">
        <v>490</v>
      </c>
      <c r="R197" s="7" t="s">
        <v>1041</v>
      </c>
      <c r="S197" s="7" t="s">
        <v>1042</v>
      </c>
      <c r="T197" s="7" t="s">
        <v>1043</v>
      </c>
      <c r="U197" s="7" t="s">
        <v>493</v>
      </c>
      <c r="V197" s="65">
        <v>1095.0</v>
      </c>
      <c r="W197" s="7"/>
      <c r="X197" s="7"/>
    </row>
    <row r="198">
      <c r="A198" s="74">
        <v>1.0</v>
      </c>
      <c r="B198" s="45">
        <v>45835.99010416667</v>
      </c>
      <c r="C198" s="7" t="s">
        <v>1044</v>
      </c>
      <c r="D198" s="67" t="s">
        <v>1027</v>
      </c>
      <c r="E198" s="74">
        <v>1.0</v>
      </c>
      <c r="F198" s="74">
        <v>1.0</v>
      </c>
      <c r="G198" s="47">
        <v>148.06</v>
      </c>
      <c r="H198" s="47">
        <v>0.0</v>
      </c>
      <c r="I198" s="7"/>
      <c r="J198" s="47">
        <v>6.81</v>
      </c>
      <c r="K198" s="8">
        <f t="shared" si="1"/>
        <v>141.25</v>
      </c>
      <c r="L198" s="8"/>
      <c r="M198" s="7"/>
      <c r="N198" s="7"/>
      <c r="O198" s="7"/>
      <c r="P198" s="7"/>
      <c r="Q198" s="7" t="s">
        <v>490</v>
      </c>
      <c r="R198" s="7" t="s">
        <v>1045</v>
      </c>
      <c r="S198" s="7" t="s">
        <v>1046</v>
      </c>
      <c r="T198" s="7" t="s">
        <v>580</v>
      </c>
      <c r="U198" s="7" t="s">
        <v>581</v>
      </c>
      <c r="V198" s="65">
        <v>1086.0</v>
      </c>
      <c r="W198" s="7"/>
      <c r="X198" s="7"/>
    </row>
    <row r="199">
      <c r="A199" s="74">
        <v>1.0</v>
      </c>
      <c r="B199" s="45">
        <v>45835.98631944445</v>
      </c>
      <c r="C199" s="7" t="s">
        <v>1047</v>
      </c>
      <c r="D199" s="7" t="s">
        <v>60</v>
      </c>
      <c r="E199" s="74">
        <v>1.0</v>
      </c>
      <c r="F199" s="46"/>
      <c r="G199" s="47">
        <v>36.38</v>
      </c>
      <c r="H199" s="47">
        <v>0.0</v>
      </c>
      <c r="I199" s="7"/>
      <c r="J199" s="47">
        <v>1.36</v>
      </c>
      <c r="K199" s="8">
        <f t="shared" si="1"/>
        <v>35.02</v>
      </c>
      <c r="L199" s="8"/>
      <c r="M199" s="7"/>
      <c r="N199" s="7"/>
      <c r="O199" s="7"/>
      <c r="P199" s="7"/>
      <c r="Q199" s="7" t="s">
        <v>490</v>
      </c>
      <c r="R199" s="7" t="s">
        <v>1048</v>
      </c>
      <c r="S199" s="7"/>
      <c r="T199" s="7" t="s">
        <v>1049</v>
      </c>
      <c r="U199" s="7" t="s">
        <v>493</v>
      </c>
      <c r="V199" s="65">
        <v>1085.0</v>
      </c>
      <c r="W199" s="7"/>
      <c r="X199" s="7"/>
    </row>
    <row r="200">
      <c r="A200" s="74">
        <v>1.0</v>
      </c>
      <c r="B200" s="45">
        <v>45835.98096064815</v>
      </c>
      <c r="C200" s="7" t="s">
        <v>1050</v>
      </c>
      <c r="D200" s="67" t="s">
        <v>1027</v>
      </c>
      <c r="E200" s="74">
        <v>1.0</v>
      </c>
      <c r="F200" s="74">
        <v>1.0</v>
      </c>
      <c r="G200" s="47">
        <v>171.64</v>
      </c>
      <c r="H200" s="47">
        <v>0.0</v>
      </c>
      <c r="I200" s="7"/>
      <c r="J200" s="47">
        <v>5.28</v>
      </c>
      <c r="K200" s="8">
        <f t="shared" si="1"/>
        <v>166.36</v>
      </c>
      <c r="L200" s="8"/>
      <c r="M200" s="7"/>
      <c r="N200" s="7"/>
      <c r="O200" s="7"/>
      <c r="P200" s="7"/>
      <c r="Q200" s="7" t="s">
        <v>490</v>
      </c>
      <c r="R200" s="7" t="s">
        <v>1051</v>
      </c>
      <c r="S200" s="7"/>
      <c r="T200" s="7" t="s">
        <v>1052</v>
      </c>
      <c r="U200" s="7" t="s">
        <v>493</v>
      </c>
      <c r="V200" s="65">
        <v>1083.0</v>
      </c>
      <c r="W200" s="7"/>
      <c r="X200" s="7"/>
    </row>
    <row r="201">
      <c r="A201" s="74">
        <v>1.0</v>
      </c>
      <c r="B201" s="45">
        <v>45835.9787037037</v>
      </c>
      <c r="C201" s="7" t="s">
        <v>1053</v>
      </c>
      <c r="D201" s="7" t="s">
        <v>60</v>
      </c>
      <c r="E201" s="74">
        <v>1.0</v>
      </c>
      <c r="F201" s="46"/>
      <c r="G201" s="47">
        <v>36.57</v>
      </c>
      <c r="H201" s="47">
        <v>0.0</v>
      </c>
      <c r="I201" s="7"/>
      <c r="J201" s="47">
        <v>1.36</v>
      </c>
      <c r="K201" s="8">
        <f t="shared" si="1"/>
        <v>35.21</v>
      </c>
      <c r="L201" s="8"/>
      <c r="M201" s="7"/>
      <c r="N201" s="7"/>
      <c r="O201" s="7"/>
      <c r="P201" s="7"/>
      <c r="Q201" s="7" t="s">
        <v>490</v>
      </c>
      <c r="R201" s="7" t="s">
        <v>1054</v>
      </c>
      <c r="S201" s="7"/>
      <c r="T201" s="7" t="s">
        <v>1055</v>
      </c>
      <c r="U201" s="7" t="s">
        <v>493</v>
      </c>
      <c r="V201" s="65">
        <v>1080.0</v>
      </c>
      <c r="W201" s="7"/>
      <c r="X201" s="7"/>
    </row>
    <row r="202">
      <c r="A202" s="74">
        <v>1.0</v>
      </c>
      <c r="B202" s="45">
        <v>45835.97012731482</v>
      </c>
      <c r="C202" s="7" t="s">
        <v>1056</v>
      </c>
      <c r="D202" s="7" t="s">
        <v>60</v>
      </c>
      <c r="E202" s="74">
        <v>1.0</v>
      </c>
      <c r="F202" s="46"/>
      <c r="G202" s="47">
        <v>34.5</v>
      </c>
      <c r="H202" s="47">
        <v>0.0</v>
      </c>
      <c r="I202" s="7"/>
      <c r="J202" s="47">
        <v>1.3</v>
      </c>
      <c r="K202" s="8">
        <f t="shared" si="1"/>
        <v>33.2</v>
      </c>
      <c r="L202" s="8"/>
      <c r="M202" s="7"/>
      <c r="N202" s="7"/>
      <c r="O202" s="7"/>
      <c r="P202" s="7"/>
      <c r="Q202" s="7" t="s">
        <v>490</v>
      </c>
      <c r="R202" s="7"/>
      <c r="S202" s="7"/>
      <c r="T202" s="7"/>
      <c r="U202" s="7" t="s">
        <v>493</v>
      </c>
      <c r="V202" s="65">
        <v>1075.0</v>
      </c>
      <c r="W202" s="7"/>
      <c r="X202" s="7"/>
    </row>
    <row r="203">
      <c r="A203" s="74">
        <v>1.0</v>
      </c>
      <c r="B203" s="45">
        <v>45835.964641203704</v>
      </c>
      <c r="C203" s="7" t="s">
        <v>1057</v>
      </c>
      <c r="D203" s="67" t="s">
        <v>1027</v>
      </c>
      <c r="E203" s="74">
        <v>1.0</v>
      </c>
      <c r="F203" s="74">
        <v>1.0</v>
      </c>
      <c r="G203" s="47">
        <v>147.26</v>
      </c>
      <c r="H203" s="47">
        <v>0.0</v>
      </c>
      <c r="I203" s="7"/>
      <c r="J203" s="47">
        <v>6.78</v>
      </c>
      <c r="K203" s="8">
        <f t="shared" si="1"/>
        <v>140.48</v>
      </c>
      <c r="L203" s="8"/>
      <c r="M203" s="7"/>
      <c r="N203" s="7"/>
      <c r="O203" s="7"/>
      <c r="P203" s="7"/>
      <c r="Q203" s="7" t="s">
        <v>490</v>
      </c>
      <c r="R203" s="7" t="s">
        <v>1058</v>
      </c>
      <c r="S203" s="7"/>
      <c r="T203" s="7" t="s">
        <v>1059</v>
      </c>
      <c r="U203" s="7" t="s">
        <v>545</v>
      </c>
      <c r="V203" s="65">
        <v>1070.0</v>
      </c>
      <c r="W203" s="7"/>
      <c r="X203" s="7"/>
    </row>
    <row r="204">
      <c r="A204" s="74">
        <v>1.0</v>
      </c>
      <c r="B204" s="45">
        <v>45835.96298611111</v>
      </c>
      <c r="C204" s="7" t="s">
        <v>415</v>
      </c>
      <c r="D204" s="67" t="s">
        <v>1027</v>
      </c>
      <c r="E204" s="74">
        <v>1.0</v>
      </c>
      <c r="F204" s="74">
        <v>1.0</v>
      </c>
      <c r="G204" s="47">
        <v>138.54</v>
      </c>
      <c r="H204" s="47">
        <v>0.0</v>
      </c>
      <c r="I204" s="7"/>
      <c r="J204" s="47">
        <v>4.32</v>
      </c>
      <c r="K204" s="8">
        <f t="shared" si="1"/>
        <v>134.22</v>
      </c>
      <c r="L204" s="8"/>
      <c r="M204" s="7"/>
      <c r="N204" s="7"/>
      <c r="O204" s="7"/>
      <c r="P204" s="7"/>
      <c r="Q204" s="7" t="s">
        <v>490</v>
      </c>
      <c r="R204" s="7" t="s">
        <v>1060</v>
      </c>
      <c r="S204" s="7"/>
      <c r="T204" s="7" t="s">
        <v>1061</v>
      </c>
      <c r="U204" s="7" t="s">
        <v>493</v>
      </c>
      <c r="V204" s="65">
        <v>1069.0</v>
      </c>
      <c r="W204" s="7"/>
      <c r="X204" s="7"/>
    </row>
    <row r="205">
      <c r="A205" s="74">
        <v>1.0</v>
      </c>
      <c r="B205" s="45">
        <v>45835.9530787037</v>
      </c>
      <c r="C205" s="7" t="s">
        <v>338</v>
      </c>
      <c r="D205" s="7" t="s">
        <v>60</v>
      </c>
      <c r="E205" s="74">
        <v>1.0</v>
      </c>
      <c r="F205" s="46"/>
      <c r="G205" s="47">
        <v>34.5</v>
      </c>
      <c r="H205" s="47">
        <v>0.0</v>
      </c>
      <c r="I205" s="7"/>
      <c r="J205" s="47">
        <v>1.3</v>
      </c>
      <c r="K205" s="8">
        <f t="shared" si="1"/>
        <v>33.2</v>
      </c>
      <c r="L205" s="8"/>
      <c r="M205" s="7"/>
      <c r="N205" s="7"/>
      <c r="O205" s="7"/>
      <c r="P205" s="7"/>
      <c r="Q205" s="7" t="s">
        <v>490</v>
      </c>
      <c r="R205" s="7" t="s">
        <v>1062</v>
      </c>
      <c r="S205" s="7"/>
      <c r="T205" s="7" t="s">
        <v>1063</v>
      </c>
      <c r="U205" s="7" t="s">
        <v>493</v>
      </c>
      <c r="V205" s="65">
        <v>1066.0</v>
      </c>
      <c r="W205" s="7"/>
      <c r="X205" s="7"/>
    </row>
    <row r="206">
      <c r="A206" s="74">
        <v>1.0</v>
      </c>
      <c r="B206" s="45">
        <v>45835.95275462963</v>
      </c>
      <c r="C206" s="7" t="s">
        <v>343</v>
      </c>
      <c r="D206" s="7" t="s">
        <v>60</v>
      </c>
      <c r="E206" s="74">
        <v>1.0</v>
      </c>
      <c r="F206" s="46"/>
      <c r="G206" s="47">
        <v>49.24</v>
      </c>
      <c r="H206" s="47">
        <v>0.0</v>
      </c>
      <c r="I206" s="7"/>
      <c r="J206" s="47">
        <v>2.47</v>
      </c>
      <c r="K206" s="8">
        <f t="shared" si="1"/>
        <v>46.77</v>
      </c>
      <c r="L206" s="8"/>
      <c r="M206" s="7"/>
      <c r="N206" s="7"/>
      <c r="O206" s="7"/>
      <c r="P206" s="7"/>
      <c r="Q206" s="7" t="s">
        <v>490</v>
      </c>
      <c r="R206" s="7" t="s">
        <v>1064</v>
      </c>
      <c r="S206" s="7"/>
      <c r="T206" s="7" t="s">
        <v>1065</v>
      </c>
      <c r="U206" s="7" t="s">
        <v>525</v>
      </c>
      <c r="V206" s="65">
        <v>1065.0</v>
      </c>
      <c r="W206" s="7"/>
      <c r="X206" s="7"/>
    </row>
    <row r="207">
      <c r="A207" s="74">
        <v>1.0</v>
      </c>
      <c r="B207" s="45">
        <v>45835.947650462964</v>
      </c>
      <c r="C207" s="7" t="s">
        <v>1066</v>
      </c>
      <c r="D207" s="7" t="s">
        <v>60</v>
      </c>
      <c r="E207" s="74">
        <v>1.0</v>
      </c>
      <c r="F207" s="46"/>
      <c r="G207" s="47">
        <v>34.5</v>
      </c>
      <c r="H207" s="47">
        <v>0.0</v>
      </c>
      <c r="I207" s="7"/>
      <c r="J207" s="47">
        <v>1.3</v>
      </c>
      <c r="K207" s="8">
        <f t="shared" si="1"/>
        <v>33.2</v>
      </c>
      <c r="L207" s="8"/>
      <c r="M207" s="7"/>
      <c r="N207" s="7"/>
      <c r="O207" s="7"/>
      <c r="P207" s="7"/>
      <c r="Q207" s="7" t="s">
        <v>490</v>
      </c>
      <c r="R207" s="7" t="s">
        <v>1067</v>
      </c>
      <c r="S207" s="7"/>
      <c r="T207" s="7" t="s">
        <v>1068</v>
      </c>
      <c r="U207" s="7" t="s">
        <v>493</v>
      </c>
      <c r="V207" s="65">
        <v>1062.0</v>
      </c>
      <c r="W207" s="7"/>
      <c r="X207" s="7"/>
    </row>
    <row r="208">
      <c r="A208" s="74">
        <v>1.0</v>
      </c>
      <c r="B208" s="45">
        <v>45835.94699074074</v>
      </c>
      <c r="C208" s="7" t="s">
        <v>1069</v>
      </c>
      <c r="D208" s="7" t="s">
        <v>60</v>
      </c>
      <c r="E208" s="74">
        <v>1.0</v>
      </c>
      <c r="F208" s="46"/>
      <c r="G208" s="47">
        <v>52.6</v>
      </c>
      <c r="H208" s="47">
        <v>0.0</v>
      </c>
      <c r="I208" s="7"/>
      <c r="J208" s="47">
        <v>2.61</v>
      </c>
      <c r="K208" s="8">
        <f t="shared" si="1"/>
        <v>49.99</v>
      </c>
      <c r="L208" s="8"/>
      <c r="M208" s="7"/>
      <c r="N208" s="7"/>
      <c r="O208" s="7"/>
      <c r="P208" s="7"/>
      <c r="Q208" s="7" t="s">
        <v>490</v>
      </c>
      <c r="R208" s="7" t="s">
        <v>1070</v>
      </c>
      <c r="S208" s="7"/>
      <c r="T208" s="7" t="s">
        <v>509</v>
      </c>
      <c r="U208" s="7" t="s">
        <v>510</v>
      </c>
      <c r="V208" s="65">
        <v>1061.0</v>
      </c>
      <c r="W208" s="7"/>
      <c r="X208" s="7"/>
    </row>
    <row r="209">
      <c r="A209" s="74">
        <v>1.0</v>
      </c>
      <c r="B209" s="45">
        <v>45835.94451388889</v>
      </c>
      <c r="C209" s="7" t="s">
        <v>1071</v>
      </c>
      <c r="D209" s="7" t="s">
        <v>60</v>
      </c>
      <c r="E209" s="74">
        <v>1.0</v>
      </c>
      <c r="F209" s="46"/>
      <c r="G209" s="47">
        <v>34.5</v>
      </c>
      <c r="H209" s="47">
        <v>0.0</v>
      </c>
      <c r="I209" s="7"/>
      <c r="J209" s="47">
        <v>1.3</v>
      </c>
      <c r="K209" s="8">
        <f t="shared" si="1"/>
        <v>33.2</v>
      </c>
      <c r="L209" s="8"/>
      <c r="M209" s="7"/>
      <c r="N209" s="7"/>
      <c r="O209" s="7"/>
      <c r="P209" s="7"/>
      <c r="Q209" s="7" t="s">
        <v>490</v>
      </c>
      <c r="R209" s="7" t="s">
        <v>1072</v>
      </c>
      <c r="S209" s="65">
        <v>286.0</v>
      </c>
      <c r="T209" s="7" t="s">
        <v>1073</v>
      </c>
      <c r="U209" s="7" t="s">
        <v>493</v>
      </c>
      <c r="V209" s="65">
        <v>1060.0</v>
      </c>
      <c r="W209" s="7"/>
      <c r="X209" s="7"/>
    </row>
    <row r="210">
      <c r="A210" s="74">
        <v>1.0</v>
      </c>
      <c r="B210" s="45">
        <v>45835.93655092592</v>
      </c>
      <c r="C210" s="7" t="s">
        <v>1074</v>
      </c>
      <c r="D210" s="7" t="s">
        <v>60</v>
      </c>
      <c r="E210" s="74">
        <v>1.0</v>
      </c>
      <c r="F210" s="46"/>
      <c r="G210" s="47">
        <v>34.5</v>
      </c>
      <c r="H210" s="47">
        <v>0.0</v>
      </c>
      <c r="I210" s="7"/>
      <c r="J210" s="47">
        <v>1.3</v>
      </c>
      <c r="K210" s="8">
        <f t="shared" si="1"/>
        <v>33.2</v>
      </c>
      <c r="L210" s="8"/>
      <c r="M210" s="7"/>
      <c r="N210" s="7"/>
      <c r="O210" s="7"/>
      <c r="P210" s="7"/>
      <c r="Q210" s="7" t="s">
        <v>490</v>
      </c>
      <c r="R210" s="7"/>
      <c r="S210" s="7"/>
      <c r="T210" s="7"/>
      <c r="U210" s="7" t="s">
        <v>493</v>
      </c>
      <c r="V210" s="65">
        <v>1051.0</v>
      </c>
      <c r="W210" s="7"/>
      <c r="X210" s="7"/>
    </row>
    <row r="211">
      <c r="A211" s="74">
        <v>1.0</v>
      </c>
      <c r="B211" s="45">
        <v>45835.93625</v>
      </c>
      <c r="C211" s="7" t="s">
        <v>236</v>
      </c>
      <c r="D211" s="67" t="s">
        <v>1027</v>
      </c>
      <c r="E211" s="74">
        <v>1.0</v>
      </c>
      <c r="F211" s="74">
        <v>1.0</v>
      </c>
      <c r="G211" s="47">
        <v>134.62</v>
      </c>
      <c r="H211" s="47">
        <v>0.0</v>
      </c>
      <c r="I211" s="7"/>
      <c r="J211" s="47">
        <v>4.2</v>
      </c>
      <c r="K211" s="8">
        <f t="shared" si="1"/>
        <v>130.42</v>
      </c>
      <c r="L211" s="8"/>
      <c r="M211" s="7"/>
      <c r="N211" s="7"/>
      <c r="O211" s="7"/>
      <c r="P211" s="7"/>
      <c r="Q211" s="7" t="s">
        <v>490</v>
      </c>
      <c r="R211" s="7"/>
      <c r="S211" s="7"/>
      <c r="T211" s="7"/>
      <c r="U211" s="7" t="s">
        <v>493</v>
      </c>
      <c r="V211" s="65">
        <v>1052.0</v>
      </c>
      <c r="W211" s="7"/>
      <c r="X211" s="7"/>
    </row>
    <row r="212">
      <c r="A212" s="74">
        <v>1.0</v>
      </c>
      <c r="B212" s="45">
        <v>45835.932175925926</v>
      </c>
      <c r="C212" s="7" t="s">
        <v>250</v>
      </c>
      <c r="D212" s="7" t="s">
        <v>60</v>
      </c>
      <c r="E212" s="74">
        <v>1.0</v>
      </c>
      <c r="F212" s="46"/>
      <c r="G212" s="47">
        <v>49.24</v>
      </c>
      <c r="H212" s="47">
        <v>0.0</v>
      </c>
      <c r="I212" s="7"/>
      <c r="J212" s="47">
        <v>2.47</v>
      </c>
      <c r="K212" s="8">
        <f t="shared" si="1"/>
        <v>46.77</v>
      </c>
      <c r="L212" s="8"/>
      <c r="M212" s="7"/>
      <c r="N212" s="7"/>
      <c r="O212" s="7"/>
      <c r="P212" s="7"/>
      <c r="Q212" s="7" t="s">
        <v>490</v>
      </c>
      <c r="R212" s="7" t="s">
        <v>1075</v>
      </c>
      <c r="S212" s="7"/>
      <c r="T212" s="7" t="s">
        <v>1076</v>
      </c>
      <c r="U212" s="7" t="s">
        <v>525</v>
      </c>
      <c r="V212" s="65">
        <v>1047.0</v>
      </c>
      <c r="W212" s="7"/>
      <c r="X212" s="7"/>
    </row>
    <row r="213">
      <c r="A213" s="74">
        <v>1.0</v>
      </c>
      <c r="B213" s="45">
        <v>45835.924780092595</v>
      </c>
      <c r="C213" s="7" t="s">
        <v>1077</v>
      </c>
      <c r="D213" s="67" t="s">
        <v>1027</v>
      </c>
      <c r="E213" s="74">
        <v>1.0</v>
      </c>
      <c r="F213" s="74">
        <v>1.0</v>
      </c>
      <c r="G213" s="47">
        <v>134.12</v>
      </c>
      <c r="H213" s="47">
        <v>0.0</v>
      </c>
      <c r="I213" s="7"/>
      <c r="J213" s="47">
        <v>4.19</v>
      </c>
      <c r="K213" s="8">
        <f t="shared" si="1"/>
        <v>129.93</v>
      </c>
      <c r="L213" s="8"/>
      <c r="M213" s="7"/>
      <c r="N213" s="7"/>
      <c r="O213" s="7"/>
      <c r="P213" s="7"/>
      <c r="Q213" s="7" t="s">
        <v>490</v>
      </c>
      <c r="R213" s="7" t="s">
        <v>1078</v>
      </c>
      <c r="S213" s="7"/>
      <c r="T213" s="7" t="s">
        <v>1079</v>
      </c>
      <c r="U213" s="7" t="s">
        <v>493</v>
      </c>
      <c r="V213" s="65">
        <v>1044.0</v>
      </c>
      <c r="W213" s="7"/>
      <c r="X213" s="7"/>
    </row>
    <row r="214">
      <c r="A214" s="74">
        <v>1.0</v>
      </c>
      <c r="B214" s="45">
        <v>45835.92314814815</v>
      </c>
      <c r="C214" s="7" t="s">
        <v>1080</v>
      </c>
      <c r="D214" s="7" t="s">
        <v>60</v>
      </c>
      <c r="E214" s="74">
        <v>1.0</v>
      </c>
      <c r="F214" s="46"/>
      <c r="G214" s="47">
        <v>34.62</v>
      </c>
      <c r="H214" s="47">
        <v>0.0</v>
      </c>
      <c r="I214" s="7"/>
      <c r="J214" s="47">
        <v>1.3</v>
      </c>
      <c r="K214" s="8">
        <f t="shared" si="1"/>
        <v>33.32</v>
      </c>
      <c r="L214" s="8"/>
      <c r="M214" s="7"/>
      <c r="N214" s="7"/>
      <c r="O214" s="7"/>
      <c r="P214" s="7"/>
      <c r="Q214" s="7" t="s">
        <v>490</v>
      </c>
      <c r="R214" s="7" t="s">
        <v>1081</v>
      </c>
      <c r="S214" s="7"/>
      <c r="T214" s="7" t="s">
        <v>1082</v>
      </c>
      <c r="U214" s="7" t="s">
        <v>493</v>
      </c>
      <c r="V214" s="65">
        <v>1046.0</v>
      </c>
      <c r="W214" s="7"/>
      <c r="X214" s="7"/>
    </row>
    <row r="215">
      <c r="A215" s="74">
        <v>1.0</v>
      </c>
      <c r="B215" s="45">
        <v>45835.922743055555</v>
      </c>
      <c r="C215" s="7" t="s">
        <v>206</v>
      </c>
      <c r="D215" s="7" t="s">
        <v>60</v>
      </c>
      <c r="E215" s="74">
        <v>1.0</v>
      </c>
      <c r="F215" s="46"/>
      <c r="G215" s="47">
        <v>50.91</v>
      </c>
      <c r="H215" s="47">
        <v>0.0</v>
      </c>
      <c r="I215" s="7"/>
      <c r="J215" s="47">
        <v>2.54</v>
      </c>
      <c r="K215" s="8">
        <f t="shared" si="1"/>
        <v>48.37</v>
      </c>
      <c r="L215" s="8"/>
      <c r="M215" s="7"/>
      <c r="N215" s="7"/>
      <c r="O215" s="7"/>
      <c r="P215" s="7"/>
      <c r="Q215" s="7" t="s">
        <v>490</v>
      </c>
      <c r="R215" s="7" t="s">
        <v>1083</v>
      </c>
      <c r="S215" s="7"/>
      <c r="T215" s="7" t="s">
        <v>1084</v>
      </c>
      <c r="U215" s="7" t="s">
        <v>617</v>
      </c>
      <c r="V215" s="65">
        <v>1042.0</v>
      </c>
      <c r="W215" s="7"/>
      <c r="X215" s="7"/>
    </row>
    <row r="216">
      <c r="A216" s="74">
        <v>1.0</v>
      </c>
      <c r="B216" s="45">
        <v>45835.917592592596</v>
      </c>
      <c r="C216" s="7" t="s">
        <v>1085</v>
      </c>
      <c r="D216" s="7" t="s">
        <v>60</v>
      </c>
      <c r="E216" s="74">
        <v>1.0</v>
      </c>
      <c r="F216" s="46"/>
      <c r="G216" s="47">
        <v>34.62</v>
      </c>
      <c r="H216" s="47">
        <v>0.0</v>
      </c>
      <c r="I216" s="7"/>
      <c r="J216" s="47">
        <v>1.3</v>
      </c>
      <c r="K216" s="8">
        <f t="shared" si="1"/>
        <v>33.32</v>
      </c>
      <c r="L216" s="8"/>
      <c r="M216" s="7"/>
      <c r="N216" s="7"/>
      <c r="O216" s="7"/>
      <c r="P216" s="7"/>
      <c r="Q216" s="7" t="s">
        <v>490</v>
      </c>
      <c r="R216" s="7" t="s">
        <v>1086</v>
      </c>
      <c r="S216" s="7"/>
      <c r="T216" s="7" t="s">
        <v>1087</v>
      </c>
      <c r="U216" s="7" t="s">
        <v>493</v>
      </c>
      <c r="V216" s="65">
        <v>1036.0</v>
      </c>
      <c r="W216" s="7"/>
      <c r="X216" s="7"/>
    </row>
    <row r="217">
      <c r="A217" s="74">
        <v>1.0</v>
      </c>
      <c r="B217" s="45">
        <v>45835.91601851852</v>
      </c>
      <c r="C217" s="7" t="s">
        <v>1088</v>
      </c>
      <c r="D217" s="7" t="s">
        <v>60</v>
      </c>
      <c r="E217" s="74">
        <v>1.0</v>
      </c>
      <c r="F217" s="46"/>
      <c r="G217" s="47">
        <v>34.5</v>
      </c>
      <c r="H217" s="47">
        <v>0.0</v>
      </c>
      <c r="I217" s="7"/>
      <c r="J217" s="47">
        <v>1.3</v>
      </c>
      <c r="K217" s="8">
        <f t="shared" si="1"/>
        <v>33.2</v>
      </c>
      <c r="L217" s="8"/>
      <c r="M217" s="7"/>
      <c r="N217" s="7"/>
      <c r="O217" s="7"/>
      <c r="P217" s="7"/>
      <c r="Q217" s="7" t="s">
        <v>490</v>
      </c>
      <c r="R217" s="7" t="s">
        <v>1089</v>
      </c>
      <c r="S217" s="7"/>
      <c r="T217" s="7" t="s">
        <v>1090</v>
      </c>
      <c r="U217" s="7" t="s">
        <v>493</v>
      </c>
      <c r="V217" s="65">
        <v>1035.0</v>
      </c>
      <c r="W217" s="7"/>
      <c r="X217" s="7"/>
    </row>
    <row r="218">
      <c r="A218" s="74">
        <v>1.0</v>
      </c>
      <c r="B218" s="45">
        <v>45835.91440972222</v>
      </c>
      <c r="C218" s="7" t="s">
        <v>1091</v>
      </c>
      <c r="D218" s="7" t="s">
        <v>60</v>
      </c>
      <c r="E218" s="74">
        <v>1.0</v>
      </c>
      <c r="F218" s="46"/>
      <c r="G218" s="47">
        <v>34.5</v>
      </c>
      <c r="H218" s="47">
        <v>0.0</v>
      </c>
      <c r="I218" s="7"/>
      <c r="J218" s="47">
        <v>1.3</v>
      </c>
      <c r="K218" s="8">
        <f t="shared" si="1"/>
        <v>33.2</v>
      </c>
      <c r="L218" s="8"/>
      <c r="M218" s="7"/>
      <c r="N218" s="7"/>
      <c r="O218" s="7"/>
      <c r="P218" s="7"/>
      <c r="Q218" s="7" t="s">
        <v>490</v>
      </c>
      <c r="R218" s="7" t="s">
        <v>1092</v>
      </c>
      <c r="S218" s="7"/>
      <c r="T218" s="7" t="s">
        <v>1093</v>
      </c>
      <c r="U218" s="7" t="s">
        <v>493</v>
      </c>
      <c r="V218" s="65">
        <v>1034.0</v>
      </c>
      <c r="W218" s="7"/>
      <c r="X218" s="7"/>
    </row>
    <row r="219">
      <c r="A219" s="74">
        <v>1.0</v>
      </c>
      <c r="B219" s="45">
        <v>45835.90930555556</v>
      </c>
      <c r="C219" s="7" t="s">
        <v>370</v>
      </c>
      <c r="D219" s="67" t="s">
        <v>1027</v>
      </c>
      <c r="E219" s="74">
        <v>1.0</v>
      </c>
      <c r="F219" s="74">
        <v>1.0</v>
      </c>
      <c r="G219" s="47">
        <v>134.32</v>
      </c>
      <c r="H219" s="47">
        <v>0.0</v>
      </c>
      <c r="I219" s="7"/>
      <c r="J219" s="47">
        <v>4.2</v>
      </c>
      <c r="K219" s="8">
        <f t="shared" si="1"/>
        <v>130.12</v>
      </c>
      <c r="L219" s="8"/>
      <c r="M219" s="7"/>
      <c r="N219" s="7"/>
      <c r="O219" s="7"/>
      <c r="P219" s="7"/>
      <c r="Q219" s="7" t="s">
        <v>490</v>
      </c>
      <c r="R219" s="7" t="s">
        <v>1094</v>
      </c>
      <c r="S219" s="7"/>
      <c r="T219" s="7" t="s">
        <v>1095</v>
      </c>
      <c r="U219" s="7" t="s">
        <v>493</v>
      </c>
      <c r="V219" s="65">
        <v>1031.0</v>
      </c>
      <c r="W219" s="7"/>
      <c r="X219" s="7"/>
    </row>
    <row r="220">
      <c r="A220" s="74">
        <v>1.0</v>
      </c>
      <c r="B220" s="45">
        <v>45835.90363425926</v>
      </c>
      <c r="C220" s="7" t="s">
        <v>1096</v>
      </c>
      <c r="D220" s="7" t="s">
        <v>60</v>
      </c>
      <c r="E220" s="74">
        <v>1.0</v>
      </c>
      <c r="F220" s="46"/>
      <c r="G220" s="47">
        <v>38.54</v>
      </c>
      <c r="H220" s="47">
        <v>0.0</v>
      </c>
      <c r="I220" s="7"/>
      <c r="J220" s="47">
        <v>1.42</v>
      </c>
      <c r="K220" s="8">
        <f t="shared" si="1"/>
        <v>37.12</v>
      </c>
      <c r="L220" s="8"/>
      <c r="M220" s="7"/>
      <c r="N220" s="7"/>
      <c r="O220" s="7"/>
      <c r="P220" s="7"/>
      <c r="Q220" s="7" t="s">
        <v>490</v>
      </c>
      <c r="R220" s="7" t="s">
        <v>1097</v>
      </c>
      <c r="S220" s="7"/>
      <c r="T220" s="7" t="s">
        <v>1098</v>
      </c>
      <c r="U220" s="7" t="s">
        <v>493</v>
      </c>
      <c r="V220" s="65">
        <v>1027.0</v>
      </c>
      <c r="W220" s="7"/>
      <c r="X220" s="7"/>
    </row>
    <row r="221">
      <c r="A221" s="74">
        <v>1.0</v>
      </c>
      <c r="B221" s="45">
        <v>45835.90115740741</v>
      </c>
      <c r="C221" s="7" t="s">
        <v>1099</v>
      </c>
      <c r="D221" s="7" t="s">
        <v>60</v>
      </c>
      <c r="E221" s="74">
        <v>1.0</v>
      </c>
      <c r="F221" s="46"/>
      <c r="G221" s="47">
        <v>37.24</v>
      </c>
      <c r="H221" s="47">
        <v>0.0</v>
      </c>
      <c r="I221" s="7"/>
      <c r="J221" s="47">
        <v>1.38</v>
      </c>
      <c r="K221" s="8">
        <f t="shared" si="1"/>
        <v>35.86</v>
      </c>
      <c r="L221" s="8"/>
      <c r="M221" s="7"/>
      <c r="N221" s="7"/>
      <c r="O221" s="7"/>
      <c r="P221" s="7"/>
      <c r="Q221" s="7" t="s">
        <v>490</v>
      </c>
      <c r="R221" s="7" t="s">
        <v>1100</v>
      </c>
      <c r="S221" s="7"/>
      <c r="T221" s="7" t="s">
        <v>1101</v>
      </c>
      <c r="U221" s="7" t="s">
        <v>493</v>
      </c>
      <c r="V221" s="65">
        <v>1023.0</v>
      </c>
      <c r="W221" s="7"/>
      <c r="X221" s="7"/>
    </row>
    <row r="222">
      <c r="A222" s="74">
        <v>1.0</v>
      </c>
      <c r="B222" s="45">
        <v>45835.900671296295</v>
      </c>
      <c r="C222" s="7" t="s">
        <v>172</v>
      </c>
      <c r="D222" s="7" t="s">
        <v>60</v>
      </c>
      <c r="E222" s="74">
        <v>1.0</v>
      </c>
      <c r="F222" s="46"/>
      <c r="G222" s="47">
        <v>34.62</v>
      </c>
      <c r="H222" s="47">
        <v>0.0</v>
      </c>
      <c r="I222" s="7"/>
      <c r="J222" s="47">
        <v>1.3</v>
      </c>
      <c r="K222" s="8">
        <f t="shared" si="1"/>
        <v>33.32</v>
      </c>
      <c r="L222" s="8"/>
      <c r="M222" s="7"/>
      <c r="N222" s="7"/>
      <c r="O222" s="7"/>
      <c r="P222" s="7"/>
      <c r="Q222" s="7" t="s">
        <v>490</v>
      </c>
      <c r="R222" s="7" t="s">
        <v>1102</v>
      </c>
      <c r="S222" s="7"/>
      <c r="T222" s="7" t="s">
        <v>1103</v>
      </c>
      <c r="U222" s="7" t="s">
        <v>493</v>
      </c>
      <c r="V222" s="65">
        <v>1024.0</v>
      </c>
      <c r="W222" s="7"/>
      <c r="X222" s="7"/>
    </row>
    <row r="223">
      <c r="A223" s="74">
        <v>1.0</v>
      </c>
      <c r="B223" s="45">
        <v>45835.89226851852</v>
      </c>
      <c r="C223" s="7" t="s">
        <v>1104</v>
      </c>
      <c r="D223" s="7" t="s">
        <v>60</v>
      </c>
      <c r="E223" s="74">
        <v>1.0</v>
      </c>
      <c r="F223" s="46"/>
      <c r="G223" s="47">
        <v>34.62</v>
      </c>
      <c r="H223" s="47">
        <v>0.0</v>
      </c>
      <c r="I223" s="7"/>
      <c r="J223" s="47">
        <v>1.3</v>
      </c>
      <c r="K223" s="8">
        <f t="shared" si="1"/>
        <v>33.32</v>
      </c>
      <c r="L223" s="8"/>
      <c r="M223" s="7"/>
      <c r="N223" s="7"/>
      <c r="O223" s="7"/>
      <c r="P223" s="7"/>
      <c r="Q223" s="7" t="s">
        <v>490</v>
      </c>
      <c r="R223" s="7" t="s">
        <v>1105</v>
      </c>
      <c r="S223" s="7"/>
      <c r="T223" s="7" t="s">
        <v>1106</v>
      </c>
      <c r="U223" s="7" t="s">
        <v>493</v>
      </c>
      <c r="V223" s="65">
        <v>1017.0</v>
      </c>
      <c r="W223" s="7"/>
      <c r="X223" s="7"/>
    </row>
    <row r="224">
      <c r="A224" s="74">
        <v>1.0</v>
      </c>
      <c r="B224" s="45">
        <v>45835.89199074074</v>
      </c>
      <c r="C224" s="7" t="s">
        <v>1107</v>
      </c>
      <c r="D224" s="7" t="s">
        <v>60</v>
      </c>
      <c r="E224" s="74">
        <v>1.0</v>
      </c>
      <c r="F224" s="46"/>
      <c r="G224" s="47">
        <v>34.5</v>
      </c>
      <c r="H224" s="47">
        <v>0.0</v>
      </c>
      <c r="I224" s="7"/>
      <c r="J224" s="47">
        <v>1.3</v>
      </c>
      <c r="K224" s="8">
        <f t="shared" si="1"/>
        <v>33.2</v>
      </c>
      <c r="L224" s="8"/>
      <c r="M224" s="7"/>
      <c r="N224" s="7"/>
      <c r="O224" s="7"/>
      <c r="P224" s="7"/>
      <c r="Q224" s="7" t="s">
        <v>490</v>
      </c>
      <c r="R224" s="7" t="s">
        <v>1108</v>
      </c>
      <c r="S224" s="7"/>
      <c r="T224" s="7" t="s">
        <v>1109</v>
      </c>
      <c r="U224" s="7" t="s">
        <v>493</v>
      </c>
      <c r="V224" s="65">
        <v>1015.0</v>
      </c>
      <c r="W224" s="7"/>
      <c r="X224" s="7"/>
    </row>
    <row r="225">
      <c r="A225" s="74">
        <v>1.0</v>
      </c>
      <c r="B225" s="45">
        <v>45835.883252314816</v>
      </c>
      <c r="C225" s="7" t="s">
        <v>908</v>
      </c>
      <c r="D225" s="7" t="s">
        <v>60</v>
      </c>
      <c r="E225" s="74">
        <v>1.0</v>
      </c>
      <c r="F225" s="46"/>
      <c r="G225" s="47">
        <v>47.26</v>
      </c>
      <c r="H225" s="47">
        <v>0.0</v>
      </c>
      <c r="I225" s="7"/>
      <c r="J225" s="47">
        <v>2.38</v>
      </c>
      <c r="K225" s="8">
        <f t="shared" si="1"/>
        <v>44.88</v>
      </c>
      <c r="L225" s="8"/>
      <c r="M225" s="7"/>
      <c r="N225" s="7"/>
      <c r="O225" s="7"/>
      <c r="P225" s="7"/>
      <c r="Q225" s="7" t="s">
        <v>490</v>
      </c>
      <c r="R225" s="7" t="s">
        <v>909</v>
      </c>
      <c r="S225" s="7"/>
      <c r="T225" s="7" t="s">
        <v>910</v>
      </c>
      <c r="U225" s="7" t="s">
        <v>545</v>
      </c>
      <c r="V225" s="65">
        <v>1010.0</v>
      </c>
      <c r="W225" s="7"/>
      <c r="X225" s="7"/>
    </row>
    <row r="226">
      <c r="A226" s="74">
        <v>1.0</v>
      </c>
      <c r="B226" s="45">
        <v>45835.88319444445</v>
      </c>
      <c r="C226" s="7" t="s">
        <v>1110</v>
      </c>
      <c r="D226" s="7" t="s">
        <v>60</v>
      </c>
      <c r="E226" s="74">
        <v>1.0</v>
      </c>
      <c r="F226" s="46"/>
      <c r="G226" s="47">
        <v>36.64</v>
      </c>
      <c r="H226" s="47">
        <v>0.0</v>
      </c>
      <c r="I226" s="7"/>
      <c r="J226" s="47">
        <v>1.36</v>
      </c>
      <c r="K226" s="8">
        <f t="shared" si="1"/>
        <v>35.28</v>
      </c>
      <c r="L226" s="8"/>
      <c r="M226" s="7"/>
      <c r="N226" s="7"/>
      <c r="O226" s="7"/>
      <c r="P226" s="7"/>
      <c r="Q226" s="7" t="s">
        <v>490</v>
      </c>
      <c r="R226" s="7" t="s">
        <v>1111</v>
      </c>
      <c r="S226" s="7"/>
      <c r="T226" s="7" t="s">
        <v>1112</v>
      </c>
      <c r="U226" s="7" t="s">
        <v>493</v>
      </c>
      <c r="V226" s="65">
        <v>1006.0</v>
      </c>
      <c r="W226" s="7"/>
      <c r="X226" s="7"/>
    </row>
    <row r="227">
      <c r="A227" s="74">
        <v>1.0</v>
      </c>
      <c r="B227" s="45">
        <v>45835.88234953704</v>
      </c>
      <c r="C227" s="7" t="s">
        <v>204</v>
      </c>
      <c r="D227" s="7" t="s">
        <v>60</v>
      </c>
      <c r="E227" s="74">
        <v>1.0</v>
      </c>
      <c r="F227" s="46"/>
      <c r="G227" s="47">
        <v>49.24</v>
      </c>
      <c r="H227" s="47">
        <v>0.0</v>
      </c>
      <c r="I227" s="7"/>
      <c r="J227" s="47">
        <v>2.47</v>
      </c>
      <c r="K227" s="8">
        <f t="shared" si="1"/>
        <v>46.77</v>
      </c>
      <c r="L227" s="8"/>
      <c r="M227" s="7"/>
      <c r="N227" s="7"/>
      <c r="O227" s="7"/>
      <c r="P227" s="7"/>
      <c r="Q227" s="7" t="s">
        <v>490</v>
      </c>
      <c r="R227" s="7" t="s">
        <v>1113</v>
      </c>
      <c r="S227" s="65">
        <v>46.0</v>
      </c>
      <c r="T227" s="7" t="s">
        <v>1114</v>
      </c>
      <c r="U227" s="7" t="s">
        <v>525</v>
      </c>
      <c r="V227" s="65">
        <v>1008.0</v>
      </c>
      <c r="W227" s="7"/>
      <c r="X227" s="7"/>
    </row>
    <row r="228">
      <c r="A228" s="74">
        <v>1.0</v>
      </c>
      <c r="B228" s="45">
        <v>45835.878333333334</v>
      </c>
      <c r="C228" s="7" t="s">
        <v>436</v>
      </c>
      <c r="D228" s="7" t="s">
        <v>60</v>
      </c>
      <c r="E228" s="74">
        <v>1.0</v>
      </c>
      <c r="F228" s="46"/>
      <c r="G228" s="47">
        <v>34.5</v>
      </c>
      <c r="H228" s="47">
        <v>0.0</v>
      </c>
      <c r="I228" s="7"/>
      <c r="J228" s="47">
        <v>1.3</v>
      </c>
      <c r="K228" s="8">
        <f t="shared" si="1"/>
        <v>33.2</v>
      </c>
      <c r="L228" s="8"/>
      <c r="M228" s="7"/>
      <c r="N228" s="7"/>
      <c r="O228" s="7"/>
      <c r="P228" s="7"/>
      <c r="Q228" s="7" t="s">
        <v>490</v>
      </c>
      <c r="R228" s="7" t="s">
        <v>1115</v>
      </c>
      <c r="S228" s="7"/>
      <c r="T228" s="7" t="s">
        <v>1116</v>
      </c>
      <c r="U228" s="7" t="s">
        <v>493</v>
      </c>
      <c r="V228" s="65">
        <v>1003.0</v>
      </c>
      <c r="W228" s="7"/>
      <c r="X228" s="7"/>
    </row>
    <row r="229">
      <c r="A229" s="74">
        <v>1.0</v>
      </c>
      <c r="B229" s="45">
        <v>45835.86907407407</v>
      </c>
      <c r="C229" s="7" t="s">
        <v>430</v>
      </c>
      <c r="D229" s="7" t="s">
        <v>60</v>
      </c>
      <c r="E229" s="74">
        <v>1.0</v>
      </c>
      <c r="F229" s="46"/>
      <c r="G229" s="47">
        <v>34.5</v>
      </c>
      <c r="H229" s="47">
        <v>0.0</v>
      </c>
      <c r="I229" s="7"/>
      <c r="J229" s="47">
        <v>1.3</v>
      </c>
      <c r="K229" s="8">
        <f t="shared" si="1"/>
        <v>33.2</v>
      </c>
      <c r="L229" s="8"/>
      <c r="M229" s="7"/>
      <c r="N229" s="7"/>
      <c r="O229" s="7"/>
      <c r="P229" s="7"/>
      <c r="Q229" s="7" t="s">
        <v>490</v>
      </c>
      <c r="R229" s="7" t="s">
        <v>1117</v>
      </c>
      <c r="S229" s="7"/>
      <c r="T229" s="7" t="s">
        <v>1118</v>
      </c>
      <c r="U229" s="7" t="s">
        <v>493</v>
      </c>
      <c r="V229" s="65">
        <v>998.0</v>
      </c>
      <c r="W229" s="7"/>
      <c r="X229" s="7"/>
    </row>
    <row r="230">
      <c r="A230" s="74">
        <v>1.0</v>
      </c>
      <c r="B230" s="45">
        <v>45835.868993055556</v>
      </c>
      <c r="C230" s="7" t="s">
        <v>95</v>
      </c>
      <c r="D230" s="7" t="s">
        <v>60</v>
      </c>
      <c r="E230" s="74">
        <v>1.0</v>
      </c>
      <c r="F230" s="46"/>
      <c r="G230" s="47">
        <v>50.91</v>
      </c>
      <c r="H230" s="47">
        <v>0.0</v>
      </c>
      <c r="I230" s="7"/>
      <c r="J230" s="47">
        <v>2.54</v>
      </c>
      <c r="K230" s="8">
        <f t="shared" si="1"/>
        <v>48.37</v>
      </c>
      <c r="L230" s="8"/>
      <c r="M230" s="7"/>
      <c r="N230" s="7"/>
      <c r="O230" s="7"/>
      <c r="P230" s="7"/>
      <c r="Q230" s="7" t="s">
        <v>490</v>
      </c>
      <c r="R230" s="7" t="s">
        <v>1119</v>
      </c>
      <c r="S230" s="7"/>
      <c r="T230" s="7" t="s">
        <v>1120</v>
      </c>
      <c r="U230" s="7" t="s">
        <v>617</v>
      </c>
      <c r="V230" s="65">
        <v>999.0</v>
      </c>
      <c r="W230" s="7"/>
      <c r="X230" s="7"/>
    </row>
    <row r="231">
      <c r="A231" s="74">
        <v>1.0</v>
      </c>
      <c r="B231" s="45">
        <v>45835.868125</v>
      </c>
      <c r="C231" s="7" t="s">
        <v>1121</v>
      </c>
      <c r="D231" s="7" t="s">
        <v>60</v>
      </c>
      <c r="E231" s="74">
        <v>1.0</v>
      </c>
      <c r="F231" s="46"/>
      <c r="G231" s="47">
        <v>49.24</v>
      </c>
      <c r="H231" s="47">
        <v>0.0</v>
      </c>
      <c r="I231" s="7"/>
      <c r="J231" s="47">
        <v>2.47</v>
      </c>
      <c r="K231" s="8">
        <f t="shared" si="1"/>
        <v>46.77</v>
      </c>
      <c r="L231" s="8"/>
      <c r="M231" s="7"/>
      <c r="N231" s="7"/>
      <c r="O231" s="7"/>
      <c r="P231" s="7"/>
      <c r="Q231" s="7" t="s">
        <v>490</v>
      </c>
      <c r="R231" s="7" t="s">
        <v>1122</v>
      </c>
      <c r="S231" s="7"/>
      <c r="T231" s="7" t="s">
        <v>1123</v>
      </c>
      <c r="U231" s="7" t="s">
        <v>525</v>
      </c>
      <c r="V231" s="65">
        <v>991.0</v>
      </c>
      <c r="W231" s="7"/>
      <c r="X231" s="7"/>
    </row>
    <row r="232">
      <c r="A232" s="74">
        <v>1.0</v>
      </c>
      <c r="B232" s="45">
        <v>45835.867118055554</v>
      </c>
      <c r="C232" s="7" t="s">
        <v>1124</v>
      </c>
      <c r="D232" s="7" t="s">
        <v>60</v>
      </c>
      <c r="E232" s="74">
        <v>1.0</v>
      </c>
      <c r="F232" s="46"/>
      <c r="G232" s="47">
        <v>49.24</v>
      </c>
      <c r="H232" s="47">
        <v>0.0</v>
      </c>
      <c r="I232" s="7"/>
      <c r="J232" s="47">
        <v>2.47</v>
      </c>
      <c r="K232" s="8">
        <f t="shared" si="1"/>
        <v>46.77</v>
      </c>
      <c r="L232" s="8"/>
      <c r="M232" s="7"/>
      <c r="N232" s="7"/>
      <c r="O232" s="7"/>
      <c r="P232" s="7"/>
      <c r="Q232" s="7" t="s">
        <v>490</v>
      </c>
      <c r="R232" s="7" t="s">
        <v>1125</v>
      </c>
      <c r="S232" s="7"/>
      <c r="T232" s="7" t="s">
        <v>1126</v>
      </c>
      <c r="U232" s="7" t="s">
        <v>525</v>
      </c>
      <c r="V232" s="65">
        <v>996.0</v>
      </c>
      <c r="W232" s="7"/>
      <c r="X232" s="7"/>
    </row>
    <row r="233">
      <c r="A233" s="74">
        <v>1.0</v>
      </c>
      <c r="B233" s="45">
        <v>45835.86609953704</v>
      </c>
      <c r="C233" s="7" t="s">
        <v>1127</v>
      </c>
      <c r="D233" s="7" t="s">
        <v>60</v>
      </c>
      <c r="E233" s="74">
        <v>1.0</v>
      </c>
      <c r="F233" s="46"/>
      <c r="G233" s="47">
        <v>34.12</v>
      </c>
      <c r="H233" s="47">
        <v>0.0</v>
      </c>
      <c r="I233" s="7"/>
      <c r="J233" s="47">
        <v>1.29</v>
      </c>
      <c r="K233" s="8">
        <f t="shared" si="1"/>
        <v>32.83</v>
      </c>
      <c r="L233" s="8"/>
      <c r="M233" s="7"/>
      <c r="N233" s="7"/>
      <c r="O233" s="7"/>
      <c r="P233" s="7"/>
      <c r="Q233" s="7" t="s">
        <v>490</v>
      </c>
      <c r="R233" s="7" t="s">
        <v>1128</v>
      </c>
      <c r="S233" s="7"/>
      <c r="T233" s="7" t="s">
        <v>1129</v>
      </c>
      <c r="U233" s="7" t="s">
        <v>493</v>
      </c>
      <c r="V233" s="65">
        <v>995.0</v>
      </c>
      <c r="W233" s="7"/>
      <c r="X233" s="7"/>
    </row>
    <row r="234">
      <c r="A234" s="74">
        <v>1.0</v>
      </c>
      <c r="B234" s="45">
        <v>45835.86372685185</v>
      </c>
      <c r="C234" s="7" t="s">
        <v>1130</v>
      </c>
      <c r="D234" s="7" t="s">
        <v>60</v>
      </c>
      <c r="E234" s="74">
        <v>1.0</v>
      </c>
      <c r="F234" s="46"/>
      <c r="G234" s="47">
        <v>47.26</v>
      </c>
      <c r="H234" s="47">
        <v>0.0</v>
      </c>
      <c r="I234" s="7"/>
      <c r="J234" s="47">
        <v>2.38</v>
      </c>
      <c r="K234" s="8">
        <f t="shared" si="1"/>
        <v>44.88</v>
      </c>
      <c r="L234" s="8"/>
      <c r="M234" s="7"/>
      <c r="N234" s="7"/>
      <c r="O234" s="7"/>
      <c r="P234" s="7"/>
      <c r="Q234" s="7" t="s">
        <v>490</v>
      </c>
      <c r="R234" s="7" t="s">
        <v>1131</v>
      </c>
      <c r="S234" s="7"/>
      <c r="T234" s="7" t="s">
        <v>1132</v>
      </c>
      <c r="U234" s="7" t="s">
        <v>545</v>
      </c>
      <c r="V234" s="65">
        <v>985.0</v>
      </c>
      <c r="W234" s="7"/>
      <c r="X234" s="7"/>
    </row>
    <row r="235">
      <c r="A235" s="74">
        <v>1.0</v>
      </c>
      <c r="B235" s="45">
        <v>45835.854537037034</v>
      </c>
      <c r="C235" s="7" t="s">
        <v>392</v>
      </c>
      <c r="D235" s="7" t="s">
        <v>60</v>
      </c>
      <c r="E235" s="74">
        <v>1.0</v>
      </c>
      <c r="F235" s="46"/>
      <c r="G235" s="47">
        <v>34.62</v>
      </c>
      <c r="H235" s="47">
        <v>0.0</v>
      </c>
      <c r="I235" s="7"/>
      <c r="J235" s="47">
        <v>1.3</v>
      </c>
      <c r="K235" s="8">
        <f t="shared" si="1"/>
        <v>33.32</v>
      </c>
      <c r="L235" s="8"/>
      <c r="M235" s="7"/>
      <c r="N235" s="7"/>
      <c r="O235" s="7"/>
      <c r="P235" s="7"/>
      <c r="Q235" s="7" t="s">
        <v>490</v>
      </c>
      <c r="R235" s="7" t="s">
        <v>1133</v>
      </c>
      <c r="S235" s="7" t="s">
        <v>1134</v>
      </c>
      <c r="T235" s="7" t="s">
        <v>947</v>
      </c>
      <c r="U235" s="7" t="s">
        <v>493</v>
      </c>
      <c r="V235" s="65">
        <v>970.0</v>
      </c>
      <c r="W235" s="7"/>
      <c r="X235" s="7"/>
    </row>
    <row r="236">
      <c r="A236" s="74">
        <v>1.0</v>
      </c>
      <c r="B236" s="45">
        <v>45835.85391203704</v>
      </c>
      <c r="C236" s="7" t="s">
        <v>1135</v>
      </c>
      <c r="D236" s="7" t="s">
        <v>60</v>
      </c>
      <c r="E236" s="74">
        <v>1.0</v>
      </c>
      <c r="F236" s="46"/>
      <c r="G236" s="47">
        <v>49.24</v>
      </c>
      <c r="H236" s="47">
        <v>0.0</v>
      </c>
      <c r="I236" s="7"/>
      <c r="J236" s="47">
        <v>2.47</v>
      </c>
      <c r="K236" s="8">
        <f t="shared" si="1"/>
        <v>46.77</v>
      </c>
      <c r="L236" s="8"/>
      <c r="M236" s="7"/>
      <c r="N236" s="7"/>
      <c r="O236" s="7"/>
      <c r="P236" s="7"/>
      <c r="Q236" s="7" t="s">
        <v>490</v>
      </c>
      <c r="R236" s="7" t="s">
        <v>1136</v>
      </c>
      <c r="S236" s="7"/>
      <c r="T236" s="7" t="s">
        <v>1137</v>
      </c>
      <c r="U236" s="7" t="s">
        <v>525</v>
      </c>
      <c r="V236" s="65">
        <v>966.0</v>
      </c>
      <c r="W236" s="7"/>
      <c r="X236" s="7"/>
    </row>
    <row r="237">
      <c r="A237" s="74">
        <v>1.0</v>
      </c>
      <c r="B237" s="45">
        <v>45835.85241898148</v>
      </c>
      <c r="C237" s="7" t="s">
        <v>398</v>
      </c>
      <c r="D237" s="7" t="s">
        <v>60</v>
      </c>
      <c r="E237" s="74">
        <v>1.0</v>
      </c>
      <c r="F237" s="46"/>
      <c r="G237" s="47">
        <v>38.54</v>
      </c>
      <c r="H237" s="47">
        <v>0.0</v>
      </c>
      <c r="I237" s="7"/>
      <c r="J237" s="47">
        <v>1.42</v>
      </c>
      <c r="K237" s="8">
        <f t="shared" si="1"/>
        <v>37.12</v>
      </c>
      <c r="L237" s="8"/>
      <c r="M237" s="7"/>
      <c r="N237" s="7"/>
      <c r="O237" s="7"/>
      <c r="P237" s="7"/>
      <c r="Q237" s="7" t="s">
        <v>490</v>
      </c>
      <c r="R237" s="7" t="s">
        <v>1138</v>
      </c>
      <c r="S237" s="7"/>
      <c r="T237" s="7" t="s">
        <v>1139</v>
      </c>
      <c r="U237" s="7" t="s">
        <v>493</v>
      </c>
      <c r="V237" s="65">
        <v>968.0</v>
      </c>
      <c r="W237" s="7"/>
      <c r="X237" s="7"/>
    </row>
    <row r="238">
      <c r="A238" s="74">
        <v>1.0</v>
      </c>
      <c r="B238" s="45">
        <v>45835.850960648146</v>
      </c>
      <c r="C238" s="7" t="s">
        <v>148</v>
      </c>
      <c r="D238" s="7" t="s">
        <v>60</v>
      </c>
      <c r="E238" s="74">
        <v>1.0</v>
      </c>
      <c r="F238" s="46"/>
      <c r="G238" s="47">
        <v>34.24</v>
      </c>
      <c r="H238" s="47">
        <v>0.0</v>
      </c>
      <c r="I238" s="7"/>
      <c r="J238" s="47">
        <v>1.29</v>
      </c>
      <c r="K238" s="8">
        <f t="shared" si="1"/>
        <v>32.95</v>
      </c>
      <c r="L238" s="8"/>
      <c r="M238" s="7"/>
      <c r="N238" s="7"/>
      <c r="O238" s="7"/>
      <c r="P238" s="7"/>
      <c r="Q238" s="7" t="s">
        <v>490</v>
      </c>
      <c r="R238" s="7" t="s">
        <v>1140</v>
      </c>
      <c r="S238" s="7"/>
      <c r="T238" s="7" t="s">
        <v>1141</v>
      </c>
      <c r="U238" s="7" t="s">
        <v>493</v>
      </c>
      <c r="V238" s="65">
        <v>964.0</v>
      </c>
      <c r="W238" s="7"/>
      <c r="X238" s="7"/>
    </row>
    <row r="239">
      <c r="A239" s="74">
        <v>1.0</v>
      </c>
      <c r="B239" s="45">
        <v>45835.849178240744</v>
      </c>
      <c r="C239" s="7" t="s">
        <v>232</v>
      </c>
      <c r="D239" s="7" t="s">
        <v>60</v>
      </c>
      <c r="E239" s="74">
        <v>1.0</v>
      </c>
      <c r="F239" s="46"/>
      <c r="G239" s="47">
        <v>37.56</v>
      </c>
      <c r="H239" s="47">
        <v>0.0</v>
      </c>
      <c r="I239" s="7"/>
      <c r="J239" s="47">
        <v>1.39</v>
      </c>
      <c r="K239" s="8">
        <f t="shared" si="1"/>
        <v>36.17</v>
      </c>
      <c r="L239" s="8"/>
      <c r="M239" s="7"/>
      <c r="N239" s="7"/>
      <c r="O239" s="7"/>
      <c r="P239" s="7"/>
      <c r="Q239" s="7" t="s">
        <v>490</v>
      </c>
      <c r="R239" s="7" t="s">
        <v>1142</v>
      </c>
      <c r="S239" s="7"/>
      <c r="T239" s="7" t="s">
        <v>567</v>
      </c>
      <c r="U239" s="7" t="s">
        <v>493</v>
      </c>
      <c r="V239" s="65">
        <v>958.0</v>
      </c>
      <c r="W239" s="7"/>
      <c r="X239" s="7"/>
    </row>
    <row r="240">
      <c r="A240" s="74">
        <v>1.0</v>
      </c>
      <c r="B240" s="45">
        <v>45835.842094907406</v>
      </c>
      <c r="C240" s="7" t="s">
        <v>110</v>
      </c>
      <c r="D240" s="7" t="s">
        <v>60</v>
      </c>
      <c r="E240" s="74">
        <v>1.0</v>
      </c>
      <c r="F240" s="46"/>
      <c r="G240" s="47">
        <v>48.72</v>
      </c>
      <c r="H240" s="47">
        <v>0.0</v>
      </c>
      <c r="I240" s="7"/>
      <c r="J240" s="47">
        <v>2.44</v>
      </c>
      <c r="K240" s="8">
        <f t="shared" si="1"/>
        <v>46.28</v>
      </c>
      <c r="L240" s="8"/>
      <c r="M240" s="7"/>
      <c r="N240" s="7"/>
      <c r="O240" s="7"/>
      <c r="P240" s="7"/>
      <c r="Q240" s="7" t="s">
        <v>490</v>
      </c>
      <c r="R240" s="7" t="s">
        <v>1143</v>
      </c>
      <c r="S240" s="7"/>
      <c r="T240" s="7" t="s">
        <v>1144</v>
      </c>
      <c r="U240" s="7" t="s">
        <v>966</v>
      </c>
      <c r="V240" s="65">
        <v>952.0</v>
      </c>
      <c r="W240" s="7"/>
      <c r="X240" s="7"/>
    </row>
    <row r="241">
      <c r="A241" s="74">
        <v>1.0</v>
      </c>
      <c r="B241" s="45">
        <v>45835.839895833335</v>
      </c>
      <c r="C241" s="7" t="s">
        <v>443</v>
      </c>
      <c r="D241" s="7" t="s">
        <v>60</v>
      </c>
      <c r="E241" s="74">
        <v>1.0</v>
      </c>
      <c r="F241" s="46"/>
      <c r="G241" s="47">
        <v>33.97</v>
      </c>
      <c r="H241" s="47">
        <v>0.0</v>
      </c>
      <c r="I241" s="7"/>
      <c r="J241" s="47">
        <v>1.29</v>
      </c>
      <c r="K241" s="8">
        <f t="shared" si="1"/>
        <v>32.68</v>
      </c>
      <c r="L241" s="8"/>
      <c r="M241" s="7"/>
      <c r="N241" s="7"/>
      <c r="O241" s="7"/>
      <c r="P241" s="7"/>
      <c r="Q241" s="7" t="s">
        <v>490</v>
      </c>
      <c r="R241" s="7" t="s">
        <v>1145</v>
      </c>
      <c r="S241" s="7" t="s">
        <v>1146</v>
      </c>
      <c r="T241" s="7" t="s">
        <v>1147</v>
      </c>
      <c r="U241" s="7" t="s">
        <v>493</v>
      </c>
      <c r="V241" s="65">
        <v>946.0</v>
      </c>
      <c r="W241" s="7"/>
      <c r="X241" s="7"/>
    </row>
    <row r="242">
      <c r="A242" s="74">
        <v>1.0</v>
      </c>
      <c r="B242" s="45">
        <v>45835.838541666664</v>
      </c>
      <c r="C242" s="7" t="s">
        <v>217</v>
      </c>
      <c r="D242" s="7" t="s">
        <v>60</v>
      </c>
      <c r="E242" s="74">
        <v>1.0</v>
      </c>
      <c r="F242" s="46"/>
      <c r="G242" s="47">
        <v>50.29</v>
      </c>
      <c r="H242" s="47">
        <v>0.0</v>
      </c>
      <c r="I242" s="7"/>
      <c r="J242" s="47">
        <v>2.51</v>
      </c>
      <c r="K242" s="8">
        <f t="shared" si="1"/>
        <v>47.78</v>
      </c>
      <c r="L242" s="8"/>
      <c r="M242" s="7"/>
      <c r="N242" s="7"/>
      <c r="O242" s="7"/>
      <c r="P242" s="7"/>
      <c r="Q242" s="7" t="s">
        <v>490</v>
      </c>
      <c r="R242" s="7" t="s">
        <v>1148</v>
      </c>
      <c r="S242" s="7" t="s">
        <v>1149</v>
      </c>
      <c r="T242" s="7" t="s">
        <v>1150</v>
      </c>
      <c r="U242" s="7" t="s">
        <v>555</v>
      </c>
      <c r="V242" s="65">
        <v>944.0</v>
      </c>
      <c r="W242" s="7"/>
      <c r="X242" s="7"/>
    </row>
    <row r="243">
      <c r="A243" s="74">
        <v>1.0</v>
      </c>
      <c r="B243" s="45">
        <v>45835.82958333333</v>
      </c>
      <c r="C243" s="7" t="s">
        <v>244</v>
      </c>
      <c r="D243" s="7" t="s">
        <v>60</v>
      </c>
      <c r="E243" s="74">
        <v>1.0</v>
      </c>
      <c r="F243" s="46"/>
      <c r="G243" s="47">
        <v>71.64</v>
      </c>
      <c r="H243" s="47">
        <v>0.0</v>
      </c>
      <c r="I243" s="7"/>
      <c r="J243" s="47">
        <v>2.38</v>
      </c>
      <c r="K243" s="8">
        <f t="shared" si="1"/>
        <v>69.26</v>
      </c>
      <c r="L243" s="8"/>
      <c r="M243" s="7"/>
      <c r="N243" s="7"/>
      <c r="O243" s="7"/>
      <c r="P243" s="7"/>
      <c r="Q243" s="7" t="s">
        <v>490</v>
      </c>
      <c r="R243" s="7" t="s">
        <v>1151</v>
      </c>
      <c r="S243" s="7"/>
      <c r="T243" s="7" t="s">
        <v>1152</v>
      </c>
      <c r="U243" s="7" t="s">
        <v>493</v>
      </c>
      <c r="V243" s="65">
        <v>940.0</v>
      </c>
      <c r="W243" s="7"/>
      <c r="X243" s="7"/>
    </row>
    <row r="244">
      <c r="A244" s="74">
        <v>1.0</v>
      </c>
      <c r="B244" s="45">
        <v>45835.825787037036</v>
      </c>
      <c r="C244" s="7" t="s">
        <v>1153</v>
      </c>
      <c r="D244" s="7" t="s">
        <v>60</v>
      </c>
      <c r="E244" s="74">
        <v>1.0</v>
      </c>
      <c r="F244" s="46"/>
      <c r="G244" s="47">
        <v>34.5</v>
      </c>
      <c r="H244" s="47">
        <v>0.0</v>
      </c>
      <c r="I244" s="7"/>
      <c r="J244" s="47">
        <v>1.3</v>
      </c>
      <c r="K244" s="8">
        <f t="shared" si="1"/>
        <v>33.2</v>
      </c>
      <c r="L244" s="8"/>
      <c r="M244" s="7"/>
      <c r="N244" s="7"/>
      <c r="O244" s="7"/>
      <c r="P244" s="7"/>
      <c r="Q244" s="7" t="s">
        <v>490</v>
      </c>
      <c r="R244" s="7" t="s">
        <v>1154</v>
      </c>
      <c r="S244" s="7"/>
      <c r="T244" s="7" t="s">
        <v>1155</v>
      </c>
      <c r="U244" s="7" t="s">
        <v>493</v>
      </c>
      <c r="V244" s="65">
        <v>937.0</v>
      </c>
      <c r="W244" s="7"/>
      <c r="X244" s="7"/>
    </row>
    <row r="245">
      <c r="A245" s="74">
        <v>1.0</v>
      </c>
      <c r="B245" s="45">
        <v>45835.82371527778</v>
      </c>
      <c r="C245" s="7" t="s">
        <v>1156</v>
      </c>
      <c r="D245" s="7" t="s">
        <v>60</v>
      </c>
      <c r="E245" s="74">
        <v>1.0</v>
      </c>
      <c r="F245" s="46"/>
      <c r="G245" s="47">
        <v>34.62</v>
      </c>
      <c r="H245" s="47">
        <v>0.0</v>
      </c>
      <c r="I245" s="7"/>
      <c r="J245" s="47">
        <v>1.3</v>
      </c>
      <c r="K245" s="8">
        <f t="shared" si="1"/>
        <v>33.32</v>
      </c>
      <c r="L245" s="8"/>
      <c r="M245" s="7"/>
      <c r="N245" s="7"/>
      <c r="O245" s="7"/>
      <c r="P245" s="7"/>
      <c r="Q245" s="7" t="s">
        <v>490</v>
      </c>
      <c r="R245" s="7" t="s">
        <v>1157</v>
      </c>
      <c r="S245" s="7"/>
      <c r="T245" s="7" t="s">
        <v>1158</v>
      </c>
      <c r="U245" s="7" t="s">
        <v>493</v>
      </c>
      <c r="V245" s="65">
        <v>935.0</v>
      </c>
      <c r="W245" s="7"/>
      <c r="X245" s="7"/>
    </row>
    <row r="246">
      <c r="A246" s="74">
        <v>1.0</v>
      </c>
      <c r="B246" s="45">
        <v>45835.81883101852</v>
      </c>
      <c r="C246" s="7" t="s">
        <v>1159</v>
      </c>
      <c r="D246" s="67" t="s">
        <v>1027</v>
      </c>
      <c r="E246" s="74">
        <v>1.0</v>
      </c>
      <c r="F246" s="74">
        <v>1.0</v>
      </c>
      <c r="G246" s="47">
        <v>151.37</v>
      </c>
      <c r="H246" s="47">
        <v>0.0</v>
      </c>
      <c r="I246" s="7"/>
      <c r="J246" s="47">
        <v>6.96</v>
      </c>
      <c r="K246" s="8">
        <f t="shared" si="1"/>
        <v>144.41</v>
      </c>
      <c r="L246" s="8"/>
      <c r="M246" s="7"/>
      <c r="N246" s="7"/>
      <c r="O246" s="7"/>
      <c r="P246" s="7"/>
      <c r="Q246" s="7" t="s">
        <v>490</v>
      </c>
      <c r="R246" s="7" t="s">
        <v>1160</v>
      </c>
      <c r="S246" s="7"/>
      <c r="T246" s="7" t="s">
        <v>1161</v>
      </c>
      <c r="U246" s="7" t="s">
        <v>939</v>
      </c>
      <c r="V246" s="65">
        <v>914.0</v>
      </c>
      <c r="W246" s="7"/>
      <c r="X246" s="7"/>
    </row>
    <row r="247">
      <c r="A247" s="74">
        <v>1.0</v>
      </c>
      <c r="B247" s="45">
        <v>45835.81564814815</v>
      </c>
      <c r="C247" s="7" t="s">
        <v>1162</v>
      </c>
      <c r="D247" s="7" t="s">
        <v>60</v>
      </c>
      <c r="E247" s="74">
        <v>1.0</v>
      </c>
      <c r="F247" s="46"/>
      <c r="G247" s="47">
        <v>34.07</v>
      </c>
      <c r="H247" s="47">
        <v>0.0</v>
      </c>
      <c r="I247" s="7"/>
      <c r="J247" s="47">
        <v>1.29</v>
      </c>
      <c r="K247" s="8">
        <f t="shared" si="1"/>
        <v>32.78</v>
      </c>
      <c r="L247" s="8"/>
      <c r="M247" s="7"/>
      <c r="N247" s="7"/>
      <c r="O247" s="7"/>
      <c r="P247" s="7"/>
      <c r="Q247" s="7" t="s">
        <v>490</v>
      </c>
      <c r="R247" s="7" t="s">
        <v>1163</v>
      </c>
      <c r="S247" s="7"/>
      <c r="T247" s="7" t="s">
        <v>653</v>
      </c>
      <c r="U247" s="7" t="s">
        <v>493</v>
      </c>
      <c r="V247" s="65">
        <v>930.0</v>
      </c>
      <c r="W247" s="7"/>
      <c r="X247" s="7"/>
    </row>
    <row r="248">
      <c r="A248" s="74">
        <v>1.0</v>
      </c>
      <c r="B248" s="45">
        <v>45835.812256944446</v>
      </c>
      <c r="C248" s="7" t="s">
        <v>1164</v>
      </c>
      <c r="D248" s="67" t="s">
        <v>1027</v>
      </c>
      <c r="E248" s="74">
        <v>1.0</v>
      </c>
      <c r="F248" s="74">
        <v>1.0</v>
      </c>
      <c r="G248" s="47">
        <v>149.94</v>
      </c>
      <c r="H248" s="47">
        <v>0.0</v>
      </c>
      <c r="I248" s="7"/>
      <c r="J248" s="47">
        <v>6.9</v>
      </c>
      <c r="K248" s="8">
        <f t="shared" si="1"/>
        <v>143.04</v>
      </c>
      <c r="L248" s="8"/>
      <c r="M248" s="7"/>
      <c r="N248" s="7"/>
      <c r="O248" s="7"/>
      <c r="P248" s="7"/>
      <c r="Q248" s="7" t="s">
        <v>490</v>
      </c>
      <c r="R248" s="7" t="s">
        <v>1165</v>
      </c>
      <c r="S248" s="7" t="s">
        <v>1166</v>
      </c>
      <c r="T248" s="7" t="s">
        <v>1167</v>
      </c>
      <c r="U248" s="7" t="s">
        <v>542</v>
      </c>
      <c r="V248" s="65">
        <v>928.0</v>
      </c>
      <c r="W248" s="7"/>
      <c r="X248" s="7"/>
    </row>
    <row r="249">
      <c r="A249" s="74">
        <v>1.0</v>
      </c>
      <c r="B249" s="45">
        <v>45835.811956018515</v>
      </c>
      <c r="C249" s="7" t="s">
        <v>1168</v>
      </c>
      <c r="D249" s="7" t="s">
        <v>60</v>
      </c>
      <c r="E249" s="74">
        <v>1.0</v>
      </c>
      <c r="F249" s="46"/>
      <c r="G249" s="47">
        <v>34.5</v>
      </c>
      <c r="H249" s="47">
        <v>0.0</v>
      </c>
      <c r="I249" s="7"/>
      <c r="J249" s="47">
        <v>1.3</v>
      </c>
      <c r="K249" s="8">
        <f t="shared" si="1"/>
        <v>33.2</v>
      </c>
      <c r="L249" s="8"/>
      <c r="M249" s="7"/>
      <c r="N249" s="7"/>
      <c r="O249" s="7"/>
      <c r="P249" s="7"/>
      <c r="Q249" s="7" t="s">
        <v>490</v>
      </c>
      <c r="R249" s="7" t="s">
        <v>1169</v>
      </c>
      <c r="S249" s="7" t="s">
        <v>1170</v>
      </c>
      <c r="T249" s="7" t="s">
        <v>1171</v>
      </c>
      <c r="U249" s="7" t="s">
        <v>493</v>
      </c>
      <c r="V249" s="65">
        <v>927.0</v>
      </c>
      <c r="W249" s="7"/>
      <c r="X249" s="7"/>
    </row>
    <row r="250">
      <c r="A250" s="74">
        <v>1.0</v>
      </c>
      <c r="B250" s="45">
        <v>45835.80981481481</v>
      </c>
      <c r="C250" s="7" t="s">
        <v>1172</v>
      </c>
      <c r="D250" s="7" t="s">
        <v>60</v>
      </c>
      <c r="E250" s="74">
        <v>1.0</v>
      </c>
      <c r="F250" s="46"/>
      <c r="G250" s="47">
        <v>51.37</v>
      </c>
      <c r="H250" s="47">
        <v>0.0</v>
      </c>
      <c r="I250" s="7"/>
      <c r="J250" s="47">
        <v>2.56</v>
      </c>
      <c r="K250" s="8">
        <f t="shared" si="1"/>
        <v>48.81</v>
      </c>
      <c r="L250" s="8"/>
      <c r="M250" s="7"/>
      <c r="N250" s="7"/>
      <c r="O250" s="7"/>
      <c r="P250" s="7"/>
      <c r="Q250" s="7" t="s">
        <v>490</v>
      </c>
      <c r="R250" s="7" t="s">
        <v>1173</v>
      </c>
      <c r="S250" s="7"/>
      <c r="T250" s="7" t="s">
        <v>1174</v>
      </c>
      <c r="U250" s="7" t="s">
        <v>1175</v>
      </c>
      <c r="V250" s="65">
        <v>922.0</v>
      </c>
      <c r="W250" s="7"/>
      <c r="X250" s="7"/>
    </row>
    <row r="251">
      <c r="A251" s="74">
        <v>1.0</v>
      </c>
      <c r="B251" s="45">
        <v>45835.80861111111</v>
      </c>
      <c r="C251" s="7" t="s">
        <v>358</v>
      </c>
      <c r="D251" s="7" t="s">
        <v>60</v>
      </c>
      <c r="E251" s="74">
        <v>1.0</v>
      </c>
      <c r="F251" s="46"/>
      <c r="G251" s="47">
        <v>36.33</v>
      </c>
      <c r="H251" s="47">
        <v>0.0</v>
      </c>
      <c r="I251" s="7"/>
      <c r="J251" s="47">
        <v>1.35</v>
      </c>
      <c r="K251" s="8">
        <f t="shared" si="1"/>
        <v>34.98</v>
      </c>
      <c r="L251" s="8"/>
      <c r="M251" s="7"/>
      <c r="N251" s="7"/>
      <c r="O251" s="7"/>
      <c r="P251" s="7"/>
      <c r="Q251" s="7" t="s">
        <v>490</v>
      </c>
      <c r="R251" s="7" t="s">
        <v>1176</v>
      </c>
      <c r="S251" s="7"/>
      <c r="T251" s="7" t="s">
        <v>1147</v>
      </c>
      <c r="U251" s="7" t="s">
        <v>493</v>
      </c>
      <c r="V251" s="65">
        <v>923.0</v>
      </c>
      <c r="W251" s="7"/>
      <c r="X251" s="7"/>
    </row>
    <row r="252">
      <c r="A252" s="74">
        <v>1.0</v>
      </c>
      <c r="B252" s="45">
        <v>45835.80688657407</v>
      </c>
      <c r="C252" s="7" t="s">
        <v>1177</v>
      </c>
      <c r="D252" s="7" t="s">
        <v>60</v>
      </c>
      <c r="E252" s="74">
        <v>1.0</v>
      </c>
      <c r="F252" s="46"/>
      <c r="G252" s="47">
        <v>34.5</v>
      </c>
      <c r="H252" s="47">
        <v>0.0</v>
      </c>
      <c r="I252" s="7"/>
      <c r="J252" s="47">
        <v>1.3</v>
      </c>
      <c r="K252" s="8">
        <f t="shared" si="1"/>
        <v>33.2</v>
      </c>
      <c r="L252" s="8"/>
      <c r="M252" s="7"/>
      <c r="N252" s="7"/>
      <c r="O252" s="7"/>
      <c r="P252" s="7"/>
      <c r="Q252" s="7" t="s">
        <v>490</v>
      </c>
      <c r="R252" s="7" t="s">
        <v>1178</v>
      </c>
      <c r="S252" s="7"/>
      <c r="T252" s="7" t="s">
        <v>1179</v>
      </c>
      <c r="U252" s="7" t="s">
        <v>493</v>
      </c>
      <c r="V252" s="65">
        <v>918.0</v>
      </c>
      <c r="W252" s="7"/>
      <c r="X252" s="7"/>
    </row>
    <row r="253">
      <c r="A253" s="74">
        <v>1.0</v>
      </c>
      <c r="B253" s="45">
        <v>45835.80042824074</v>
      </c>
      <c r="C253" s="7" t="s">
        <v>1180</v>
      </c>
      <c r="D253" s="7" t="s">
        <v>60</v>
      </c>
      <c r="E253" s="74">
        <v>1.0</v>
      </c>
      <c r="F253" s="46"/>
      <c r="G253" s="47">
        <v>34.62</v>
      </c>
      <c r="H253" s="47">
        <v>0.0</v>
      </c>
      <c r="I253" s="7"/>
      <c r="J253" s="47">
        <v>1.82</v>
      </c>
      <c r="K253" s="8">
        <f t="shared" si="1"/>
        <v>32.8</v>
      </c>
      <c r="L253" s="8"/>
      <c r="M253" s="7"/>
      <c r="N253" s="7"/>
      <c r="O253" s="7"/>
      <c r="P253" s="7"/>
      <c r="Q253" s="7" t="s">
        <v>490</v>
      </c>
      <c r="R253" s="7" t="s">
        <v>1181</v>
      </c>
      <c r="S253" s="7" t="s">
        <v>1182</v>
      </c>
      <c r="T253" s="7" t="s">
        <v>572</v>
      </c>
      <c r="U253" s="7" t="s">
        <v>510</v>
      </c>
      <c r="V253" s="65">
        <v>909.0</v>
      </c>
      <c r="W253" s="7"/>
      <c r="X253" s="7"/>
    </row>
    <row r="254">
      <c r="A254" s="74">
        <v>1.0</v>
      </c>
      <c r="B254" s="45">
        <v>45835.79665509259</v>
      </c>
      <c r="C254" s="7" t="s">
        <v>1183</v>
      </c>
      <c r="D254" s="7" t="s">
        <v>60</v>
      </c>
      <c r="E254" s="74">
        <v>1.0</v>
      </c>
      <c r="F254" s="46"/>
      <c r="G254" s="47">
        <v>34.5</v>
      </c>
      <c r="H254" s="47">
        <v>0.0</v>
      </c>
      <c r="I254" s="7"/>
      <c r="J254" s="47">
        <v>1.3</v>
      </c>
      <c r="K254" s="8">
        <f t="shared" si="1"/>
        <v>33.2</v>
      </c>
      <c r="L254" s="8"/>
      <c r="M254" s="7"/>
      <c r="N254" s="7"/>
      <c r="O254" s="7"/>
      <c r="P254" s="7"/>
      <c r="Q254" s="7" t="s">
        <v>490</v>
      </c>
      <c r="R254" s="7" t="s">
        <v>1184</v>
      </c>
      <c r="S254" s="7"/>
      <c r="T254" s="7" t="s">
        <v>1185</v>
      </c>
      <c r="U254" s="7" t="s">
        <v>493</v>
      </c>
      <c r="V254" s="65">
        <v>906.0</v>
      </c>
      <c r="W254" s="7"/>
      <c r="X254" s="7"/>
    </row>
    <row r="255">
      <c r="A255" s="74">
        <v>1.0</v>
      </c>
      <c r="B255" s="45">
        <v>45835.7953125</v>
      </c>
      <c r="C255" s="7" t="s">
        <v>410</v>
      </c>
      <c r="D255" s="7" t="s">
        <v>60</v>
      </c>
      <c r="E255" s="74">
        <v>1.0</v>
      </c>
      <c r="F255" s="46"/>
      <c r="G255" s="47">
        <v>34.5</v>
      </c>
      <c r="H255" s="47">
        <v>0.0</v>
      </c>
      <c r="I255" s="7"/>
      <c r="J255" s="47">
        <v>1.3</v>
      </c>
      <c r="K255" s="8">
        <f t="shared" si="1"/>
        <v>33.2</v>
      </c>
      <c r="L255" s="8"/>
      <c r="M255" s="7"/>
      <c r="N255" s="7"/>
      <c r="O255" s="7"/>
      <c r="P255" s="7"/>
      <c r="Q255" s="7" t="s">
        <v>490</v>
      </c>
      <c r="R255" s="7" t="s">
        <v>1186</v>
      </c>
      <c r="S255" s="7"/>
      <c r="T255" s="7" t="s">
        <v>1187</v>
      </c>
      <c r="U255" s="7" t="s">
        <v>493</v>
      </c>
      <c r="V255" s="65">
        <v>899.0</v>
      </c>
      <c r="W255" s="7"/>
      <c r="X255" s="7"/>
    </row>
    <row r="256">
      <c r="A256" s="74">
        <v>1.0</v>
      </c>
      <c r="B256" s="45">
        <v>45835.79415509259</v>
      </c>
      <c r="C256" s="7" t="s">
        <v>1188</v>
      </c>
      <c r="D256" s="7" t="s">
        <v>60</v>
      </c>
      <c r="E256" s="74">
        <v>1.0</v>
      </c>
      <c r="F256" s="46"/>
      <c r="G256" s="47">
        <v>49.24</v>
      </c>
      <c r="H256" s="47">
        <v>0.0</v>
      </c>
      <c r="I256" s="7"/>
      <c r="J256" s="47">
        <v>2.47</v>
      </c>
      <c r="K256" s="8">
        <f t="shared" si="1"/>
        <v>46.77</v>
      </c>
      <c r="L256" s="8"/>
      <c r="M256" s="7"/>
      <c r="N256" s="7"/>
      <c r="O256" s="7"/>
      <c r="P256" s="7"/>
      <c r="Q256" s="7" t="s">
        <v>490</v>
      </c>
      <c r="R256" s="7" t="s">
        <v>1189</v>
      </c>
      <c r="S256" s="7"/>
      <c r="T256" s="7" t="s">
        <v>1190</v>
      </c>
      <c r="U256" s="7" t="s">
        <v>525</v>
      </c>
      <c r="V256" s="65">
        <v>898.0</v>
      </c>
      <c r="W256" s="7"/>
      <c r="X256" s="7"/>
    </row>
    <row r="257">
      <c r="A257" s="74">
        <v>1.0</v>
      </c>
      <c r="B257" s="45">
        <v>45835.790868055556</v>
      </c>
      <c r="C257" s="7" t="s">
        <v>1191</v>
      </c>
      <c r="D257" s="7" t="s">
        <v>60</v>
      </c>
      <c r="E257" s="74">
        <v>1.0</v>
      </c>
      <c r="F257" s="46"/>
      <c r="G257" s="47">
        <v>39.57</v>
      </c>
      <c r="H257" s="47">
        <v>0.0</v>
      </c>
      <c r="I257" s="7"/>
      <c r="J257" s="47">
        <v>1.45</v>
      </c>
      <c r="K257" s="8">
        <f t="shared" si="1"/>
        <v>38.12</v>
      </c>
      <c r="L257" s="8"/>
      <c r="M257" s="7"/>
      <c r="N257" s="7"/>
      <c r="O257" s="7"/>
      <c r="P257" s="7"/>
      <c r="Q257" s="7" t="s">
        <v>490</v>
      </c>
      <c r="R257" s="7" t="s">
        <v>1192</v>
      </c>
      <c r="S257" s="7"/>
      <c r="T257" s="7" t="s">
        <v>1193</v>
      </c>
      <c r="U257" s="7" t="s">
        <v>493</v>
      </c>
      <c r="V257" s="65">
        <v>896.0</v>
      </c>
      <c r="W257" s="7"/>
      <c r="X257" s="7"/>
    </row>
    <row r="258">
      <c r="A258" s="74">
        <v>1.0</v>
      </c>
      <c r="B258" s="45">
        <v>45835.79050925926</v>
      </c>
      <c r="C258" s="7" t="s">
        <v>1194</v>
      </c>
      <c r="D258" s="67" t="s">
        <v>1027</v>
      </c>
      <c r="E258" s="74">
        <v>1.0</v>
      </c>
      <c r="F258" s="74">
        <v>1.0</v>
      </c>
      <c r="G258" s="47">
        <v>148.72</v>
      </c>
      <c r="H258" s="47">
        <v>0.0</v>
      </c>
      <c r="I258" s="7"/>
      <c r="J258" s="47">
        <v>6.84</v>
      </c>
      <c r="K258" s="8">
        <f t="shared" si="1"/>
        <v>141.88</v>
      </c>
      <c r="L258" s="8"/>
      <c r="M258" s="7"/>
      <c r="N258" s="7"/>
      <c r="O258" s="7"/>
      <c r="P258" s="7"/>
      <c r="Q258" s="7" t="s">
        <v>490</v>
      </c>
      <c r="R258" s="7" t="s">
        <v>1195</v>
      </c>
      <c r="S258" s="7"/>
      <c r="T258" s="7" t="s">
        <v>1196</v>
      </c>
      <c r="U258" s="7" t="s">
        <v>1197</v>
      </c>
      <c r="V258" s="65">
        <v>889.0</v>
      </c>
      <c r="W258" s="7"/>
      <c r="X258" s="7"/>
    </row>
    <row r="259">
      <c r="A259" s="74">
        <v>1.0</v>
      </c>
      <c r="B259" s="45">
        <v>45835.78653935185</v>
      </c>
      <c r="C259" s="7" t="s">
        <v>1198</v>
      </c>
      <c r="D259" s="7" t="s">
        <v>60</v>
      </c>
      <c r="E259" s="74">
        <v>1.0</v>
      </c>
      <c r="F259" s="46"/>
      <c r="G259" s="47">
        <v>35.78</v>
      </c>
      <c r="H259" s="47">
        <v>0.0</v>
      </c>
      <c r="I259" s="7"/>
      <c r="J259" s="47">
        <v>1.34</v>
      </c>
      <c r="K259" s="8">
        <f t="shared" si="1"/>
        <v>34.44</v>
      </c>
      <c r="L259" s="8"/>
      <c r="M259" s="7"/>
      <c r="N259" s="7"/>
      <c r="O259" s="7"/>
      <c r="P259" s="7"/>
      <c r="Q259" s="7" t="s">
        <v>490</v>
      </c>
      <c r="R259" s="7" t="s">
        <v>1199</v>
      </c>
      <c r="S259" s="7"/>
      <c r="T259" s="7" t="s">
        <v>1200</v>
      </c>
      <c r="U259" s="7" t="s">
        <v>493</v>
      </c>
      <c r="V259" s="65">
        <v>891.0</v>
      </c>
      <c r="W259" s="7"/>
      <c r="X259" s="7"/>
    </row>
    <row r="260">
      <c r="A260" s="74">
        <v>1.0</v>
      </c>
      <c r="B260" s="45">
        <v>45835.78556712963</v>
      </c>
      <c r="C260" s="7" t="s">
        <v>1201</v>
      </c>
      <c r="D260" s="7" t="s">
        <v>60</v>
      </c>
      <c r="E260" s="74">
        <v>1.0</v>
      </c>
      <c r="F260" s="46"/>
      <c r="G260" s="47">
        <v>51.37</v>
      </c>
      <c r="H260" s="47">
        <v>0.0</v>
      </c>
      <c r="I260" s="7"/>
      <c r="J260" s="47">
        <v>2.56</v>
      </c>
      <c r="K260" s="8">
        <f t="shared" si="1"/>
        <v>48.81</v>
      </c>
      <c r="L260" s="8"/>
      <c r="M260" s="7"/>
      <c r="N260" s="7"/>
      <c r="O260" s="7"/>
      <c r="P260" s="7"/>
      <c r="Q260" s="7" t="s">
        <v>490</v>
      </c>
      <c r="R260" s="7" t="s">
        <v>1202</v>
      </c>
      <c r="S260" s="7"/>
      <c r="T260" s="7" t="s">
        <v>1203</v>
      </c>
      <c r="U260" s="7" t="s">
        <v>939</v>
      </c>
      <c r="V260" s="65">
        <v>888.0</v>
      </c>
      <c r="W260" s="7"/>
      <c r="X260" s="7"/>
    </row>
    <row r="261">
      <c r="A261" s="74">
        <v>1.0</v>
      </c>
      <c r="B261" s="45">
        <v>45835.783159722225</v>
      </c>
      <c r="C261" s="7" t="s">
        <v>1204</v>
      </c>
      <c r="D261" s="7" t="s">
        <v>60</v>
      </c>
      <c r="E261" s="74">
        <v>1.0</v>
      </c>
      <c r="F261" s="46"/>
      <c r="G261" s="47">
        <v>51.37</v>
      </c>
      <c r="H261" s="47">
        <v>0.0</v>
      </c>
      <c r="I261" s="7"/>
      <c r="J261" s="47">
        <v>2.56</v>
      </c>
      <c r="K261" s="8">
        <f t="shared" si="1"/>
        <v>48.81</v>
      </c>
      <c r="L261" s="8"/>
      <c r="M261" s="7"/>
      <c r="N261" s="7"/>
      <c r="O261" s="7"/>
      <c r="P261" s="7"/>
      <c r="Q261" s="7" t="s">
        <v>490</v>
      </c>
      <c r="R261" s="7" t="s">
        <v>1205</v>
      </c>
      <c r="S261" s="7"/>
      <c r="T261" s="7" t="s">
        <v>1206</v>
      </c>
      <c r="U261" s="7" t="s">
        <v>726</v>
      </c>
      <c r="V261" s="65">
        <v>885.0</v>
      </c>
      <c r="W261" s="7"/>
      <c r="X261" s="7"/>
    </row>
    <row r="262">
      <c r="A262" s="74">
        <v>1.0</v>
      </c>
      <c r="B262" s="45">
        <v>45835.782372685186</v>
      </c>
      <c r="C262" s="7" t="s">
        <v>1207</v>
      </c>
      <c r="D262" s="7" t="s">
        <v>60</v>
      </c>
      <c r="E262" s="74">
        <v>1.0</v>
      </c>
      <c r="F262" s="46"/>
      <c r="G262" s="47">
        <v>34.62</v>
      </c>
      <c r="H262" s="47">
        <v>0.0</v>
      </c>
      <c r="I262" s="7"/>
      <c r="J262" s="47">
        <v>1.3</v>
      </c>
      <c r="K262" s="8">
        <f t="shared" si="1"/>
        <v>33.32</v>
      </c>
      <c r="L262" s="8"/>
      <c r="M262" s="7"/>
      <c r="N262" s="7"/>
      <c r="O262" s="7"/>
      <c r="P262" s="7"/>
      <c r="Q262" s="7" t="s">
        <v>490</v>
      </c>
      <c r="R262" s="7" t="s">
        <v>1208</v>
      </c>
      <c r="S262" s="7"/>
      <c r="T262" s="7" t="s">
        <v>1209</v>
      </c>
      <c r="U262" s="7" t="s">
        <v>493</v>
      </c>
      <c r="V262" s="65">
        <v>880.0</v>
      </c>
      <c r="W262" s="7"/>
      <c r="X262" s="7"/>
    </row>
    <row r="263">
      <c r="A263" s="74">
        <v>1.0</v>
      </c>
      <c r="B263" s="45">
        <v>45835.782164351855</v>
      </c>
      <c r="C263" s="7" t="s">
        <v>328</v>
      </c>
      <c r="D263" s="7" t="s">
        <v>60</v>
      </c>
      <c r="E263" s="74">
        <v>1.0</v>
      </c>
      <c r="F263" s="46"/>
      <c r="G263" s="47">
        <v>34.32</v>
      </c>
      <c r="H263" s="47">
        <v>0.0</v>
      </c>
      <c r="I263" s="7"/>
      <c r="J263" s="47">
        <v>1.3</v>
      </c>
      <c r="K263" s="8">
        <f t="shared" si="1"/>
        <v>33.02</v>
      </c>
      <c r="L263" s="8"/>
      <c r="M263" s="7"/>
      <c r="N263" s="7"/>
      <c r="O263" s="7"/>
      <c r="P263" s="7"/>
      <c r="Q263" s="7" t="s">
        <v>490</v>
      </c>
      <c r="R263" s="7" t="s">
        <v>1210</v>
      </c>
      <c r="S263" s="7"/>
      <c r="T263" s="7" t="s">
        <v>1211</v>
      </c>
      <c r="U263" s="7" t="s">
        <v>493</v>
      </c>
      <c r="V263" s="65">
        <v>884.0</v>
      </c>
      <c r="W263" s="7"/>
      <c r="X263" s="7"/>
    </row>
    <row r="264">
      <c r="A264" s="74">
        <v>1.0</v>
      </c>
      <c r="B264" s="45">
        <v>45835.78210648148</v>
      </c>
      <c r="C264" s="7" t="s">
        <v>1212</v>
      </c>
      <c r="D264" s="7" t="s">
        <v>60</v>
      </c>
      <c r="E264" s="74">
        <v>1.0</v>
      </c>
      <c r="F264" s="46"/>
      <c r="G264" s="47">
        <v>38.59</v>
      </c>
      <c r="H264" s="47">
        <v>0.0</v>
      </c>
      <c r="I264" s="7"/>
      <c r="J264" s="47">
        <v>1.42</v>
      </c>
      <c r="K264" s="8">
        <f t="shared" si="1"/>
        <v>37.17</v>
      </c>
      <c r="L264" s="8"/>
      <c r="M264" s="7"/>
      <c r="N264" s="7"/>
      <c r="O264" s="7"/>
      <c r="P264" s="7"/>
      <c r="Q264" s="7" t="s">
        <v>490</v>
      </c>
      <c r="R264" s="7" t="s">
        <v>1213</v>
      </c>
      <c r="S264" s="7"/>
      <c r="T264" s="7" t="s">
        <v>549</v>
      </c>
      <c r="U264" s="7" t="s">
        <v>493</v>
      </c>
      <c r="V264" s="65">
        <v>881.0</v>
      </c>
      <c r="W264" s="7"/>
      <c r="X264" s="7"/>
    </row>
    <row r="265">
      <c r="A265" s="74">
        <v>1.0</v>
      </c>
      <c r="B265" s="45">
        <v>45835.78084490741</v>
      </c>
      <c r="C265" s="7" t="s">
        <v>433</v>
      </c>
      <c r="D265" s="67" t="s">
        <v>1027</v>
      </c>
      <c r="E265" s="74">
        <v>1.0</v>
      </c>
      <c r="F265" s="74">
        <v>1.0</v>
      </c>
      <c r="G265" s="47">
        <v>138.54</v>
      </c>
      <c r="H265" s="47">
        <v>0.0</v>
      </c>
      <c r="I265" s="7"/>
      <c r="J265" s="47">
        <v>4.32</v>
      </c>
      <c r="K265" s="8">
        <f t="shared" si="1"/>
        <v>134.22</v>
      </c>
      <c r="L265" s="8"/>
      <c r="M265" s="7"/>
      <c r="N265" s="7"/>
      <c r="O265" s="7"/>
      <c r="P265" s="7"/>
      <c r="Q265" s="7" t="s">
        <v>490</v>
      </c>
      <c r="R265" s="7" t="s">
        <v>1214</v>
      </c>
      <c r="S265" s="7" t="s">
        <v>1215</v>
      </c>
      <c r="T265" s="7" t="s">
        <v>850</v>
      </c>
      <c r="U265" s="7" t="s">
        <v>493</v>
      </c>
      <c r="V265" s="65">
        <v>879.0</v>
      </c>
      <c r="W265" s="7"/>
      <c r="X265" s="7"/>
    </row>
    <row r="266">
      <c r="A266" s="74">
        <v>1.0</v>
      </c>
      <c r="B266" s="45">
        <v>45835.780023148145</v>
      </c>
      <c r="C266" s="7" t="s">
        <v>1216</v>
      </c>
      <c r="D266" s="7" t="s">
        <v>60</v>
      </c>
      <c r="E266" s="74">
        <v>1.0</v>
      </c>
      <c r="F266" s="46"/>
      <c r="G266" s="47">
        <v>38.54</v>
      </c>
      <c r="H266" s="47">
        <v>0.0</v>
      </c>
      <c r="I266" s="7"/>
      <c r="J266" s="47">
        <v>1.42</v>
      </c>
      <c r="K266" s="8">
        <f t="shared" si="1"/>
        <v>37.12</v>
      </c>
      <c r="L266" s="8"/>
      <c r="M266" s="7"/>
      <c r="N266" s="7"/>
      <c r="O266" s="7"/>
      <c r="P266" s="7"/>
      <c r="Q266" s="7" t="s">
        <v>490</v>
      </c>
      <c r="R266" s="7" t="s">
        <v>1217</v>
      </c>
      <c r="S266" s="7"/>
      <c r="T266" s="7" t="s">
        <v>1218</v>
      </c>
      <c r="U266" s="7" t="s">
        <v>493</v>
      </c>
      <c r="V266" s="65">
        <v>875.0</v>
      </c>
      <c r="W266" s="7"/>
      <c r="X266" s="7"/>
    </row>
    <row r="267">
      <c r="A267" s="74">
        <v>1.0</v>
      </c>
      <c r="B267" s="45">
        <v>45835.77953703704</v>
      </c>
      <c r="C267" s="7" t="s">
        <v>1219</v>
      </c>
      <c r="D267" s="7" t="s">
        <v>60</v>
      </c>
      <c r="E267" s="74">
        <v>1.0</v>
      </c>
      <c r="F267" s="46"/>
      <c r="G267" s="47">
        <v>34.5</v>
      </c>
      <c r="H267" s="47">
        <v>0.0</v>
      </c>
      <c r="I267" s="7"/>
      <c r="J267" s="47">
        <v>1.3</v>
      </c>
      <c r="K267" s="8">
        <f t="shared" si="1"/>
        <v>33.2</v>
      </c>
      <c r="L267" s="8"/>
      <c r="M267" s="7"/>
      <c r="N267" s="7"/>
      <c r="O267" s="7"/>
      <c r="P267" s="7"/>
      <c r="Q267" s="7" t="s">
        <v>490</v>
      </c>
      <c r="R267" s="7" t="s">
        <v>1220</v>
      </c>
      <c r="S267" s="7"/>
      <c r="T267" s="7" t="s">
        <v>1221</v>
      </c>
      <c r="U267" s="7" t="s">
        <v>493</v>
      </c>
      <c r="V267" s="65">
        <v>876.0</v>
      </c>
      <c r="W267" s="7"/>
      <c r="X267" s="7"/>
    </row>
    <row r="268">
      <c r="A268" s="74">
        <v>1.0</v>
      </c>
      <c r="B268" s="45">
        <v>45835.778912037036</v>
      </c>
      <c r="C268" s="7" t="s">
        <v>1222</v>
      </c>
      <c r="D268" s="7" t="s">
        <v>60</v>
      </c>
      <c r="E268" s="74">
        <v>1.0</v>
      </c>
      <c r="F268" s="46"/>
      <c r="G268" s="47">
        <v>51.37</v>
      </c>
      <c r="H268" s="47">
        <v>0.0</v>
      </c>
      <c r="I268" s="7"/>
      <c r="J268" s="47">
        <v>2.56</v>
      </c>
      <c r="K268" s="8">
        <f t="shared" si="1"/>
        <v>48.81</v>
      </c>
      <c r="L268" s="8"/>
      <c r="M268" s="7"/>
      <c r="N268" s="7"/>
      <c r="O268" s="7"/>
      <c r="P268" s="7"/>
      <c r="Q268" s="7" t="s">
        <v>490</v>
      </c>
      <c r="R268" s="7" t="s">
        <v>1223</v>
      </c>
      <c r="S268" s="7"/>
      <c r="T268" s="7" t="s">
        <v>1224</v>
      </c>
      <c r="U268" s="7" t="s">
        <v>823</v>
      </c>
      <c r="V268" s="65">
        <v>874.0</v>
      </c>
      <c r="W268" s="7"/>
      <c r="X268" s="7"/>
    </row>
    <row r="269">
      <c r="A269" s="74">
        <v>1.0</v>
      </c>
      <c r="B269" s="45">
        <v>45835.77627314815</v>
      </c>
      <c r="C269" s="7" t="s">
        <v>1225</v>
      </c>
      <c r="D269" s="7" t="s">
        <v>60</v>
      </c>
      <c r="E269" s="74">
        <v>1.0</v>
      </c>
      <c r="F269" s="46"/>
      <c r="G269" s="47">
        <v>51.37</v>
      </c>
      <c r="H269" s="47">
        <v>0.0</v>
      </c>
      <c r="I269" s="7"/>
      <c r="J269" s="47">
        <v>2.56</v>
      </c>
      <c r="K269" s="8">
        <f t="shared" si="1"/>
        <v>48.81</v>
      </c>
      <c r="L269" s="8"/>
      <c r="M269" s="7"/>
      <c r="N269" s="7"/>
      <c r="O269" s="7"/>
      <c r="P269" s="7"/>
      <c r="Q269" s="7" t="s">
        <v>490</v>
      </c>
      <c r="R269" s="7" t="s">
        <v>1226</v>
      </c>
      <c r="S269" s="7"/>
      <c r="T269" s="7" t="s">
        <v>1227</v>
      </c>
      <c r="U269" s="7" t="s">
        <v>726</v>
      </c>
      <c r="V269" s="65">
        <v>867.0</v>
      </c>
      <c r="W269" s="7"/>
      <c r="X269" s="7"/>
    </row>
    <row r="270">
      <c r="A270" s="74">
        <v>1.0</v>
      </c>
      <c r="B270" s="45">
        <v>45835.77462962963</v>
      </c>
      <c r="C270" s="7" t="s">
        <v>61</v>
      </c>
      <c r="D270" s="7" t="s">
        <v>60</v>
      </c>
      <c r="E270" s="74">
        <v>1.0</v>
      </c>
      <c r="F270" s="46"/>
      <c r="G270" s="47">
        <v>34.5</v>
      </c>
      <c r="H270" s="47">
        <v>0.0</v>
      </c>
      <c r="I270" s="7"/>
      <c r="J270" s="47">
        <v>16.3</v>
      </c>
      <c r="K270" s="8">
        <f t="shared" si="1"/>
        <v>18.2</v>
      </c>
      <c r="L270" s="47">
        <v>34.5</v>
      </c>
      <c r="M270" s="45">
        <v>45858.50611111111</v>
      </c>
      <c r="N270" s="45">
        <v>45874.99998842592</v>
      </c>
      <c r="O270" s="7" t="s">
        <v>52</v>
      </c>
      <c r="P270" s="7" t="s">
        <v>62</v>
      </c>
      <c r="Q270" s="7" t="s">
        <v>490</v>
      </c>
      <c r="R270" s="7" t="s">
        <v>1228</v>
      </c>
      <c r="S270" s="7"/>
      <c r="T270" s="7" t="s">
        <v>1229</v>
      </c>
      <c r="U270" s="7" t="s">
        <v>493</v>
      </c>
      <c r="V270" s="65">
        <v>870.0</v>
      </c>
      <c r="W270" s="7"/>
      <c r="X270" s="7"/>
    </row>
    <row r="271">
      <c r="A271" s="74">
        <v>1.0</v>
      </c>
      <c r="B271" s="45">
        <v>45835.77381944445</v>
      </c>
      <c r="C271" s="7" t="s">
        <v>137</v>
      </c>
      <c r="D271" s="7" t="s">
        <v>60</v>
      </c>
      <c r="E271" s="74">
        <v>1.0</v>
      </c>
      <c r="F271" s="46"/>
      <c r="G271" s="47">
        <v>34.62</v>
      </c>
      <c r="H271" s="47">
        <v>0.0</v>
      </c>
      <c r="I271" s="7"/>
      <c r="J271" s="47">
        <v>1.3</v>
      </c>
      <c r="K271" s="8">
        <f t="shared" si="1"/>
        <v>33.32</v>
      </c>
      <c r="L271" s="8"/>
      <c r="M271" s="7"/>
      <c r="N271" s="7"/>
      <c r="O271" s="7"/>
      <c r="P271" s="7"/>
      <c r="Q271" s="7" t="s">
        <v>490</v>
      </c>
      <c r="R271" s="7" t="s">
        <v>1230</v>
      </c>
      <c r="S271" s="7"/>
      <c r="T271" s="7" t="s">
        <v>1231</v>
      </c>
      <c r="U271" s="7" t="s">
        <v>493</v>
      </c>
      <c r="V271" s="65">
        <v>868.0</v>
      </c>
      <c r="W271" s="7"/>
      <c r="X271" s="7"/>
    </row>
    <row r="272">
      <c r="A272" s="74">
        <v>1.0</v>
      </c>
      <c r="B272" s="45">
        <v>45835.77361111111</v>
      </c>
      <c r="C272" s="7" t="s">
        <v>422</v>
      </c>
      <c r="D272" s="67" t="s">
        <v>1027</v>
      </c>
      <c r="E272" s="74">
        <v>1.0</v>
      </c>
      <c r="F272" s="74">
        <v>1.0</v>
      </c>
      <c r="G272" s="47">
        <v>149.24</v>
      </c>
      <c r="H272" s="47">
        <v>0.0</v>
      </c>
      <c r="I272" s="7"/>
      <c r="J272" s="47">
        <v>6.87</v>
      </c>
      <c r="K272" s="8">
        <f t="shared" si="1"/>
        <v>142.37</v>
      </c>
      <c r="L272" s="8"/>
      <c r="M272" s="7"/>
      <c r="N272" s="7"/>
      <c r="O272" s="7"/>
      <c r="P272" s="7"/>
      <c r="Q272" s="7" t="s">
        <v>490</v>
      </c>
      <c r="R272" s="7" t="s">
        <v>1232</v>
      </c>
      <c r="S272" s="65">
        <v>34.0</v>
      </c>
      <c r="T272" s="7" t="s">
        <v>1233</v>
      </c>
      <c r="U272" s="7" t="s">
        <v>525</v>
      </c>
      <c r="V272" s="65">
        <v>866.0</v>
      </c>
      <c r="W272" s="7"/>
      <c r="X272" s="7"/>
    </row>
    <row r="273">
      <c r="A273" s="74">
        <v>1.0</v>
      </c>
      <c r="B273" s="45">
        <v>45835.77359953704</v>
      </c>
      <c r="C273" s="7" t="s">
        <v>1234</v>
      </c>
      <c r="D273" s="7" t="s">
        <v>60</v>
      </c>
      <c r="E273" s="74">
        <v>1.0</v>
      </c>
      <c r="F273" s="46"/>
      <c r="G273" s="47">
        <v>34.5</v>
      </c>
      <c r="H273" s="47">
        <v>0.0</v>
      </c>
      <c r="I273" s="7"/>
      <c r="J273" s="47">
        <v>1.3</v>
      </c>
      <c r="K273" s="8">
        <f t="shared" si="1"/>
        <v>33.2</v>
      </c>
      <c r="L273" s="8"/>
      <c r="M273" s="7"/>
      <c r="N273" s="7"/>
      <c r="O273" s="7"/>
      <c r="P273" s="7"/>
      <c r="Q273" s="7" t="s">
        <v>490</v>
      </c>
      <c r="R273" s="7" t="s">
        <v>1235</v>
      </c>
      <c r="S273" s="7"/>
      <c r="T273" s="7" t="s">
        <v>1236</v>
      </c>
      <c r="U273" s="7" t="s">
        <v>493</v>
      </c>
      <c r="V273" s="65">
        <v>859.0</v>
      </c>
      <c r="W273" s="7"/>
      <c r="X273" s="7"/>
    </row>
    <row r="274">
      <c r="A274" s="74">
        <v>1.0</v>
      </c>
      <c r="B274" s="45">
        <v>45835.77296296296</v>
      </c>
      <c r="C274" s="7" t="s">
        <v>1237</v>
      </c>
      <c r="D274" s="7" t="s">
        <v>60</v>
      </c>
      <c r="E274" s="74">
        <v>1.0</v>
      </c>
      <c r="F274" s="46"/>
      <c r="G274" s="47">
        <v>36.13</v>
      </c>
      <c r="H274" s="47">
        <v>0.0</v>
      </c>
      <c r="I274" s="7"/>
      <c r="J274" s="47">
        <v>1.35</v>
      </c>
      <c r="K274" s="8">
        <f t="shared" si="1"/>
        <v>34.78</v>
      </c>
      <c r="L274" s="8"/>
      <c r="M274" s="7"/>
      <c r="N274" s="7"/>
      <c r="O274" s="7"/>
      <c r="P274" s="7"/>
      <c r="Q274" s="7" t="s">
        <v>490</v>
      </c>
      <c r="R274" s="7" t="s">
        <v>1238</v>
      </c>
      <c r="S274" s="7"/>
      <c r="T274" s="7" t="s">
        <v>1239</v>
      </c>
      <c r="U274" s="7" t="s">
        <v>493</v>
      </c>
      <c r="V274" s="65">
        <v>864.0</v>
      </c>
      <c r="W274" s="7"/>
      <c r="X274" s="7"/>
    </row>
    <row r="275">
      <c r="A275" s="74">
        <v>1.0</v>
      </c>
      <c r="B275" s="45">
        <v>45835.77295138889</v>
      </c>
      <c r="C275" s="7" t="s">
        <v>1240</v>
      </c>
      <c r="D275" s="7" t="s">
        <v>60</v>
      </c>
      <c r="E275" s="74">
        <v>1.0</v>
      </c>
      <c r="F275" s="46"/>
      <c r="G275" s="47">
        <v>50.29</v>
      </c>
      <c r="H275" s="47">
        <v>0.0</v>
      </c>
      <c r="I275" s="7"/>
      <c r="J275" s="47">
        <v>2.51</v>
      </c>
      <c r="K275" s="8">
        <f t="shared" si="1"/>
        <v>47.78</v>
      </c>
      <c r="L275" s="8"/>
      <c r="M275" s="7"/>
      <c r="N275" s="7"/>
      <c r="O275" s="7"/>
      <c r="P275" s="7"/>
      <c r="Q275" s="7" t="s">
        <v>490</v>
      </c>
      <c r="R275" s="7" t="s">
        <v>1241</v>
      </c>
      <c r="S275" s="7" t="s">
        <v>1242</v>
      </c>
      <c r="T275" s="7" t="s">
        <v>1243</v>
      </c>
      <c r="U275" s="7" t="s">
        <v>555</v>
      </c>
      <c r="V275" s="65">
        <v>865.0</v>
      </c>
      <c r="W275" s="7"/>
      <c r="X275" s="7"/>
    </row>
    <row r="276">
      <c r="A276" s="74">
        <v>1.0</v>
      </c>
      <c r="B276" s="45">
        <v>45835.77122685185</v>
      </c>
      <c r="C276" s="7" t="s">
        <v>1244</v>
      </c>
      <c r="D276" s="7" t="s">
        <v>60</v>
      </c>
      <c r="E276" s="74">
        <v>1.0</v>
      </c>
      <c r="F276" s="46"/>
      <c r="G276" s="47">
        <v>49.94</v>
      </c>
      <c r="H276" s="47">
        <v>0.0</v>
      </c>
      <c r="I276" s="7"/>
      <c r="J276" s="47">
        <v>2.5</v>
      </c>
      <c r="K276" s="8">
        <f t="shared" si="1"/>
        <v>47.44</v>
      </c>
      <c r="L276" s="8"/>
      <c r="M276" s="7"/>
      <c r="N276" s="7"/>
      <c r="O276" s="7"/>
      <c r="P276" s="7"/>
      <c r="Q276" s="7" t="s">
        <v>490</v>
      </c>
      <c r="R276" s="7"/>
      <c r="S276" s="7"/>
      <c r="T276" s="7"/>
      <c r="U276" s="7" t="s">
        <v>542</v>
      </c>
      <c r="V276" s="65">
        <v>851.0</v>
      </c>
      <c r="W276" s="7"/>
      <c r="X276" s="7"/>
    </row>
    <row r="277">
      <c r="A277" s="74">
        <v>1.0</v>
      </c>
      <c r="B277" s="45">
        <v>45835.77113425926</v>
      </c>
      <c r="C277" s="7" t="s">
        <v>1245</v>
      </c>
      <c r="D277" s="7" t="s">
        <v>60</v>
      </c>
      <c r="E277" s="74">
        <v>1.0</v>
      </c>
      <c r="F277" s="46"/>
      <c r="G277" s="47">
        <v>34.12</v>
      </c>
      <c r="H277" s="47">
        <v>0.0</v>
      </c>
      <c r="I277" s="7"/>
      <c r="J277" s="47">
        <v>1.29</v>
      </c>
      <c r="K277" s="8">
        <f t="shared" si="1"/>
        <v>32.83</v>
      </c>
      <c r="L277" s="8"/>
      <c r="M277" s="7"/>
      <c r="N277" s="7"/>
      <c r="O277" s="7"/>
      <c r="P277" s="7"/>
      <c r="Q277" s="7" t="s">
        <v>490</v>
      </c>
      <c r="R277" s="7" t="s">
        <v>1246</v>
      </c>
      <c r="S277" s="7"/>
      <c r="T277" s="7" t="s">
        <v>1247</v>
      </c>
      <c r="U277" s="7" t="s">
        <v>493</v>
      </c>
      <c r="V277" s="65">
        <v>858.0</v>
      </c>
      <c r="W277" s="7"/>
      <c r="X277" s="7"/>
    </row>
    <row r="278">
      <c r="A278" s="74">
        <v>1.0</v>
      </c>
      <c r="B278" s="45">
        <v>45835.76883101852</v>
      </c>
      <c r="C278" s="7" t="s">
        <v>319</v>
      </c>
      <c r="D278" s="67" t="s">
        <v>1027</v>
      </c>
      <c r="E278" s="74">
        <v>1.0</v>
      </c>
      <c r="F278" s="74">
        <v>1.0</v>
      </c>
      <c r="G278" s="47">
        <v>134.62</v>
      </c>
      <c r="H278" s="47">
        <v>0.0</v>
      </c>
      <c r="I278" s="7"/>
      <c r="J278" s="47">
        <v>4.2</v>
      </c>
      <c r="K278" s="8">
        <f t="shared" si="1"/>
        <v>130.42</v>
      </c>
      <c r="L278" s="8"/>
      <c r="M278" s="7"/>
      <c r="N278" s="7"/>
      <c r="O278" s="7"/>
      <c r="P278" s="7"/>
      <c r="Q278" s="7" t="s">
        <v>490</v>
      </c>
      <c r="R278" s="7" t="s">
        <v>1248</v>
      </c>
      <c r="S278" s="7"/>
      <c r="T278" s="7" t="s">
        <v>1249</v>
      </c>
      <c r="U278" s="7" t="s">
        <v>493</v>
      </c>
      <c r="V278" s="65">
        <v>850.0</v>
      </c>
      <c r="W278" s="7"/>
      <c r="X278" s="7"/>
    </row>
    <row r="279">
      <c r="A279" s="74">
        <v>1.0</v>
      </c>
      <c r="B279" s="45">
        <v>45835.767743055556</v>
      </c>
      <c r="C279" s="7" t="s">
        <v>1250</v>
      </c>
      <c r="D279" s="7" t="s">
        <v>60</v>
      </c>
      <c r="E279" s="74">
        <v>1.0</v>
      </c>
      <c r="F279" s="46"/>
      <c r="G279" s="47">
        <v>49.24</v>
      </c>
      <c r="H279" s="47">
        <v>0.0</v>
      </c>
      <c r="I279" s="7"/>
      <c r="J279" s="47">
        <v>2.47</v>
      </c>
      <c r="K279" s="8">
        <f t="shared" si="1"/>
        <v>46.77</v>
      </c>
      <c r="L279" s="8"/>
      <c r="M279" s="7"/>
      <c r="N279" s="7"/>
      <c r="O279" s="7"/>
      <c r="P279" s="7"/>
      <c r="Q279" s="7" t="s">
        <v>490</v>
      </c>
      <c r="R279" s="7" t="s">
        <v>1251</v>
      </c>
      <c r="S279" s="7"/>
      <c r="T279" s="7" t="s">
        <v>1252</v>
      </c>
      <c r="U279" s="7" t="s">
        <v>525</v>
      </c>
      <c r="V279" s="65">
        <v>847.0</v>
      </c>
      <c r="W279" s="7"/>
      <c r="X279" s="7"/>
    </row>
    <row r="280">
      <c r="A280" s="74">
        <v>1.0</v>
      </c>
      <c r="B280" s="45">
        <v>45835.76662037037</v>
      </c>
      <c r="C280" s="7" t="s">
        <v>302</v>
      </c>
      <c r="D280" s="67" t="s">
        <v>1027</v>
      </c>
      <c r="E280" s="74">
        <v>1.0</v>
      </c>
      <c r="F280" s="74">
        <v>1.0</v>
      </c>
      <c r="G280" s="47">
        <v>134.32</v>
      </c>
      <c r="H280" s="47">
        <v>0.0</v>
      </c>
      <c r="I280" s="7"/>
      <c r="J280" s="47">
        <v>4.2</v>
      </c>
      <c r="K280" s="8">
        <f t="shared" si="1"/>
        <v>130.12</v>
      </c>
      <c r="L280" s="8"/>
      <c r="M280" s="7"/>
      <c r="N280" s="7"/>
      <c r="O280" s="7"/>
      <c r="P280" s="7"/>
      <c r="Q280" s="7" t="s">
        <v>490</v>
      </c>
      <c r="R280" s="7" t="s">
        <v>1253</v>
      </c>
      <c r="S280" s="7"/>
      <c r="T280" s="7" t="s">
        <v>1254</v>
      </c>
      <c r="U280" s="7" t="s">
        <v>493</v>
      </c>
      <c r="V280" s="65">
        <v>839.0</v>
      </c>
      <c r="W280" s="7"/>
      <c r="X280" s="7"/>
    </row>
    <row r="281">
      <c r="A281" s="74">
        <v>1.0</v>
      </c>
      <c r="B281" s="45">
        <v>45835.76509259259</v>
      </c>
      <c r="C281" s="7" t="s">
        <v>1255</v>
      </c>
      <c r="D281" s="7" t="s">
        <v>60</v>
      </c>
      <c r="E281" s="74">
        <v>1.0</v>
      </c>
      <c r="F281" s="46"/>
      <c r="G281" s="47">
        <v>34.5</v>
      </c>
      <c r="H281" s="47">
        <v>0.0</v>
      </c>
      <c r="I281" s="7"/>
      <c r="J281" s="47">
        <v>1.3</v>
      </c>
      <c r="K281" s="8">
        <f t="shared" si="1"/>
        <v>33.2</v>
      </c>
      <c r="L281" s="8"/>
      <c r="M281" s="7"/>
      <c r="N281" s="7"/>
      <c r="O281" s="7"/>
      <c r="P281" s="7"/>
      <c r="Q281" s="7" t="s">
        <v>490</v>
      </c>
      <c r="R281" s="7" t="s">
        <v>1256</v>
      </c>
      <c r="S281" s="7" t="s">
        <v>1257</v>
      </c>
      <c r="T281" s="7" t="s">
        <v>1258</v>
      </c>
      <c r="U281" s="7" t="s">
        <v>493</v>
      </c>
      <c r="V281" s="65">
        <v>843.0</v>
      </c>
      <c r="W281" s="7"/>
      <c r="X281" s="7"/>
    </row>
    <row r="282">
      <c r="A282" s="74">
        <v>1.0</v>
      </c>
      <c r="B282" s="45">
        <v>45835.763819444444</v>
      </c>
      <c r="C282" s="7" t="s">
        <v>1259</v>
      </c>
      <c r="D282" s="7" t="s">
        <v>60</v>
      </c>
      <c r="E282" s="74">
        <v>1.0</v>
      </c>
      <c r="F282" s="46"/>
      <c r="G282" s="47">
        <v>38.54</v>
      </c>
      <c r="H282" s="47">
        <v>0.0</v>
      </c>
      <c r="I282" s="7"/>
      <c r="J282" s="47">
        <v>1.42</v>
      </c>
      <c r="K282" s="8">
        <f t="shared" si="1"/>
        <v>37.12</v>
      </c>
      <c r="L282" s="8"/>
      <c r="M282" s="7"/>
      <c r="N282" s="7"/>
      <c r="O282" s="7"/>
      <c r="P282" s="7"/>
      <c r="Q282" s="7" t="s">
        <v>490</v>
      </c>
      <c r="R282" s="7" t="s">
        <v>1260</v>
      </c>
      <c r="S282" s="7"/>
      <c r="T282" s="7" t="s">
        <v>1261</v>
      </c>
      <c r="U282" s="7" t="s">
        <v>493</v>
      </c>
      <c r="V282" s="65">
        <v>840.0</v>
      </c>
      <c r="W282" s="7"/>
      <c r="X282" s="7"/>
    </row>
    <row r="283">
      <c r="A283" s="74">
        <v>1.0</v>
      </c>
      <c r="B283" s="45">
        <v>45835.76290509259</v>
      </c>
      <c r="C283" s="7" t="s">
        <v>1262</v>
      </c>
      <c r="D283" s="7" t="s">
        <v>60</v>
      </c>
      <c r="E283" s="74">
        <v>1.0</v>
      </c>
      <c r="F283" s="46"/>
      <c r="G283" s="47">
        <v>47.26</v>
      </c>
      <c r="H283" s="47">
        <v>0.0</v>
      </c>
      <c r="I283" s="7"/>
      <c r="J283" s="47">
        <v>2.38</v>
      </c>
      <c r="K283" s="8">
        <f t="shared" si="1"/>
        <v>44.88</v>
      </c>
      <c r="L283" s="8"/>
      <c r="M283" s="7"/>
      <c r="N283" s="7"/>
      <c r="O283" s="7"/>
      <c r="P283" s="7"/>
      <c r="Q283" s="7" t="s">
        <v>490</v>
      </c>
      <c r="R283" s="7" t="s">
        <v>1263</v>
      </c>
      <c r="S283" s="7"/>
      <c r="T283" s="7" t="s">
        <v>1264</v>
      </c>
      <c r="U283" s="7" t="s">
        <v>545</v>
      </c>
      <c r="V283" s="65">
        <v>841.0</v>
      </c>
      <c r="W283" s="7"/>
      <c r="X283" s="7"/>
    </row>
    <row r="284">
      <c r="A284" s="74">
        <v>1.0</v>
      </c>
      <c r="B284" s="45">
        <v>45835.76069444444</v>
      </c>
      <c r="C284" s="7" t="s">
        <v>360</v>
      </c>
      <c r="D284" s="7" t="s">
        <v>60</v>
      </c>
      <c r="E284" s="74">
        <v>1.0</v>
      </c>
      <c r="F284" s="46"/>
      <c r="G284" s="47">
        <v>49.94</v>
      </c>
      <c r="H284" s="47">
        <v>0.0</v>
      </c>
      <c r="I284" s="7"/>
      <c r="J284" s="47">
        <v>2.5</v>
      </c>
      <c r="K284" s="8">
        <f t="shared" si="1"/>
        <v>47.44</v>
      </c>
      <c r="L284" s="8"/>
      <c r="M284" s="7"/>
      <c r="N284" s="7"/>
      <c r="O284" s="7"/>
      <c r="P284" s="7"/>
      <c r="Q284" s="7" t="s">
        <v>490</v>
      </c>
      <c r="R284" s="7" t="s">
        <v>1265</v>
      </c>
      <c r="S284" s="7"/>
      <c r="T284" s="7" t="s">
        <v>1266</v>
      </c>
      <c r="U284" s="7" t="s">
        <v>542</v>
      </c>
      <c r="V284" s="65">
        <v>817.0</v>
      </c>
      <c r="W284" s="7"/>
      <c r="X284" s="7"/>
    </row>
    <row r="285">
      <c r="A285" s="74">
        <v>1.0</v>
      </c>
      <c r="B285" s="45">
        <v>45835.75976851852</v>
      </c>
      <c r="C285" s="7" t="s">
        <v>1267</v>
      </c>
      <c r="D285" s="7" t="s">
        <v>60</v>
      </c>
      <c r="E285" s="74">
        <v>1.0</v>
      </c>
      <c r="F285" s="46"/>
      <c r="G285" s="47">
        <v>40.85</v>
      </c>
      <c r="H285" s="47">
        <v>0.0</v>
      </c>
      <c r="I285" s="7"/>
      <c r="J285" s="47">
        <v>1.48</v>
      </c>
      <c r="K285" s="8">
        <f t="shared" si="1"/>
        <v>39.37</v>
      </c>
      <c r="L285" s="8"/>
      <c r="M285" s="7"/>
      <c r="N285" s="7"/>
      <c r="O285" s="7"/>
      <c r="P285" s="7"/>
      <c r="Q285" s="7" t="s">
        <v>490</v>
      </c>
      <c r="R285" s="7" t="s">
        <v>1268</v>
      </c>
      <c r="S285" s="7"/>
      <c r="T285" s="7" t="s">
        <v>1049</v>
      </c>
      <c r="U285" s="7" t="s">
        <v>493</v>
      </c>
      <c r="V285" s="65">
        <v>830.0</v>
      </c>
      <c r="W285" s="7"/>
      <c r="X285" s="7"/>
    </row>
    <row r="286">
      <c r="A286" s="74">
        <v>1.0</v>
      </c>
      <c r="B286" s="45">
        <v>45835.75954861111</v>
      </c>
      <c r="C286" s="7" t="s">
        <v>361</v>
      </c>
      <c r="D286" s="7" t="s">
        <v>60</v>
      </c>
      <c r="E286" s="74">
        <v>1.0</v>
      </c>
      <c r="F286" s="46"/>
      <c r="G286" s="47">
        <v>36.39</v>
      </c>
      <c r="H286" s="47">
        <v>0.0</v>
      </c>
      <c r="I286" s="7"/>
      <c r="J286" s="47">
        <v>1.36</v>
      </c>
      <c r="K286" s="8">
        <f t="shared" si="1"/>
        <v>35.03</v>
      </c>
      <c r="L286" s="8"/>
      <c r="M286" s="7"/>
      <c r="N286" s="7"/>
      <c r="O286" s="7"/>
      <c r="P286" s="7"/>
      <c r="Q286" s="7" t="s">
        <v>490</v>
      </c>
      <c r="R286" s="7" t="s">
        <v>1269</v>
      </c>
      <c r="S286" s="7" t="s">
        <v>1270</v>
      </c>
      <c r="T286" s="7" t="s">
        <v>1271</v>
      </c>
      <c r="U286" s="7" t="s">
        <v>493</v>
      </c>
      <c r="V286" s="65">
        <v>828.0</v>
      </c>
      <c r="W286" s="7"/>
      <c r="X286" s="7"/>
    </row>
    <row r="287">
      <c r="A287" s="74">
        <v>1.0</v>
      </c>
      <c r="B287" s="45">
        <v>45835.75907407407</v>
      </c>
      <c r="C287" s="7" t="s">
        <v>404</v>
      </c>
      <c r="D287" s="7" t="s">
        <v>60</v>
      </c>
      <c r="E287" s="74">
        <v>1.0</v>
      </c>
      <c r="F287" s="46"/>
      <c r="G287" s="47">
        <v>49.13</v>
      </c>
      <c r="H287" s="47">
        <v>0.0</v>
      </c>
      <c r="I287" s="7"/>
      <c r="J287" s="47">
        <v>2.46</v>
      </c>
      <c r="K287" s="8">
        <f t="shared" si="1"/>
        <v>46.67</v>
      </c>
      <c r="L287" s="8"/>
      <c r="M287" s="7"/>
      <c r="N287" s="7"/>
      <c r="O287" s="7"/>
      <c r="P287" s="7"/>
      <c r="Q287" s="7" t="s">
        <v>490</v>
      </c>
      <c r="R287" s="7" t="s">
        <v>1272</v>
      </c>
      <c r="S287" s="7"/>
      <c r="T287" s="7" t="s">
        <v>1273</v>
      </c>
      <c r="U287" s="7" t="s">
        <v>521</v>
      </c>
      <c r="V287" s="65">
        <v>798.0</v>
      </c>
      <c r="W287" s="7"/>
      <c r="X287" s="7"/>
    </row>
    <row r="288">
      <c r="A288" s="74">
        <v>1.0</v>
      </c>
      <c r="B288" s="45">
        <v>45835.75790509259</v>
      </c>
      <c r="C288" s="7" t="s">
        <v>1274</v>
      </c>
      <c r="D288" s="7" t="s">
        <v>60</v>
      </c>
      <c r="E288" s="74">
        <v>1.0</v>
      </c>
      <c r="F288" s="46"/>
      <c r="G288" s="47">
        <v>34.5</v>
      </c>
      <c r="H288" s="47">
        <v>0.0</v>
      </c>
      <c r="I288" s="7"/>
      <c r="J288" s="47">
        <v>1.3</v>
      </c>
      <c r="K288" s="8">
        <f t="shared" si="1"/>
        <v>33.2</v>
      </c>
      <c r="L288" s="8"/>
      <c r="M288" s="7"/>
      <c r="N288" s="7"/>
      <c r="O288" s="7"/>
      <c r="P288" s="7"/>
      <c r="Q288" s="7" t="s">
        <v>490</v>
      </c>
      <c r="R288" s="7"/>
      <c r="S288" s="7"/>
      <c r="T288" s="7"/>
      <c r="U288" s="7" t="s">
        <v>493</v>
      </c>
      <c r="V288" s="65">
        <v>818.0</v>
      </c>
      <c r="W288" s="7"/>
      <c r="X288" s="7"/>
    </row>
    <row r="289">
      <c r="A289" s="74">
        <v>1.0</v>
      </c>
      <c r="B289" s="45">
        <v>45835.75696759259</v>
      </c>
      <c r="C289" s="7" t="s">
        <v>1275</v>
      </c>
      <c r="D289" s="67" t="s">
        <v>1027</v>
      </c>
      <c r="E289" s="74">
        <v>1.0</v>
      </c>
      <c r="F289" s="74">
        <v>1.0</v>
      </c>
      <c r="G289" s="47">
        <v>193.77</v>
      </c>
      <c r="H289" s="47">
        <v>0.0</v>
      </c>
      <c r="I289" s="7"/>
      <c r="J289" s="47">
        <v>8.83</v>
      </c>
      <c r="K289" s="8">
        <f t="shared" si="1"/>
        <v>184.94</v>
      </c>
      <c r="L289" s="8"/>
      <c r="M289" s="7"/>
      <c r="N289" s="7"/>
      <c r="O289" s="7"/>
      <c r="P289" s="7"/>
      <c r="Q289" s="7" t="s">
        <v>490</v>
      </c>
      <c r="R289" s="7" t="s">
        <v>1276</v>
      </c>
      <c r="S289" s="65">
        <v>2511.0</v>
      </c>
      <c r="T289" s="7" t="s">
        <v>1277</v>
      </c>
      <c r="U289" s="7" t="s">
        <v>51</v>
      </c>
      <c r="V289" s="65">
        <v>814.0</v>
      </c>
      <c r="W289" s="7"/>
      <c r="X289" s="7"/>
    </row>
    <row r="290">
      <c r="A290" s="74">
        <v>1.0</v>
      </c>
      <c r="B290" s="45">
        <v>45835.75667824074</v>
      </c>
      <c r="C290" s="7" t="s">
        <v>208</v>
      </c>
      <c r="D290" s="67" t="s">
        <v>1027</v>
      </c>
      <c r="E290" s="74">
        <v>1.0</v>
      </c>
      <c r="F290" s="74">
        <v>1.0</v>
      </c>
      <c r="G290" s="47">
        <v>134.62</v>
      </c>
      <c r="H290" s="47">
        <v>0.0</v>
      </c>
      <c r="I290" s="7"/>
      <c r="J290" s="47">
        <v>4.2</v>
      </c>
      <c r="K290" s="8">
        <f t="shared" si="1"/>
        <v>130.42</v>
      </c>
      <c r="L290" s="8"/>
      <c r="M290" s="7"/>
      <c r="N290" s="7"/>
      <c r="O290" s="7"/>
      <c r="P290" s="7"/>
      <c r="Q290" s="7" t="s">
        <v>490</v>
      </c>
      <c r="R290" s="7" t="s">
        <v>1278</v>
      </c>
      <c r="S290" s="7" t="s">
        <v>1279</v>
      </c>
      <c r="T290" s="7" t="s">
        <v>1109</v>
      </c>
      <c r="U290" s="7" t="s">
        <v>493</v>
      </c>
      <c r="V290" s="65">
        <v>822.0</v>
      </c>
      <c r="W290" s="7"/>
      <c r="X290" s="7"/>
    </row>
    <row r="291">
      <c r="A291" s="74">
        <v>1.0</v>
      </c>
      <c r="B291" s="45">
        <v>45835.75650462963</v>
      </c>
      <c r="C291" s="7" t="s">
        <v>1280</v>
      </c>
      <c r="D291" s="7" t="s">
        <v>60</v>
      </c>
      <c r="E291" s="74">
        <v>1.0</v>
      </c>
      <c r="F291" s="46"/>
      <c r="G291" s="47">
        <v>34.62</v>
      </c>
      <c r="H291" s="47">
        <v>0.0</v>
      </c>
      <c r="I291" s="7"/>
      <c r="J291" s="47">
        <v>1.3</v>
      </c>
      <c r="K291" s="8">
        <f t="shared" si="1"/>
        <v>33.32</v>
      </c>
      <c r="L291" s="8"/>
      <c r="M291" s="7"/>
      <c r="N291" s="7"/>
      <c r="O291" s="7"/>
      <c r="P291" s="7"/>
      <c r="Q291" s="7" t="s">
        <v>490</v>
      </c>
      <c r="R291" s="7" t="s">
        <v>1281</v>
      </c>
      <c r="S291" s="7" t="s">
        <v>1282</v>
      </c>
      <c r="T291" s="7" t="s">
        <v>1283</v>
      </c>
      <c r="U291" s="7" t="s">
        <v>493</v>
      </c>
      <c r="V291" s="65">
        <v>806.0</v>
      </c>
      <c r="W291" s="7"/>
      <c r="X291" s="7"/>
    </row>
    <row r="292">
      <c r="A292" s="74">
        <v>1.0</v>
      </c>
      <c r="B292" s="45">
        <v>45835.75541666667</v>
      </c>
      <c r="C292" s="7" t="s">
        <v>1284</v>
      </c>
      <c r="D292" s="7" t="s">
        <v>60</v>
      </c>
      <c r="E292" s="74">
        <v>1.0</v>
      </c>
      <c r="F292" s="46"/>
      <c r="G292" s="47">
        <v>34.5</v>
      </c>
      <c r="H292" s="47">
        <v>0.0</v>
      </c>
      <c r="I292" s="7"/>
      <c r="J292" s="47">
        <v>1.82</v>
      </c>
      <c r="K292" s="8">
        <f t="shared" si="1"/>
        <v>32.68</v>
      </c>
      <c r="L292" s="8"/>
      <c r="M292" s="7"/>
      <c r="N292" s="7"/>
      <c r="O292" s="7"/>
      <c r="P292" s="7"/>
      <c r="Q292" s="7" t="s">
        <v>490</v>
      </c>
      <c r="R292" s="7"/>
      <c r="S292" s="7"/>
      <c r="T292" s="7"/>
      <c r="U292" s="7" t="s">
        <v>545</v>
      </c>
      <c r="V292" s="65">
        <v>813.0</v>
      </c>
      <c r="W292" s="7"/>
      <c r="X292" s="7"/>
    </row>
    <row r="293">
      <c r="A293" s="74">
        <v>1.0</v>
      </c>
      <c r="B293" s="45">
        <v>45835.75478009259</v>
      </c>
      <c r="C293" s="7" t="s">
        <v>390</v>
      </c>
      <c r="D293" s="7" t="s">
        <v>60</v>
      </c>
      <c r="E293" s="74">
        <v>1.0</v>
      </c>
      <c r="F293" s="46"/>
      <c r="G293" s="47">
        <v>47.26</v>
      </c>
      <c r="H293" s="47">
        <v>0.0</v>
      </c>
      <c r="I293" s="7"/>
      <c r="J293" s="47">
        <v>2.38</v>
      </c>
      <c r="K293" s="8">
        <f t="shared" si="1"/>
        <v>44.88</v>
      </c>
      <c r="L293" s="8"/>
      <c r="M293" s="7"/>
      <c r="N293" s="7"/>
      <c r="O293" s="7"/>
      <c r="P293" s="7"/>
      <c r="Q293" s="7" t="s">
        <v>490</v>
      </c>
      <c r="R293" s="7"/>
      <c r="S293" s="7"/>
      <c r="T293" s="7"/>
      <c r="U293" s="7" t="s">
        <v>545</v>
      </c>
      <c r="V293" s="65">
        <v>804.0</v>
      </c>
      <c r="W293" s="7"/>
      <c r="X293" s="7"/>
    </row>
    <row r="294">
      <c r="A294" s="74">
        <v>1.0</v>
      </c>
      <c r="B294" s="45">
        <v>45835.75443287037</v>
      </c>
      <c r="C294" s="7" t="s">
        <v>402</v>
      </c>
      <c r="D294" s="7" t="s">
        <v>60</v>
      </c>
      <c r="E294" s="74">
        <v>1.0</v>
      </c>
      <c r="F294" s="46"/>
      <c r="G294" s="47">
        <v>51.37</v>
      </c>
      <c r="H294" s="47">
        <v>0.0</v>
      </c>
      <c r="I294" s="7"/>
      <c r="J294" s="47">
        <v>2.56</v>
      </c>
      <c r="K294" s="8">
        <f t="shared" si="1"/>
        <v>48.81</v>
      </c>
      <c r="L294" s="8"/>
      <c r="M294" s="7"/>
      <c r="N294" s="7"/>
      <c r="O294" s="7"/>
      <c r="P294" s="7"/>
      <c r="Q294" s="7" t="s">
        <v>490</v>
      </c>
      <c r="R294" s="7" t="s">
        <v>1285</v>
      </c>
      <c r="S294" s="7"/>
      <c r="T294" s="7" t="s">
        <v>1286</v>
      </c>
      <c r="U294" s="7" t="s">
        <v>1287</v>
      </c>
      <c r="V294" s="65">
        <v>807.0</v>
      </c>
      <c r="W294" s="7"/>
      <c r="X294" s="7"/>
    </row>
    <row r="295">
      <c r="A295" s="74">
        <v>1.0</v>
      </c>
      <c r="B295" s="45">
        <v>45835.751805555556</v>
      </c>
      <c r="C295" s="7" t="s">
        <v>1288</v>
      </c>
      <c r="D295" s="7" t="s">
        <v>60</v>
      </c>
      <c r="E295" s="74">
        <v>1.0</v>
      </c>
      <c r="F295" s="46"/>
      <c r="G295" s="47">
        <v>49.24</v>
      </c>
      <c r="H295" s="47">
        <v>0.0</v>
      </c>
      <c r="I295" s="7"/>
      <c r="J295" s="47">
        <v>2.47</v>
      </c>
      <c r="K295" s="8">
        <f t="shared" si="1"/>
        <v>46.77</v>
      </c>
      <c r="L295" s="8"/>
      <c r="M295" s="7"/>
      <c r="N295" s="7"/>
      <c r="O295" s="7"/>
      <c r="P295" s="7"/>
      <c r="Q295" s="7" t="s">
        <v>490</v>
      </c>
      <c r="R295" s="7" t="s">
        <v>1289</v>
      </c>
      <c r="S295" s="7"/>
      <c r="T295" s="7" t="s">
        <v>1290</v>
      </c>
      <c r="U295" s="7" t="s">
        <v>525</v>
      </c>
      <c r="V295" s="65">
        <v>799.0</v>
      </c>
      <c r="W295" s="7"/>
      <c r="X295" s="7"/>
    </row>
    <row r="296">
      <c r="A296" s="74">
        <v>1.0</v>
      </c>
      <c r="B296" s="45">
        <v>45835.74989583333</v>
      </c>
      <c r="C296" s="7" t="s">
        <v>300</v>
      </c>
      <c r="D296" s="67" t="s">
        <v>1027</v>
      </c>
      <c r="E296" s="74">
        <v>1.0</v>
      </c>
      <c r="F296" s="74">
        <v>1.0</v>
      </c>
      <c r="G296" s="47">
        <v>150.29</v>
      </c>
      <c r="H296" s="47">
        <v>0.0</v>
      </c>
      <c r="I296" s="7"/>
      <c r="J296" s="47">
        <v>6.91</v>
      </c>
      <c r="K296" s="8">
        <f t="shared" si="1"/>
        <v>143.38</v>
      </c>
      <c r="L296" s="8"/>
      <c r="M296" s="7"/>
      <c r="N296" s="7"/>
      <c r="O296" s="7"/>
      <c r="P296" s="7"/>
      <c r="Q296" s="7" t="s">
        <v>490</v>
      </c>
      <c r="R296" s="7" t="s">
        <v>1291</v>
      </c>
      <c r="S296" s="7"/>
      <c r="T296" s="7" t="s">
        <v>1292</v>
      </c>
      <c r="U296" s="7" t="s">
        <v>1293</v>
      </c>
      <c r="V296" s="65">
        <v>792.0</v>
      </c>
      <c r="W296" s="7"/>
      <c r="X296" s="7"/>
    </row>
    <row r="297">
      <c r="A297" s="74">
        <v>1.0</v>
      </c>
      <c r="B297" s="45">
        <v>45835.74865740741</v>
      </c>
      <c r="C297" s="7" t="s">
        <v>106</v>
      </c>
      <c r="D297" s="7" t="s">
        <v>60</v>
      </c>
      <c r="E297" s="74">
        <v>1.0</v>
      </c>
      <c r="F297" s="46"/>
      <c r="G297" s="47">
        <v>35.84</v>
      </c>
      <c r="H297" s="47">
        <v>0.0</v>
      </c>
      <c r="I297" s="7"/>
      <c r="J297" s="47">
        <v>1.34</v>
      </c>
      <c r="K297" s="8">
        <f t="shared" si="1"/>
        <v>34.5</v>
      </c>
      <c r="L297" s="8"/>
      <c r="M297" s="7"/>
      <c r="N297" s="7"/>
      <c r="O297" s="7"/>
      <c r="P297" s="7"/>
      <c r="Q297" s="7" t="s">
        <v>490</v>
      </c>
      <c r="R297" s="7" t="s">
        <v>1294</v>
      </c>
      <c r="S297" s="7"/>
      <c r="T297" s="7" t="s">
        <v>1295</v>
      </c>
      <c r="U297" s="7" t="s">
        <v>493</v>
      </c>
      <c r="V297" s="65">
        <v>793.0</v>
      </c>
      <c r="W297" s="7"/>
      <c r="X297" s="7"/>
    </row>
    <row r="298">
      <c r="A298" s="74">
        <v>1.0</v>
      </c>
      <c r="B298" s="45">
        <v>45835.74841435185</v>
      </c>
      <c r="C298" s="7" t="s">
        <v>1296</v>
      </c>
      <c r="D298" s="67" t="s">
        <v>1027</v>
      </c>
      <c r="E298" s="74">
        <v>1.0</v>
      </c>
      <c r="F298" s="74">
        <v>1.0</v>
      </c>
      <c r="G298" s="47">
        <v>138.54</v>
      </c>
      <c r="H298" s="47">
        <v>0.0</v>
      </c>
      <c r="I298" s="7"/>
      <c r="J298" s="47">
        <v>4.32</v>
      </c>
      <c r="K298" s="8">
        <f t="shared" si="1"/>
        <v>134.22</v>
      </c>
      <c r="L298" s="8"/>
      <c r="M298" s="7"/>
      <c r="N298" s="7"/>
      <c r="O298" s="7"/>
      <c r="P298" s="7"/>
      <c r="Q298" s="7" t="s">
        <v>490</v>
      </c>
      <c r="R298" s="7" t="s">
        <v>1297</v>
      </c>
      <c r="S298" s="7"/>
      <c r="T298" s="7" t="s">
        <v>1298</v>
      </c>
      <c r="U298" s="7" t="s">
        <v>493</v>
      </c>
      <c r="V298" s="65">
        <v>783.0</v>
      </c>
      <c r="W298" s="7"/>
      <c r="X298" s="7"/>
    </row>
    <row r="299">
      <c r="A299" s="74">
        <v>1.0</v>
      </c>
      <c r="B299" s="45">
        <v>45835.74582175926</v>
      </c>
      <c r="C299" s="7" t="s">
        <v>407</v>
      </c>
      <c r="D299" s="7" t="s">
        <v>60</v>
      </c>
      <c r="E299" s="74">
        <v>1.0</v>
      </c>
      <c r="F299" s="46"/>
      <c r="G299" s="47">
        <v>50.19</v>
      </c>
      <c r="H299" s="47">
        <v>0.0</v>
      </c>
      <c r="I299" s="7"/>
      <c r="J299" s="47">
        <v>2.51</v>
      </c>
      <c r="K299" s="8">
        <f t="shared" si="1"/>
        <v>47.68</v>
      </c>
      <c r="L299" s="8"/>
      <c r="M299" s="7"/>
      <c r="N299" s="7"/>
      <c r="O299" s="7"/>
      <c r="P299" s="7"/>
      <c r="Q299" s="7" t="s">
        <v>490</v>
      </c>
      <c r="R299" s="7" t="s">
        <v>1299</v>
      </c>
      <c r="S299" s="7"/>
      <c r="T299" s="7" t="s">
        <v>1300</v>
      </c>
      <c r="U299" s="7" t="s">
        <v>633</v>
      </c>
      <c r="V299" s="65">
        <v>782.0</v>
      </c>
      <c r="W299" s="7"/>
      <c r="X299" s="7"/>
    </row>
    <row r="300">
      <c r="A300" s="74">
        <v>1.0</v>
      </c>
      <c r="B300" s="45">
        <v>45835.74523148148</v>
      </c>
      <c r="C300" s="7" t="s">
        <v>463</v>
      </c>
      <c r="D300" s="7" t="s">
        <v>60</v>
      </c>
      <c r="E300" s="74">
        <v>1.0</v>
      </c>
      <c r="F300" s="46"/>
      <c r="G300" s="47">
        <v>34.5</v>
      </c>
      <c r="H300" s="47">
        <v>0.0</v>
      </c>
      <c r="I300" s="7"/>
      <c r="J300" s="47">
        <v>1.3</v>
      </c>
      <c r="K300" s="8">
        <f t="shared" si="1"/>
        <v>33.2</v>
      </c>
      <c r="L300" s="8"/>
      <c r="M300" s="7"/>
      <c r="N300" s="7"/>
      <c r="O300" s="7"/>
      <c r="P300" s="7"/>
      <c r="Q300" s="7" t="s">
        <v>490</v>
      </c>
      <c r="R300" s="7" t="s">
        <v>1301</v>
      </c>
      <c r="S300" s="7"/>
      <c r="T300" s="7" t="s">
        <v>1302</v>
      </c>
      <c r="U300" s="7" t="s">
        <v>493</v>
      </c>
      <c r="V300" s="65">
        <v>785.0</v>
      </c>
      <c r="W300" s="7"/>
      <c r="X300" s="7"/>
    </row>
    <row r="301">
      <c r="A301" s="74">
        <v>1.0</v>
      </c>
      <c r="B301" s="45">
        <v>45835.74186342592</v>
      </c>
      <c r="C301" s="7" t="s">
        <v>385</v>
      </c>
      <c r="D301" s="7" t="s">
        <v>60</v>
      </c>
      <c r="E301" s="74">
        <v>1.0</v>
      </c>
      <c r="F301" s="46"/>
      <c r="G301" s="47">
        <v>51.37</v>
      </c>
      <c r="H301" s="47">
        <v>0.0</v>
      </c>
      <c r="I301" s="7"/>
      <c r="J301" s="47">
        <v>2.56</v>
      </c>
      <c r="K301" s="8">
        <f t="shared" si="1"/>
        <v>48.81</v>
      </c>
      <c r="L301" s="8"/>
      <c r="M301" s="7"/>
      <c r="N301" s="7"/>
      <c r="O301" s="7"/>
      <c r="P301" s="7"/>
      <c r="Q301" s="7" t="s">
        <v>490</v>
      </c>
      <c r="R301" s="7" t="s">
        <v>1303</v>
      </c>
      <c r="S301" s="7"/>
      <c r="T301" s="7" t="s">
        <v>1304</v>
      </c>
      <c r="U301" s="7" t="s">
        <v>726</v>
      </c>
      <c r="V301" s="65">
        <v>776.0</v>
      </c>
      <c r="W301" s="7"/>
      <c r="X301" s="7"/>
    </row>
    <row r="302">
      <c r="A302" s="74">
        <v>1.0</v>
      </c>
      <c r="B302" s="45">
        <v>45835.74159722222</v>
      </c>
      <c r="C302" s="7" t="s">
        <v>289</v>
      </c>
      <c r="D302" s="7" t="s">
        <v>60</v>
      </c>
      <c r="E302" s="74">
        <v>1.0</v>
      </c>
      <c r="F302" s="46"/>
      <c r="G302" s="47">
        <v>34.5</v>
      </c>
      <c r="H302" s="47">
        <v>0.0</v>
      </c>
      <c r="I302" s="7"/>
      <c r="J302" s="47">
        <v>1.3</v>
      </c>
      <c r="K302" s="8">
        <f t="shared" si="1"/>
        <v>33.2</v>
      </c>
      <c r="L302" s="8"/>
      <c r="M302" s="7"/>
      <c r="N302" s="7"/>
      <c r="O302" s="7"/>
      <c r="P302" s="7"/>
      <c r="Q302" s="7" t="s">
        <v>490</v>
      </c>
      <c r="R302" s="7" t="s">
        <v>1305</v>
      </c>
      <c r="S302" s="7"/>
      <c r="T302" s="7" t="s">
        <v>1306</v>
      </c>
      <c r="U302" s="7" t="s">
        <v>493</v>
      </c>
      <c r="V302" s="65">
        <v>775.0</v>
      </c>
      <c r="W302" s="7"/>
      <c r="X302" s="7"/>
    </row>
    <row r="303">
      <c r="A303" s="74">
        <v>1.0</v>
      </c>
      <c r="B303" s="45">
        <v>45835.73878472222</v>
      </c>
      <c r="C303" s="7" t="s">
        <v>1307</v>
      </c>
      <c r="D303" s="67" t="s">
        <v>1027</v>
      </c>
      <c r="E303" s="74">
        <v>1.0</v>
      </c>
      <c r="F303" s="74">
        <v>1.0</v>
      </c>
      <c r="G303" s="47">
        <v>137.19</v>
      </c>
      <c r="H303" s="47">
        <v>0.0</v>
      </c>
      <c r="I303" s="7"/>
      <c r="J303" s="47">
        <v>4.28</v>
      </c>
      <c r="K303" s="8">
        <f t="shared" si="1"/>
        <v>132.91</v>
      </c>
      <c r="L303" s="8"/>
      <c r="M303" s="7"/>
      <c r="N303" s="7"/>
      <c r="O303" s="7"/>
      <c r="P303" s="7"/>
      <c r="Q303" s="7" t="s">
        <v>490</v>
      </c>
      <c r="R303" s="7" t="s">
        <v>1308</v>
      </c>
      <c r="S303" s="7"/>
      <c r="T303" s="7" t="s">
        <v>1309</v>
      </c>
      <c r="U303" s="7" t="s">
        <v>493</v>
      </c>
      <c r="V303" s="65">
        <v>770.0</v>
      </c>
      <c r="W303" s="7"/>
      <c r="X303" s="7"/>
    </row>
    <row r="304">
      <c r="A304" s="74">
        <v>1.0</v>
      </c>
      <c r="B304" s="45">
        <v>45835.73799768519</v>
      </c>
      <c r="C304" s="7" t="s">
        <v>139</v>
      </c>
      <c r="D304" s="7" t="s">
        <v>60</v>
      </c>
      <c r="E304" s="74">
        <v>1.0</v>
      </c>
      <c r="F304" s="46"/>
      <c r="G304" s="47">
        <v>37.48</v>
      </c>
      <c r="H304" s="47">
        <v>0.0</v>
      </c>
      <c r="I304" s="7"/>
      <c r="J304" s="47">
        <v>1.39</v>
      </c>
      <c r="K304" s="8">
        <f t="shared" si="1"/>
        <v>36.09</v>
      </c>
      <c r="L304" s="8"/>
      <c r="M304" s="7"/>
      <c r="N304" s="7"/>
      <c r="O304" s="7"/>
      <c r="P304" s="7"/>
      <c r="Q304" s="7" t="s">
        <v>490</v>
      </c>
      <c r="R304" s="7" t="s">
        <v>1310</v>
      </c>
      <c r="S304" s="65">
        <v>4.0</v>
      </c>
      <c r="T304" s="7" t="s">
        <v>1311</v>
      </c>
      <c r="U304" s="7" t="s">
        <v>493</v>
      </c>
      <c r="V304" s="65">
        <v>771.0</v>
      </c>
      <c r="W304" s="7"/>
      <c r="X304" s="7"/>
    </row>
    <row r="305">
      <c r="A305" s="74">
        <v>1.0</v>
      </c>
      <c r="B305" s="45">
        <v>45835.73553240741</v>
      </c>
      <c r="C305" s="7" t="s">
        <v>421</v>
      </c>
      <c r="D305" s="7" t="s">
        <v>60</v>
      </c>
      <c r="E305" s="74">
        <v>1.0</v>
      </c>
      <c r="F305" s="46"/>
      <c r="G305" s="47">
        <v>34.5</v>
      </c>
      <c r="H305" s="47">
        <v>0.0</v>
      </c>
      <c r="I305" s="7"/>
      <c r="J305" s="47">
        <v>1.3</v>
      </c>
      <c r="K305" s="8">
        <f t="shared" si="1"/>
        <v>33.2</v>
      </c>
      <c r="L305" s="8"/>
      <c r="M305" s="7"/>
      <c r="N305" s="7"/>
      <c r="O305" s="7"/>
      <c r="P305" s="7"/>
      <c r="Q305" s="7" t="s">
        <v>490</v>
      </c>
      <c r="R305" s="7" t="s">
        <v>1312</v>
      </c>
      <c r="S305" s="7"/>
      <c r="T305" s="7" t="s">
        <v>1298</v>
      </c>
      <c r="U305" s="7" t="s">
        <v>493</v>
      </c>
      <c r="V305" s="65">
        <v>742.0</v>
      </c>
      <c r="W305" s="7"/>
      <c r="X305" s="7"/>
    </row>
    <row r="306">
      <c r="A306" s="74">
        <v>1.0</v>
      </c>
      <c r="B306" s="45">
        <v>45835.73539351852</v>
      </c>
      <c r="C306" s="7" t="s">
        <v>1313</v>
      </c>
      <c r="D306" s="7" t="s">
        <v>60</v>
      </c>
      <c r="E306" s="74">
        <v>1.0</v>
      </c>
      <c r="F306" s="46"/>
      <c r="G306" s="47">
        <v>49.94</v>
      </c>
      <c r="H306" s="47">
        <v>0.0</v>
      </c>
      <c r="I306" s="7"/>
      <c r="J306" s="47">
        <v>2.5</v>
      </c>
      <c r="K306" s="8">
        <f t="shared" si="1"/>
        <v>47.44</v>
      </c>
      <c r="L306" s="8"/>
      <c r="M306" s="7"/>
      <c r="N306" s="7"/>
      <c r="O306" s="7"/>
      <c r="P306" s="7"/>
      <c r="Q306" s="7" t="s">
        <v>490</v>
      </c>
      <c r="R306" s="7" t="s">
        <v>1314</v>
      </c>
      <c r="S306" s="7"/>
      <c r="T306" s="7" t="s">
        <v>1315</v>
      </c>
      <c r="U306" s="7" t="s">
        <v>542</v>
      </c>
      <c r="V306" s="65">
        <v>749.0</v>
      </c>
      <c r="W306" s="7"/>
      <c r="X306" s="7"/>
    </row>
    <row r="307">
      <c r="A307" s="74">
        <v>1.0</v>
      </c>
      <c r="B307" s="45">
        <v>45835.7337962963</v>
      </c>
      <c r="C307" s="7" t="s">
        <v>1316</v>
      </c>
      <c r="D307" s="67" t="s">
        <v>1027</v>
      </c>
      <c r="E307" s="74">
        <v>1.0</v>
      </c>
      <c r="F307" s="74">
        <v>1.0</v>
      </c>
      <c r="G307" s="47">
        <v>171.64</v>
      </c>
      <c r="H307" s="47">
        <v>0.0</v>
      </c>
      <c r="I307" s="7"/>
      <c r="J307" s="47">
        <v>7.85</v>
      </c>
      <c r="K307" s="8">
        <f t="shared" si="1"/>
        <v>163.79</v>
      </c>
      <c r="L307" s="8"/>
      <c r="M307" s="7"/>
      <c r="N307" s="7"/>
      <c r="O307" s="7"/>
      <c r="P307" s="7"/>
      <c r="Q307" s="7" t="s">
        <v>490</v>
      </c>
      <c r="R307" s="7" t="s">
        <v>1317</v>
      </c>
      <c r="S307" s="7"/>
      <c r="T307" s="7" t="s">
        <v>572</v>
      </c>
      <c r="U307" s="7" t="s">
        <v>510</v>
      </c>
      <c r="V307" s="65">
        <v>757.0</v>
      </c>
      <c r="W307" s="7"/>
      <c r="X307" s="7"/>
    </row>
    <row r="308">
      <c r="A308" s="74">
        <v>1.0</v>
      </c>
      <c r="B308" s="45">
        <v>45835.732094907406</v>
      </c>
      <c r="C308" s="7" t="s">
        <v>399</v>
      </c>
      <c r="D308" s="7" t="s">
        <v>60</v>
      </c>
      <c r="E308" s="74">
        <v>1.0</v>
      </c>
      <c r="F308" s="46"/>
      <c r="G308" s="47">
        <v>34.5</v>
      </c>
      <c r="H308" s="47">
        <v>0.0</v>
      </c>
      <c r="I308" s="7"/>
      <c r="J308" s="47">
        <v>1.3</v>
      </c>
      <c r="K308" s="8">
        <f t="shared" si="1"/>
        <v>33.2</v>
      </c>
      <c r="L308" s="8"/>
      <c r="M308" s="7"/>
      <c r="N308" s="7"/>
      <c r="O308" s="7"/>
      <c r="P308" s="7"/>
      <c r="Q308" s="7" t="s">
        <v>490</v>
      </c>
      <c r="R308" s="7" t="s">
        <v>1318</v>
      </c>
      <c r="S308" s="7" t="s">
        <v>1319</v>
      </c>
      <c r="T308" s="7" t="s">
        <v>1320</v>
      </c>
      <c r="U308" s="7" t="s">
        <v>493</v>
      </c>
      <c r="V308" s="65">
        <v>761.0</v>
      </c>
      <c r="W308" s="7"/>
      <c r="X308" s="7"/>
    </row>
    <row r="309">
      <c r="A309" s="74">
        <v>1.0</v>
      </c>
      <c r="B309" s="45">
        <v>45835.731261574074</v>
      </c>
      <c r="C309" s="7" t="s">
        <v>1321</v>
      </c>
      <c r="D309" s="67" t="s">
        <v>1027</v>
      </c>
      <c r="E309" s="74">
        <v>1.0</v>
      </c>
      <c r="F309" s="74">
        <v>1.0</v>
      </c>
      <c r="G309" s="47">
        <v>149.94</v>
      </c>
      <c r="H309" s="47">
        <v>0.0</v>
      </c>
      <c r="I309" s="7"/>
      <c r="J309" s="47">
        <v>6.9</v>
      </c>
      <c r="K309" s="8">
        <f t="shared" si="1"/>
        <v>143.04</v>
      </c>
      <c r="L309" s="8"/>
      <c r="M309" s="7"/>
      <c r="N309" s="7"/>
      <c r="O309" s="7"/>
      <c r="P309" s="7"/>
      <c r="Q309" s="7" t="s">
        <v>490</v>
      </c>
      <c r="R309" s="7" t="s">
        <v>1322</v>
      </c>
      <c r="S309" s="7"/>
      <c r="T309" s="7" t="s">
        <v>1323</v>
      </c>
      <c r="U309" s="7" t="s">
        <v>542</v>
      </c>
      <c r="V309" s="65">
        <v>760.0</v>
      </c>
      <c r="W309" s="7"/>
      <c r="X309" s="7"/>
    </row>
    <row r="310">
      <c r="A310" s="74">
        <v>1.0</v>
      </c>
      <c r="B310" s="45">
        <v>45835.73060185185</v>
      </c>
      <c r="C310" s="7" t="s">
        <v>377</v>
      </c>
      <c r="D310" s="7" t="s">
        <v>60</v>
      </c>
      <c r="E310" s="74">
        <v>1.0</v>
      </c>
      <c r="F310" s="46"/>
      <c r="G310" s="47">
        <v>38.54</v>
      </c>
      <c r="H310" s="47">
        <v>0.0</v>
      </c>
      <c r="I310" s="7"/>
      <c r="J310" s="47">
        <v>1.42</v>
      </c>
      <c r="K310" s="8">
        <f t="shared" si="1"/>
        <v>37.12</v>
      </c>
      <c r="L310" s="8"/>
      <c r="M310" s="7"/>
      <c r="N310" s="7"/>
      <c r="O310" s="7"/>
      <c r="P310" s="7"/>
      <c r="Q310" s="7" t="s">
        <v>490</v>
      </c>
      <c r="R310" s="7"/>
      <c r="S310" s="7"/>
      <c r="T310" s="7"/>
      <c r="U310" s="7" t="s">
        <v>493</v>
      </c>
      <c r="V310" s="65">
        <v>758.0</v>
      </c>
      <c r="W310" s="7"/>
      <c r="X310" s="7"/>
    </row>
    <row r="311">
      <c r="A311" s="74">
        <v>1.0</v>
      </c>
      <c r="B311" s="45">
        <v>45835.728414351855</v>
      </c>
      <c r="C311" s="7" t="s">
        <v>1324</v>
      </c>
      <c r="D311" s="67" t="s">
        <v>1027</v>
      </c>
      <c r="E311" s="74">
        <v>1.0</v>
      </c>
      <c r="F311" s="74">
        <v>1.0</v>
      </c>
      <c r="G311" s="47">
        <v>170.89</v>
      </c>
      <c r="H311" s="47">
        <v>0.0</v>
      </c>
      <c r="I311" s="7"/>
      <c r="J311" s="47">
        <v>7.82</v>
      </c>
      <c r="K311" s="8">
        <f t="shared" si="1"/>
        <v>163.07</v>
      </c>
      <c r="L311" s="8"/>
      <c r="M311" s="7"/>
      <c r="N311" s="7"/>
      <c r="O311" s="7"/>
      <c r="P311" s="7"/>
      <c r="Q311" s="7" t="s">
        <v>490</v>
      </c>
      <c r="R311" s="7" t="s">
        <v>1325</v>
      </c>
      <c r="S311" s="7"/>
      <c r="T311" s="7" t="s">
        <v>1326</v>
      </c>
      <c r="U311" s="7" t="s">
        <v>545</v>
      </c>
      <c r="V311" s="65">
        <v>751.0</v>
      </c>
      <c r="W311" s="7"/>
      <c r="X311" s="7"/>
    </row>
    <row r="312">
      <c r="A312" s="74">
        <v>1.0</v>
      </c>
      <c r="B312" s="45">
        <v>45835.72802083333</v>
      </c>
      <c r="C312" s="7" t="s">
        <v>1327</v>
      </c>
      <c r="D312" s="7" t="s">
        <v>60</v>
      </c>
      <c r="E312" s="74">
        <v>1.0</v>
      </c>
      <c r="F312" s="46"/>
      <c r="G312" s="47">
        <v>50.29</v>
      </c>
      <c r="H312" s="47">
        <v>0.0</v>
      </c>
      <c r="I312" s="7"/>
      <c r="J312" s="47">
        <v>2.51</v>
      </c>
      <c r="K312" s="8">
        <f t="shared" si="1"/>
        <v>47.78</v>
      </c>
      <c r="L312" s="8"/>
      <c r="M312" s="7"/>
      <c r="N312" s="7"/>
      <c r="O312" s="7"/>
      <c r="P312" s="7"/>
      <c r="Q312" s="7" t="s">
        <v>490</v>
      </c>
      <c r="R312" s="7" t="s">
        <v>1328</v>
      </c>
      <c r="S312" s="7" t="s">
        <v>1329</v>
      </c>
      <c r="T312" s="7" t="s">
        <v>1330</v>
      </c>
      <c r="U312" s="7" t="s">
        <v>555</v>
      </c>
      <c r="V312" s="65">
        <v>748.0</v>
      </c>
      <c r="W312" s="7"/>
      <c r="X312" s="7"/>
    </row>
    <row r="313">
      <c r="A313" s="74">
        <v>1.0</v>
      </c>
      <c r="B313" s="45">
        <v>45835.72681712963</v>
      </c>
      <c r="C313" s="7" t="s">
        <v>275</v>
      </c>
      <c r="D313" s="67" t="s">
        <v>1027</v>
      </c>
      <c r="E313" s="74">
        <v>1.0</v>
      </c>
      <c r="F313" s="74">
        <v>1.0</v>
      </c>
      <c r="G313" s="47">
        <v>138.54</v>
      </c>
      <c r="H313" s="47">
        <v>0.0</v>
      </c>
      <c r="I313" s="7"/>
      <c r="J313" s="47">
        <v>4.32</v>
      </c>
      <c r="K313" s="8">
        <f t="shared" si="1"/>
        <v>134.22</v>
      </c>
      <c r="L313" s="8"/>
      <c r="M313" s="7"/>
      <c r="N313" s="7"/>
      <c r="O313" s="7"/>
      <c r="P313" s="7"/>
      <c r="Q313" s="7" t="s">
        <v>490</v>
      </c>
      <c r="R313" s="7" t="s">
        <v>1331</v>
      </c>
      <c r="S313" s="7"/>
      <c r="T313" s="7" t="s">
        <v>1332</v>
      </c>
      <c r="U313" s="7" t="s">
        <v>493</v>
      </c>
      <c r="V313" s="65">
        <v>747.0</v>
      </c>
      <c r="W313" s="7"/>
      <c r="X313" s="7"/>
    </row>
    <row r="314">
      <c r="A314" s="74">
        <v>1.0</v>
      </c>
      <c r="B314" s="45">
        <v>45835.72623842592</v>
      </c>
      <c r="C314" s="7" t="s">
        <v>457</v>
      </c>
      <c r="D314" s="7" t="s">
        <v>60</v>
      </c>
      <c r="E314" s="74">
        <v>1.0</v>
      </c>
      <c r="F314" s="46"/>
      <c r="G314" s="47">
        <v>34.5</v>
      </c>
      <c r="H314" s="47">
        <v>0.0</v>
      </c>
      <c r="I314" s="7"/>
      <c r="J314" s="47">
        <v>1.3</v>
      </c>
      <c r="K314" s="8">
        <f t="shared" si="1"/>
        <v>33.2</v>
      </c>
      <c r="L314" s="8"/>
      <c r="M314" s="7"/>
      <c r="N314" s="7"/>
      <c r="O314" s="7"/>
      <c r="P314" s="7"/>
      <c r="Q314" s="7" t="s">
        <v>490</v>
      </c>
      <c r="R314" s="7" t="s">
        <v>1333</v>
      </c>
      <c r="S314" s="7"/>
      <c r="T314" s="7" t="s">
        <v>1334</v>
      </c>
      <c r="U314" s="7" t="s">
        <v>493</v>
      </c>
      <c r="V314" s="65">
        <v>746.0</v>
      </c>
      <c r="W314" s="7"/>
      <c r="X314" s="7"/>
    </row>
    <row r="315">
      <c r="A315" s="74">
        <v>1.0</v>
      </c>
      <c r="B315" s="45">
        <v>45835.725277777776</v>
      </c>
      <c r="C315" s="7" t="s">
        <v>418</v>
      </c>
      <c r="D315" s="7" t="s">
        <v>577</v>
      </c>
      <c r="E315" s="74">
        <v>1.0</v>
      </c>
      <c r="F315" s="46"/>
      <c r="G315" s="47">
        <v>72.25</v>
      </c>
      <c r="H315" s="47">
        <v>0.0</v>
      </c>
      <c r="I315" s="7"/>
      <c r="J315" s="47">
        <v>3.48</v>
      </c>
      <c r="K315" s="8">
        <f t="shared" si="1"/>
        <v>68.77</v>
      </c>
      <c r="L315" s="8"/>
      <c r="M315" s="7"/>
      <c r="N315" s="7"/>
      <c r="O315" s="7"/>
      <c r="P315" s="7"/>
      <c r="Q315" s="7" t="s">
        <v>490</v>
      </c>
      <c r="R315" s="7" t="s">
        <v>1335</v>
      </c>
      <c r="S315" s="7"/>
      <c r="T315" s="7" t="s">
        <v>1336</v>
      </c>
      <c r="U315" s="7" t="s">
        <v>545</v>
      </c>
      <c r="V315" s="65">
        <v>740.0</v>
      </c>
      <c r="W315" s="7"/>
      <c r="X315" s="7"/>
    </row>
    <row r="316">
      <c r="A316" s="74">
        <v>1.0</v>
      </c>
      <c r="B316" s="45">
        <v>45835.723587962966</v>
      </c>
      <c r="C316" s="7" t="s">
        <v>395</v>
      </c>
      <c r="D316" s="67" t="s">
        <v>1027</v>
      </c>
      <c r="E316" s="74">
        <v>1.0</v>
      </c>
      <c r="F316" s="74">
        <v>1.0</v>
      </c>
      <c r="G316" s="47">
        <v>150.4</v>
      </c>
      <c r="H316" s="47">
        <v>0.0</v>
      </c>
      <c r="I316" s="7"/>
      <c r="J316" s="47">
        <v>6.92</v>
      </c>
      <c r="K316" s="8">
        <f t="shared" si="1"/>
        <v>143.48</v>
      </c>
      <c r="L316" s="8"/>
      <c r="M316" s="7"/>
      <c r="N316" s="7"/>
      <c r="O316" s="7"/>
      <c r="P316" s="7"/>
      <c r="Q316" s="7" t="s">
        <v>490</v>
      </c>
      <c r="R316" s="7" t="s">
        <v>1337</v>
      </c>
      <c r="S316" s="7"/>
      <c r="T316" s="7" t="s">
        <v>1338</v>
      </c>
      <c r="U316" s="7" t="s">
        <v>973</v>
      </c>
      <c r="V316" s="65">
        <v>724.0</v>
      </c>
      <c r="W316" s="7"/>
      <c r="X316" s="7"/>
    </row>
    <row r="317">
      <c r="A317" s="74">
        <v>1.0</v>
      </c>
      <c r="B317" s="45">
        <v>45835.72341435185</v>
      </c>
      <c r="C317" s="7" t="s">
        <v>1339</v>
      </c>
      <c r="D317" s="7" t="s">
        <v>60</v>
      </c>
      <c r="E317" s="74">
        <v>1.0</v>
      </c>
      <c r="F317" s="46"/>
      <c r="G317" s="47">
        <v>49.24</v>
      </c>
      <c r="H317" s="47">
        <v>0.0</v>
      </c>
      <c r="I317" s="7"/>
      <c r="J317" s="47">
        <v>2.47</v>
      </c>
      <c r="K317" s="8">
        <f t="shared" si="1"/>
        <v>46.77</v>
      </c>
      <c r="L317" s="8"/>
      <c r="M317" s="7"/>
      <c r="N317" s="7"/>
      <c r="O317" s="7"/>
      <c r="P317" s="7"/>
      <c r="Q317" s="7" t="s">
        <v>490</v>
      </c>
      <c r="R317" s="7" t="s">
        <v>1340</v>
      </c>
      <c r="S317" s="7"/>
      <c r="T317" s="7" t="s">
        <v>1341</v>
      </c>
      <c r="U317" s="7" t="s">
        <v>525</v>
      </c>
      <c r="V317" s="65">
        <v>734.0</v>
      </c>
      <c r="W317" s="7"/>
      <c r="X317" s="7"/>
    </row>
    <row r="318">
      <c r="A318" s="74">
        <v>1.0</v>
      </c>
      <c r="B318" s="45">
        <v>45835.72313657407</v>
      </c>
      <c r="C318" s="7" t="s">
        <v>434</v>
      </c>
      <c r="D318" s="67" t="s">
        <v>1027</v>
      </c>
      <c r="E318" s="74">
        <v>1.0</v>
      </c>
      <c r="F318" s="74">
        <v>1.0</v>
      </c>
      <c r="G318" s="47">
        <v>142.57</v>
      </c>
      <c r="H318" s="47">
        <v>0.0</v>
      </c>
      <c r="I318" s="7"/>
      <c r="J318" s="47">
        <v>4.43</v>
      </c>
      <c r="K318" s="8">
        <f t="shared" si="1"/>
        <v>138.14</v>
      </c>
      <c r="L318" s="8"/>
      <c r="M318" s="7"/>
      <c r="N318" s="7"/>
      <c r="O318" s="7"/>
      <c r="P318" s="7"/>
      <c r="Q318" s="7" t="s">
        <v>490</v>
      </c>
      <c r="R318" s="7" t="s">
        <v>1342</v>
      </c>
      <c r="S318" s="7"/>
      <c r="T318" s="7" t="s">
        <v>1343</v>
      </c>
      <c r="U318" s="7" t="s">
        <v>493</v>
      </c>
      <c r="V318" s="65">
        <v>738.0</v>
      </c>
      <c r="W318" s="7"/>
      <c r="X318" s="7"/>
    </row>
    <row r="319">
      <c r="A319" s="74">
        <v>1.0</v>
      </c>
      <c r="B319" s="45">
        <v>45835.723078703704</v>
      </c>
      <c r="C319" s="7" t="s">
        <v>1344</v>
      </c>
      <c r="D319" s="7" t="s">
        <v>60</v>
      </c>
      <c r="E319" s="74">
        <v>1.0</v>
      </c>
      <c r="F319" s="46"/>
      <c r="G319" s="47">
        <v>49.94</v>
      </c>
      <c r="H319" s="47">
        <v>0.0</v>
      </c>
      <c r="I319" s="7"/>
      <c r="J319" s="47">
        <v>2.5</v>
      </c>
      <c r="K319" s="8">
        <f t="shared" si="1"/>
        <v>47.44</v>
      </c>
      <c r="L319" s="8"/>
      <c r="M319" s="7"/>
      <c r="N319" s="7"/>
      <c r="O319" s="7"/>
      <c r="P319" s="7"/>
      <c r="Q319" s="7" t="s">
        <v>490</v>
      </c>
      <c r="R319" s="7"/>
      <c r="S319" s="7"/>
      <c r="T319" s="7"/>
      <c r="U319" s="7" t="s">
        <v>542</v>
      </c>
      <c r="V319" s="65">
        <v>715.0</v>
      </c>
      <c r="W319" s="7"/>
      <c r="X319" s="7"/>
    </row>
    <row r="320">
      <c r="A320" s="74">
        <v>1.0</v>
      </c>
      <c r="B320" s="45">
        <v>45835.72283564815</v>
      </c>
      <c r="C320" s="7" t="s">
        <v>1345</v>
      </c>
      <c r="D320" s="7" t="s">
        <v>60</v>
      </c>
      <c r="E320" s="74">
        <v>1.0</v>
      </c>
      <c r="F320" s="46"/>
      <c r="G320" s="47">
        <v>51.37</v>
      </c>
      <c r="H320" s="47">
        <v>0.0</v>
      </c>
      <c r="I320" s="7"/>
      <c r="J320" s="47">
        <v>2.56</v>
      </c>
      <c r="K320" s="8">
        <f t="shared" si="1"/>
        <v>48.81</v>
      </c>
      <c r="L320" s="8"/>
      <c r="M320" s="7"/>
      <c r="N320" s="7"/>
      <c r="O320" s="7"/>
      <c r="P320" s="7"/>
      <c r="Q320" s="7" t="s">
        <v>490</v>
      </c>
      <c r="R320" s="7" t="s">
        <v>1346</v>
      </c>
      <c r="S320" s="7"/>
      <c r="T320" s="7" t="s">
        <v>1347</v>
      </c>
      <c r="U320" s="7" t="s">
        <v>521</v>
      </c>
      <c r="V320" s="65">
        <v>720.0</v>
      </c>
      <c r="W320" s="7"/>
      <c r="X320" s="7"/>
    </row>
    <row r="321">
      <c r="A321" s="74">
        <v>1.0</v>
      </c>
      <c r="B321" s="45">
        <v>45835.72277777778</v>
      </c>
      <c r="C321" s="7" t="s">
        <v>442</v>
      </c>
      <c r="D321" s="67" t="s">
        <v>1027</v>
      </c>
      <c r="E321" s="74">
        <v>1.0</v>
      </c>
      <c r="F321" s="74">
        <v>1.0</v>
      </c>
      <c r="G321" s="47">
        <v>134.5</v>
      </c>
      <c r="H321" s="47">
        <v>0.0</v>
      </c>
      <c r="I321" s="7"/>
      <c r="J321" s="47">
        <v>4.2</v>
      </c>
      <c r="K321" s="8">
        <f t="shared" si="1"/>
        <v>130.3</v>
      </c>
      <c r="L321" s="8"/>
      <c r="M321" s="7"/>
      <c r="N321" s="7"/>
      <c r="O321" s="7"/>
      <c r="P321" s="7"/>
      <c r="Q321" s="7" t="s">
        <v>490</v>
      </c>
      <c r="R321" s="7" t="s">
        <v>1348</v>
      </c>
      <c r="S321" s="7"/>
      <c r="T321" s="7" t="s">
        <v>1349</v>
      </c>
      <c r="U321" s="7" t="s">
        <v>493</v>
      </c>
      <c r="V321" s="65">
        <v>727.0</v>
      </c>
      <c r="W321" s="7"/>
      <c r="X321" s="7"/>
    </row>
    <row r="322">
      <c r="A322" s="74">
        <v>1.0</v>
      </c>
      <c r="B322" s="45">
        <v>45835.72262731481</v>
      </c>
      <c r="C322" s="7" t="s">
        <v>1350</v>
      </c>
      <c r="D322" s="7" t="s">
        <v>60</v>
      </c>
      <c r="E322" s="74">
        <v>1.0</v>
      </c>
      <c r="F322" s="46"/>
      <c r="G322" s="47">
        <v>47.26</v>
      </c>
      <c r="H322" s="47">
        <v>0.0</v>
      </c>
      <c r="I322" s="7"/>
      <c r="J322" s="47">
        <v>2.38</v>
      </c>
      <c r="K322" s="8">
        <f t="shared" si="1"/>
        <v>44.88</v>
      </c>
      <c r="L322" s="8"/>
      <c r="M322" s="7"/>
      <c r="N322" s="7"/>
      <c r="O322" s="7"/>
      <c r="P322" s="7"/>
      <c r="Q322" s="7" t="s">
        <v>490</v>
      </c>
      <c r="R322" s="7" t="s">
        <v>1351</v>
      </c>
      <c r="S322" s="7"/>
      <c r="T322" s="7" t="s">
        <v>1352</v>
      </c>
      <c r="U322" s="7" t="s">
        <v>545</v>
      </c>
      <c r="V322" s="65">
        <v>721.0</v>
      </c>
      <c r="W322" s="7"/>
      <c r="X322" s="7"/>
    </row>
    <row r="323">
      <c r="A323" s="74">
        <v>1.0</v>
      </c>
      <c r="B323" s="45">
        <v>45835.721770833334</v>
      </c>
      <c r="C323" s="7" t="s">
        <v>1353</v>
      </c>
      <c r="D323" s="7" t="s">
        <v>60</v>
      </c>
      <c r="E323" s="74">
        <v>1.0</v>
      </c>
      <c r="F323" s="46"/>
      <c r="G323" s="47">
        <v>34.5</v>
      </c>
      <c r="H323" s="47">
        <v>0.0</v>
      </c>
      <c r="I323" s="7"/>
      <c r="J323" s="47">
        <v>1.3</v>
      </c>
      <c r="K323" s="8">
        <f t="shared" si="1"/>
        <v>33.2</v>
      </c>
      <c r="L323" s="8"/>
      <c r="M323" s="7"/>
      <c r="N323" s="7"/>
      <c r="O323" s="7"/>
      <c r="P323" s="7"/>
      <c r="Q323" s="7" t="s">
        <v>490</v>
      </c>
      <c r="R323" s="7"/>
      <c r="S323" s="7"/>
      <c r="T323" s="7"/>
      <c r="U323" s="7" t="s">
        <v>493</v>
      </c>
      <c r="V323" s="65">
        <v>722.0</v>
      </c>
      <c r="W323" s="7"/>
      <c r="X323" s="7"/>
    </row>
    <row r="324">
      <c r="A324" s="74">
        <v>1.0</v>
      </c>
      <c r="B324" s="45">
        <v>45835.72158564815</v>
      </c>
      <c r="C324" s="7" t="s">
        <v>1354</v>
      </c>
      <c r="D324" s="67" t="s">
        <v>1027</v>
      </c>
      <c r="E324" s="74">
        <v>1.0</v>
      </c>
      <c r="F324" s="74">
        <v>1.0</v>
      </c>
      <c r="G324" s="47">
        <v>144.93</v>
      </c>
      <c r="H324" s="47">
        <v>0.0</v>
      </c>
      <c r="I324" s="7"/>
      <c r="J324" s="47">
        <v>4.5</v>
      </c>
      <c r="K324" s="8">
        <f t="shared" si="1"/>
        <v>140.43</v>
      </c>
      <c r="L324" s="8"/>
      <c r="M324" s="7"/>
      <c r="N324" s="7"/>
      <c r="O324" s="7"/>
      <c r="P324" s="7"/>
      <c r="Q324" s="7" t="s">
        <v>490</v>
      </c>
      <c r="R324" s="7" t="s">
        <v>1355</v>
      </c>
      <c r="S324" s="7"/>
      <c r="T324" s="7" t="s">
        <v>1356</v>
      </c>
      <c r="U324" s="7" t="s">
        <v>493</v>
      </c>
      <c r="V324" s="65">
        <v>726.0</v>
      </c>
      <c r="W324" s="7"/>
      <c r="X324" s="7"/>
    </row>
    <row r="325">
      <c r="A325" s="74">
        <v>1.0</v>
      </c>
      <c r="B325" s="45">
        <v>45835.72063657407</v>
      </c>
      <c r="C325" s="7" t="s">
        <v>286</v>
      </c>
      <c r="D325" s="7" t="s">
        <v>60</v>
      </c>
      <c r="E325" s="74">
        <v>1.0</v>
      </c>
      <c r="F325" s="46"/>
      <c r="G325" s="47">
        <v>38.54</v>
      </c>
      <c r="H325" s="47">
        <v>0.0</v>
      </c>
      <c r="I325" s="7"/>
      <c r="J325" s="47">
        <v>1.42</v>
      </c>
      <c r="K325" s="8">
        <f t="shared" si="1"/>
        <v>37.12</v>
      </c>
      <c r="L325" s="8"/>
      <c r="M325" s="7"/>
      <c r="N325" s="7"/>
      <c r="O325" s="7"/>
      <c r="P325" s="7"/>
      <c r="Q325" s="7" t="s">
        <v>490</v>
      </c>
      <c r="R325" s="7" t="s">
        <v>1357</v>
      </c>
      <c r="S325" s="7"/>
      <c r="T325" s="7" t="s">
        <v>1358</v>
      </c>
      <c r="U325" s="7" t="s">
        <v>493</v>
      </c>
      <c r="V325" s="65">
        <v>718.0</v>
      </c>
      <c r="W325" s="7"/>
      <c r="X325" s="7"/>
    </row>
    <row r="326">
      <c r="A326" s="74">
        <v>1.0</v>
      </c>
      <c r="B326" s="45">
        <v>45835.72056712963</v>
      </c>
      <c r="C326" s="7" t="s">
        <v>427</v>
      </c>
      <c r="D326" s="67" t="s">
        <v>1027</v>
      </c>
      <c r="E326" s="74">
        <v>1.0</v>
      </c>
      <c r="F326" s="74">
        <v>1.0</v>
      </c>
      <c r="G326" s="47">
        <v>134.5</v>
      </c>
      <c r="H326" s="47">
        <v>0.0</v>
      </c>
      <c r="I326" s="7"/>
      <c r="J326" s="47">
        <v>4.2</v>
      </c>
      <c r="K326" s="8">
        <f t="shared" si="1"/>
        <v>130.3</v>
      </c>
      <c r="L326" s="8"/>
      <c r="M326" s="7"/>
      <c r="N326" s="7"/>
      <c r="O326" s="7"/>
      <c r="P326" s="7"/>
      <c r="Q326" s="7" t="s">
        <v>490</v>
      </c>
      <c r="R326" s="7" t="s">
        <v>1359</v>
      </c>
      <c r="S326" s="7"/>
      <c r="T326" s="7" t="s">
        <v>1360</v>
      </c>
      <c r="U326" s="7" t="s">
        <v>493</v>
      </c>
      <c r="V326" s="65">
        <v>716.0</v>
      </c>
      <c r="W326" s="7"/>
      <c r="X326" s="7"/>
    </row>
    <row r="327">
      <c r="A327" s="74">
        <v>1.0</v>
      </c>
      <c r="B327" s="45">
        <v>45835.719201388885</v>
      </c>
      <c r="C327" s="7" t="s">
        <v>396</v>
      </c>
      <c r="D327" s="67" t="s">
        <v>1027</v>
      </c>
      <c r="E327" s="74">
        <v>1.0</v>
      </c>
      <c r="F327" s="74">
        <v>1.0</v>
      </c>
      <c r="G327" s="47">
        <v>138.54</v>
      </c>
      <c r="H327" s="47">
        <v>0.0</v>
      </c>
      <c r="I327" s="7"/>
      <c r="J327" s="47">
        <v>4.32</v>
      </c>
      <c r="K327" s="8">
        <f t="shared" si="1"/>
        <v>134.22</v>
      </c>
      <c r="L327" s="8"/>
      <c r="M327" s="7"/>
      <c r="N327" s="7"/>
      <c r="O327" s="7"/>
      <c r="P327" s="7"/>
      <c r="Q327" s="7" t="s">
        <v>490</v>
      </c>
      <c r="R327" s="7" t="s">
        <v>1361</v>
      </c>
      <c r="S327" s="7" t="s">
        <v>1362</v>
      </c>
      <c r="T327" s="7" t="s">
        <v>1363</v>
      </c>
      <c r="U327" s="7" t="s">
        <v>493</v>
      </c>
      <c r="V327" s="65">
        <v>709.0</v>
      </c>
      <c r="W327" s="7"/>
      <c r="X327" s="7"/>
    </row>
    <row r="328">
      <c r="A328" s="74">
        <v>1.0</v>
      </c>
      <c r="B328" s="45">
        <v>45835.71886574074</v>
      </c>
      <c r="C328" s="7" t="s">
        <v>192</v>
      </c>
      <c r="D328" s="67" t="s">
        <v>1027</v>
      </c>
      <c r="E328" s="74">
        <v>1.0</v>
      </c>
      <c r="F328" s="74">
        <v>1.0</v>
      </c>
      <c r="G328" s="47">
        <v>149.24</v>
      </c>
      <c r="H328" s="47">
        <v>0.0</v>
      </c>
      <c r="I328" s="7"/>
      <c r="J328" s="47">
        <v>6.87</v>
      </c>
      <c r="K328" s="8">
        <f t="shared" si="1"/>
        <v>142.37</v>
      </c>
      <c r="L328" s="8"/>
      <c r="M328" s="7"/>
      <c r="N328" s="7"/>
      <c r="O328" s="7"/>
      <c r="P328" s="7"/>
      <c r="Q328" s="7" t="s">
        <v>490</v>
      </c>
      <c r="R328" s="7" t="s">
        <v>1364</v>
      </c>
      <c r="S328" s="7"/>
      <c r="T328" s="7" t="s">
        <v>1365</v>
      </c>
      <c r="U328" s="7" t="s">
        <v>525</v>
      </c>
      <c r="V328" s="65">
        <v>706.0</v>
      </c>
      <c r="W328" s="7"/>
      <c r="X328" s="7"/>
    </row>
    <row r="329">
      <c r="A329" s="74">
        <v>1.0</v>
      </c>
      <c r="B329" s="45">
        <v>45835.71861111111</v>
      </c>
      <c r="C329" s="7" t="s">
        <v>170</v>
      </c>
      <c r="D329" s="67" t="s">
        <v>1027</v>
      </c>
      <c r="E329" s="74">
        <v>1.0</v>
      </c>
      <c r="F329" s="74">
        <v>1.0</v>
      </c>
      <c r="G329" s="47">
        <v>151.37</v>
      </c>
      <c r="H329" s="47">
        <v>0.0</v>
      </c>
      <c r="I329" s="7"/>
      <c r="J329" s="47">
        <v>6.96</v>
      </c>
      <c r="K329" s="8">
        <f t="shared" si="1"/>
        <v>144.41</v>
      </c>
      <c r="L329" s="8"/>
      <c r="M329" s="7"/>
      <c r="N329" s="7"/>
      <c r="O329" s="7"/>
      <c r="P329" s="7"/>
      <c r="Q329" s="7" t="s">
        <v>490</v>
      </c>
      <c r="R329" s="7" t="s">
        <v>1366</v>
      </c>
      <c r="S329" s="7"/>
      <c r="T329" s="7" t="s">
        <v>1367</v>
      </c>
      <c r="U329" s="7" t="s">
        <v>1368</v>
      </c>
      <c r="V329" s="65">
        <v>704.0</v>
      </c>
      <c r="W329" s="7"/>
      <c r="X329" s="7"/>
    </row>
    <row r="330">
      <c r="A330" s="74">
        <v>1.0</v>
      </c>
      <c r="B330" s="45">
        <v>45835.7184837963</v>
      </c>
      <c r="C330" s="7" t="s">
        <v>464</v>
      </c>
      <c r="D330" s="7" t="s">
        <v>60</v>
      </c>
      <c r="E330" s="74">
        <v>1.0</v>
      </c>
      <c r="F330" s="46"/>
      <c r="G330" s="47">
        <v>34.62</v>
      </c>
      <c r="H330" s="47">
        <v>0.0</v>
      </c>
      <c r="I330" s="7"/>
      <c r="J330" s="47">
        <v>1.3</v>
      </c>
      <c r="K330" s="8">
        <f t="shared" si="1"/>
        <v>33.32</v>
      </c>
      <c r="L330" s="8"/>
      <c r="M330" s="7"/>
      <c r="N330" s="7"/>
      <c r="O330" s="7"/>
      <c r="P330" s="7"/>
      <c r="Q330" s="7" t="s">
        <v>490</v>
      </c>
      <c r="R330" s="7" t="s">
        <v>1369</v>
      </c>
      <c r="S330" s="7"/>
      <c r="T330" s="7" t="s">
        <v>1370</v>
      </c>
      <c r="U330" s="7" t="s">
        <v>493</v>
      </c>
      <c r="V330" s="65">
        <v>712.0</v>
      </c>
      <c r="W330" s="7"/>
      <c r="X330" s="7"/>
    </row>
    <row r="331">
      <c r="A331" s="74">
        <v>1.0</v>
      </c>
      <c r="B331" s="45">
        <v>45835.71844907408</v>
      </c>
      <c r="C331" s="7" t="s">
        <v>1371</v>
      </c>
      <c r="D331" s="67" t="s">
        <v>1027</v>
      </c>
      <c r="E331" s="74">
        <v>1.0</v>
      </c>
      <c r="F331" s="74">
        <v>1.0</v>
      </c>
      <c r="G331" s="47">
        <v>134.5</v>
      </c>
      <c r="H331" s="47">
        <v>0.0</v>
      </c>
      <c r="I331" s="7"/>
      <c r="J331" s="47">
        <v>4.2</v>
      </c>
      <c r="K331" s="8">
        <f t="shared" si="1"/>
        <v>130.3</v>
      </c>
      <c r="L331" s="8"/>
      <c r="M331" s="7"/>
      <c r="N331" s="7"/>
      <c r="O331" s="7"/>
      <c r="P331" s="7"/>
      <c r="Q331" s="7" t="s">
        <v>490</v>
      </c>
      <c r="R331" s="7" t="s">
        <v>1372</v>
      </c>
      <c r="S331" s="7"/>
      <c r="T331" s="7" t="s">
        <v>1373</v>
      </c>
      <c r="U331" s="7" t="s">
        <v>493</v>
      </c>
      <c r="V331" s="65">
        <v>708.0</v>
      </c>
      <c r="W331" s="7"/>
      <c r="X331" s="7"/>
    </row>
    <row r="332">
      <c r="A332" s="74">
        <v>1.0</v>
      </c>
      <c r="B332" s="45">
        <v>45835.718356481484</v>
      </c>
      <c r="C332" s="7" t="s">
        <v>299</v>
      </c>
      <c r="D332" s="67" t="s">
        <v>1027</v>
      </c>
      <c r="E332" s="74">
        <v>1.0</v>
      </c>
      <c r="F332" s="74">
        <v>1.0</v>
      </c>
      <c r="G332" s="47">
        <v>151.37</v>
      </c>
      <c r="H332" s="47">
        <v>0.0</v>
      </c>
      <c r="I332" s="7"/>
      <c r="J332" s="47">
        <v>6.96</v>
      </c>
      <c r="K332" s="8">
        <f t="shared" si="1"/>
        <v>144.41</v>
      </c>
      <c r="L332" s="8"/>
      <c r="M332" s="7"/>
      <c r="N332" s="7"/>
      <c r="O332" s="7"/>
      <c r="P332" s="7"/>
      <c r="Q332" s="7" t="s">
        <v>490</v>
      </c>
      <c r="R332" s="7" t="s">
        <v>1374</v>
      </c>
      <c r="S332" s="7"/>
      <c r="T332" s="7" t="s">
        <v>1375</v>
      </c>
      <c r="U332" s="7" t="s">
        <v>633</v>
      </c>
      <c r="V332" s="65">
        <v>711.0</v>
      </c>
      <c r="W332" s="7"/>
      <c r="X332" s="7"/>
    </row>
    <row r="333">
      <c r="A333" s="74">
        <v>1.0</v>
      </c>
      <c r="B333" s="45">
        <v>45835.71828703704</v>
      </c>
      <c r="C333" s="7" t="s">
        <v>356</v>
      </c>
      <c r="D333" s="7" t="s">
        <v>60</v>
      </c>
      <c r="E333" s="74">
        <v>1.0</v>
      </c>
      <c r="F333" s="46"/>
      <c r="G333" s="47">
        <v>101.28</v>
      </c>
      <c r="H333" s="47">
        <v>0.0</v>
      </c>
      <c r="I333" s="7"/>
      <c r="J333" s="47">
        <v>4.76</v>
      </c>
      <c r="K333" s="8">
        <f t="shared" si="1"/>
        <v>96.52</v>
      </c>
      <c r="L333" s="8"/>
      <c r="M333" s="7"/>
      <c r="N333" s="7"/>
      <c r="O333" s="7"/>
      <c r="P333" s="7"/>
      <c r="Q333" s="7" t="s">
        <v>490</v>
      </c>
      <c r="R333" s="7" t="s">
        <v>797</v>
      </c>
      <c r="S333" s="7"/>
      <c r="T333" s="7" t="s">
        <v>798</v>
      </c>
      <c r="U333" s="7" t="s">
        <v>525</v>
      </c>
      <c r="V333" s="65">
        <v>710.0</v>
      </c>
      <c r="W333" s="7"/>
      <c r="X333" s="7"/>
    </row>
    <row r="334">
      <c r="A334" s="74">
        <v>1.0</v>
      </c>
      <c r="B334" s="45">
        <v>45835.71690972222</v>
      </c>
      <c r="C334" s="7" t="s">
        <v>428</v>
      </c>
      <c r="D334" s="7" t="s">
        <v>60</v>
      </c>
      <c r="E334" s="74">
        <v>1.0</v>
      </c>
      <c r="F334" s="46"/>
      <c r="G334" s="47">
        <v>47.26</v>
      </c>
      <c r="H334" s="47">
        <v>0.0</v>
      </c>
      <c r="I334" s="7"/>
      <c r="J334" s="47">
        <v>2.38</v>
      </c>
      <c r="K334" s="8">
        <f t="shared" si="1"/>
        <v>44.88</v>
      </c>
      <c r="L334" s="8"/>
      <c r="M334" s="7"/>
      <c r="N334" s="7"/>
      <c r="O334" s="7"/>
      <c r="P334" s="7"/>
      <c r="Q334" s="7" t="s">
        <v>490</v>
      </c>
      <c r="R334" s="7" t="s">
        <v>1376</v>
      </c>
      <c r="S334" s="7"/>
      <c r="T334" s="7" t="s">
        <v>1377</v>
      </c>
      <c r="U334" s="7" t="s">
        <v>545</v>
      </c>
      <c r="V334" s="65">
        <v>692.0</v>
      </c>
      <c r="W334" s="7"/>
      <c r="X334" s="7"/>
    </row>
    <row r="335">
      <c r="A335" s="74">
        <v>1.0</v>
      </c>
      <c r="B335" s="45">
        <v>45835.716886574075</v>
      </c>
      <c r="C335" s="7" t="s">
        <v>199</v>
      </c>
      <c r="D335" s="67" t="s">
        <v>1027</v>
      </c>
      <c r="E335" s="74">
        <v>1.0</v>
      </c>
      <c r="F335" s="74">
        <v>1.0</v>
      </c>
      <c r="G335" s="47">
        <v>149.24</v>
      </c>
      <c r="H335" s="47">
        <v>0.0</v>
      </c>
      <c r="I335" s="7"/>
      <c r="J335" s="47">
        <v>6.87</v>
      </c>
      <c r="K335" s="8">
        <f t="shared" si="1"/>
        <v>142.37</v>
      </c>
      <c r="L335" s="8"/>
      <c r="M335" s="7"/>
      <c r="N335" s="7"/>
      <c r="O335" s="7"/>
      <c r="P335" s="7"/>
      <c r="Q335" s="7" t="s">
        <v>490</v>
      </c>
      <c r="R335" s="7" t="s">
        <v>1378</v>
      </c>
      <c r="S335" s="65">
        <v>16.0</v>
      </c>
      <c r="T335" s="7" t="s">
        <v>1379</v>
      </c>
      <c r="U335" s="7" t="s">
        <v>525</v>
      </c>
      <c r="V335" s="65">
        <v>697.0</v>
      </c>
      <c r="W335" s="7"/>
      <c r="X335" s="7"/>
    </row>
    <row r="336">
      <c r="A336" s="74">
        <v>1.0</v>
      </c>
      <c r="B336" s="45">
        <v>45835.71666666667</v>
      </c>
      <c r="C336" s="7" t="s">
        <v>411</v>
      </c>
      <c r="D336" s="7" t="s">
        <v>60</v>
      </c>
      <c r="E336" s="74">
        <v>1.0</v>
      </c>
      <c r="F336" s="46"/>
      <c r="G336" s="47">
        <v>49.24</v>
      </c>
      <c r="H336" s="47">
        <v>0.0</v>
      </c>
      <c r="I336" s="7"/>
      <c r="J336" s="47">
        <v>2.47</v>
      </c>
      <c r="K336" s="8">
        <f t="shared" si="1"/>
        <v>46.77</v>
      </c>
      <c r="L336" s="8"/>
      <c r="M336" s="7"/>
      <c r="N336" s="7"/>
      <c r="O336" s="7"/>
      <c r="P336" s="7"/>
      <c r="Q336" s="7" t="s">
        <v>490</v>
      </c>
      <c r="R336" s="7" t="s">
        <v>1380</v>
      </c>
      <c r="S336" s="7"/>
      <c r="T336" s="7" t="s">
        <v>1381</v>
      </c>
      <c r="U336" s="7" t="s">
        <v>525</v>
      </c>
      <c r="V336" s="65">
        <v>701.0</v>
      </c>
      <c r="W336" s="7"/>
      <c r="X336" s="7"/>
    </row>
    <row r="337">
      <c r="A337" s="74">
        <v>1.0</v>
      </c>
      <c r="B337" s="45">
        <v>45835.71650462963</v>
      </c>
      <c r="C337" s="7" t="s">
        <v>144</v>
      </c>
      <c r="D337" s="7" t="s">
        <v>60</v>
      </c>
      <c r="E337" s="74">
        <v>1.0</v>
      </c>
      <c r="F337" s="46"/>
      <c r="G337" s="47">
        <v>51.46</v>
      </c>
      <c r="H337" s="47">
        <v>0.0</v>
      </c>
      <c r="I337" s="7"/>
      <c r="J337" s="47">
        <v>2.56</v>
      </c>
      <c r="K337" s="8">
        <f t="shared" si="1"/>
        <v>48.9</v>
      </c>
      <c r="L337" s="8"/>
      <c r="M337" s="7"/>
      <c r="N337" s="7"/>
      <c r="O337" s="7"/>
      <c r="P337" s="7"/>
      <c r="Q337" s="7" t="s">
        <v>490</v>
      </c>
      <c r="R337" s="7" t="s">
        <v>1382</v>
      </c>
      <c r="S337" s="7"/>
      <c r="T337" s="7" t="s">
        <v>1383</v>
      </c>
      <c r="U337" s="7" t="s">
        <v>51</v>
      </c>
      <c r="V337" s="65">
        <v>699.0</v>
      </c>
      <c r="W337" s="7"/>
      <c r="X337" s="7"/>
    </row>
    <row r="338">
      <c r="A338" s="74">
        <v>1.0</v>
      </c>
      <c r="B338" s="45">
        <v>45835.716469907406</v>
      </c>
      <c r="C338" s="7" t="s">
        <v>1384</v>
      </c>
      <c r="D338" s="67" t="s">
        <v>1027</v>
      </c>
      <c r="E338" s="74">
        <v>1.0</v>
      </c>
      <c r="F338" s="74">
        <v>1.0</v>
      </c>
      <c r="G338" s="47">
        <v>138.0</v>
      </c>
      <c r="H338" s="47">
        <v>0.0</v>
      </c>
      <c r="I338" s="7"/>
      <c r="J338" s="47">
        <v>4.3</v>
      </c>
      <c r="K338" s="8">
        <f t="shared" si="1"/>
        <v>133.7</v>
      </c>
      <c r="L338" s="8"/>
      <c r="M338" s="7"/>
      <c r="N338" s="7"/>
      <c r="O338" s="7"/>
      <c r="P338" s="7"/>
      <c r="Q338" s="7" t="s">
        <v>490</v>
      </c>
      <c r="R338" s="7" t="s">
        <v>1385</v>
      </c>
      <c r="S338" s="7"/>
      <c r="T338" s="7" t="s">
        <v>1386</v>
      </c>
      <c r="U338" s="7" t="s">
        <v>493</v>
      </c>
      <c r="V338" s="65">
        <v>694.0</v>
      </c>
      <c r="W338" s="7"/>
      <c r="X338" s="7"/>
    </row>
    <row r="339">
      <c r="A339" s="74">
        <v>1.0</v>
      </c>
      <c r="B339" s="45">
        <v>45835.71627314815</v>
      </c>
      <c r="C339" s="7" t="s">
        <v>386</v>
      </c>
      <c r="D339" s="67" t="s">
        <v>1027</v>
      </c>
      <c r="E339" s="74">
        <v>1.0</v>
      </c>
      <c r="F339" s="74">
        <v>1.0</v>
      </c>
      <c r="G339" s="47">
        <v>138.54</v>
      </c>
      <c r="H339" s="47">
        <v>0.0</v>
      </c>
      <c r="I339" s="7"/>
      <c r="J339" s="47">
        <v>4.32</v>
      </c>
      <c r="K339" s="8">
        <f t="shared" si="1"/>
        <v>134.22</v>
      </c>
      <c r="L339" s="8"/>
      <c r="M339" s="7"/>
      <c r="N339" s="7"/>
      <c r="O339" s="7"/>
      <c r="P339" s="7"/>
      <c r="Q339" s="7" t="s">
        <v>490</v>
      </c>
      <c r="R339" s="7" t="s">
        <v>1387</v>
      </c>
      <c r="S339" s="7"/>
      <c r="T339" s="7" t="s">
        <v>1388</v>
      </c>
      <c r="U339" s="7" t="s">
        <v>493</v>
      </c>
      <c r="V339" s="65">
        <v>698.0</v>
      </c>
      <c r="W339" s="7"/>
      <c r="X339" s="7"/>
    </row>
    <row r="340">
      <c r="A340" s="74">
        <v>1.0</v>
      </c>
      <c r="B340" s="45">
        <v>45835.716215277775</v>
      </c>
      <c r="C340" s="7" t="s">
        <v>147</v>
      </c>
      <c r="D340" s="7" t="s">
        <v>60</v>
      </c>
      <c r="E340" s="74">
        <v>1.0</v>
      </c>
      <c r="F340" s="46"/>
      <c r="G340" s="47">
        <v>49.94</v>
      </c>
      <c r="H340" s="47">
        <v>0.0</v>
      </c>
      <c r="I340" s="7"/>
      <c r="J340" s="47">
        <v>2.5</v>
      </c>
      <c r="K340" s="8">
        <f t="shared" si="1"/>
        <v>47.44</v>
      </c>
      <c r="L340" s="8"/>
      <c r="M340" s="7"/>
      <c r="N340" s="7"/>
      <c r="O340" s="7"/>
      <c r="P340" s="7"/>
      <c r="Q340" s="7" t="s">
        <v>490</v>
      </c>
      <c r="R340" s="7" t="s">
        <v>1389</v>
      </c>
      <c r="S340" s="7" t="s">
        <v>1390</v>
      </c>
      <c r="T340" s="7" t="s">
        <v>1391</v>
      </c>
      <c r="U340" s="7" t="s">
        <v>542</v>
      </c>
      <c r="V340" s="65">
        <v>679.0</v>
      </c>
      <c r="W340" s="7"/>
      <c r="X340" s="7"/>
    </row>
    <row r="341">
      <c r="A341" s="74">
        <v>1.0</v>
      </c>
      <c r="B341" s="45">
        <v>45835.715995370374</v>
      </c>
      <c r="C341" s="7" t="s">
        <v>462</v>
      </c>
      <c r="D341" s="7" t="s">
        <v>60</v>
      </c>
      <c r="E341" s="74">
        <v>1.0</v>
      </c>
      <c r="F341" s="46"/>
      <c r="G341" s="47">
        <v>35.91</v>
      </c>
      <c r="H341" s="47">
        <v>0.0</v>
      </c>
      <c r="I341" s="7"/>
      <c r="J341" s="47">
        <v>1.34</v>
      </c>
      <c r="K341" s="8">
        <f t="shared" si="1"/>
        <v>34.57</v>
      </c>
      <c r="L341" s="8"/>
      <c r="M341" s="7"/>
      <c r="N341" s="7"/>
      <c r="O341" s="7"/>
      <c r="P341" s="7"/>
      <c r="Q341" s="7" t="s">
        <v>490</v>
      </c>
      <c r="R341" s="7" t="s">
        <v>1392</v>
      </c>
      <c r="S341" s="7"/>
      <c r="T341" s="7" t="s">
        <v>1393</v>
      </c>
      <c r="U341" s="7" t="s">
        <v>493</v>
      </c>
      <c r="V341" s="65">
        <v>691.0</v>
      </c>
      <c r="W341" s="7"/>
      <c r="X341" s="7"/>
    </row>
    <row r="342">
      <c r="A342" s="74">
        <v>1.0</v>
      </c>
      <c r="B342" s="45">
        <v>45835.71494212963</v>
      </c>
      <c r="C342" s="7" t="s">
        <v>1394</v>
      </c>
      <c r="D342" s="67" t="s">
        <v>1027</v>
      </c>
      <c r="E342" s="74">
        <v>1.0</v>
      </c>
      <c r="F342" s="74">
        <v>1.0</v>
      </c>
      <c r="G342" s="47">
        <v>149.94</v>
      </c>
      <c r="H342" s="47">
        <v>0.0</v>
      </c>
      <c r="I342" s="7"/>
      <c r="J342" s="47">
        <v>6.9</v>
      </c>
      <c r="K342" s="8">
        <f t="shared" si="1"/>
        <v>143.04</v>
      </c>
      <c r="L342" s="8"/>
      <c r="M342" s="7"/>
      <c r="N342" s="7"/>
      <c r="O342" s="7"/>
      <c r="P342" s="7"/>
      <c r="Q342" s="7" t="s">
        <v>490</v>
      </c>
      <c r="R342" s="7" t="s">
        <v>1395</v>
      </c>
      <c r="S342" s="7"/>
      <c r="T342" s="7" t="s">
        <v>1396</v>
      </c>
      <c r="U342" s="7" t="s">
        <v>542</v>
      </c>
      <c r="V342" s="65">
        <v>684.0</v>
      </c>
      <c r="W342" s="7"/>
      <c r="X342" s="7"/>
    </row>
    <row r="343">
      <c r="A343" s="74">
        <v>1.0</v>
      </c>
      <c r="B343" s="45">
        <v>45835.71328703704</v>
      </c>
      <c r="C343" s="7" t="s">
        <v>417</v>
      </c>
      <c r="D343" s="7" t="s">
        <v>60</v>
      </c>
      <c r="E343" s="74">
        <v>1.0</v>
      </c>
      <c r="F343" s="46"/>
      <c r="G343" s="47">
        <v>103.79</v>
      </c>
      <c r="H343" s="47">
        <v>0.0</v>
      </c>
      <c r="I343" s="7"/>
      <c r="J343" s="47">
        <v>4.87</v>
      </c>
      <c r="K343" s="8">
        <f t="shared" si="1"/>
        <v>98.92</v>
      </c>
      <c r="L343" s="8"/>
      <c r="M343" s="7"/>
      <c r="N343" s="7"/>
      <c r="O343" s="7"/>
      <c r="P343" s="7"/>
      <c r="Q343" s="7" t="s">
        <v>490</v>
      </c>
      <c r="R343" s="7" t="s">
        <v>1397</v>
      </c>
      <c r="S343" s="7"/>
      <c r="T343" s="7" t="s">
        <v>1398</v>
      </c>
      <c r="U343" s="7" t="s">
        <v>726</v>
      </c>
      <c r="V343" s="65">
        <v>671.0</v>
      </c>
      <c r="W343" s="7"/>
      <c r="X343" s="7"/>
    </row>
    <row r="344">
      <c r="A344" s="74">
        <v>1.0</v>
      </c>
      <c r="B344" s="45">
        <v>45835.712847222225</v>
      </c>
      <c r="C344" s="7" t="s">
        <v>234</v>
      </c>
      <c r="D344" s="7" t="s">
        <v>60</v>
      </c>
      <c r="E344" s="74">
        <v>1.0</v>
      </c>
      <c r="F344" s="46"/>
      <c r="G344" s="47">
        <v>34.5</v>
      </c>
      <c r="H344" s="47">
        <v>0.0</v>
      </c>
      <c r="I344" s="7"/>
      <c r="J344" s="47">
        <v>1.3</v>
      </c>
      <c r="K344" s="8">
        <f t="shared" si="1"/>
        <v>33.2</v>
      </c>
      <c r="L344" s="8"/>
      <c r="M344" s="7"/>
      <c r="N344" s="7"/>
      <c r="O344" s="7"/>
      <c r="P344" s="7"/>
      <c r="Q344" s="7" t="s">
        <v>490</v>
      </c>
      <c r="R344" s="7" t="s">
        <v>1399</v>
      </c>
      <c r="S344" s="7"/>
      <c r="T344" s="7" t="s">
        <v>1400</v>
      </c>
      <c r="U344" s="7" t="s">
        <v>493</v>
      </c>
      <c r="V344" s="65">
        <v>673.0</v>
      </c>
      <c r="W344" s="7"/>
      <c r="X344" s="7"/>
    </row>
    <row r="345">
      <c r="A345" s="74">
        <v>1.0</v>
      </c>
      <c r="B345" s="45">
        <v>45835.712800925925</v>
      </c>
      <c r="C345" s="7" t="s">
        <v>1401</v>
      </c>
      <c r="D345" s="7" t="s">
        <v>60</v>
      </c>
      <c r="E345" s="74">
        <v>1.0</v>
      </c>
      <c r="F345" s="46"/>
      <c r="G345" s="47">
        <v>50.29</v>
      </c>
      <c r="H345" s="47">
        <v>0.0</v>
      </c>
      <c r="I345" s="7"/>
      <c r="J345" s="47">
        <v>2.51</v>
      </c>
      <c r="K345" s="8">
        <f t="shared" si="1"/>
        <v>47.78</v>
      </c>
      <c r="L345" s="8"/>
      <c r="M345" s="7"/>
      <c r="N345" s="7"/>
      <c r="O345" s="7"/>
      <c r="P345" s="7"/>
      <c r="Q345" s="7" t="s">
        <v>490</v>
      </c>
      <c r="R345" s="7" t="s">
        <v>1402</v>
      </c>
      <c r="S345" s="7"/>
      <c r="T345" s="7" t="s">
        <v>554</v>
      </c>
      <c r="U345" s="7" t="s">
        <v>555</v>
      </c>
      <c r="V345" s="65">
        <v>672.0</v>
      </c>
      <c r="W345" s="7"/>
      <c r="X345" s="7"/>
    </row>
    <row r="346">
      <c r="A346" s="74">
        <v>1.0</v>
      </c>
      <c r="B346" s="45">
        <v>45835.71275462963</v>
      </c>
      <c r="C346" s="7" t="s">
        <v>1403</v>
      </c>
      <c r="D346" s="7" t="s">
        <v>60</v>
      </c>
      <c r="E346" s="74">
        <v>1.0</v>
      </c>
      <c r="F346" s="46"/>
      <c r="G346" s="47">
        <v>36.57</v>
      </c>
      <c r="H346" s="47">
        <v>0.0</v>
      </c>
      <c r="I346" s="7"/>
      <c r="J346" s="47">
        <v>1.36</v>
      </c>
      <c r="K346" s="8">
        <f t="shared" si="1"/>
        <v>35.21</v>
      </c>
      <c r="L346" s="8"/>
      <c r="M346" s="7"/>
      <c r="N346" s="7"/>
      <c r="O346" s="7"/>
      <c r="P346" s="7"/>
      <c r="Q346" s="7" t="s">
        <v>490</v>
      </c>
      <c r="R346" s="7" t="s">
        <v>1404</v>
      </c>
      <c r="S346" s="7"/>
      <c r="T346" s="7" t="s">
        <v>1405</v>
      </c>
      <c r="U346" s="7" t="s">
        <v>493</v>
      </c>
      <c r="V346" s="65">
        <v>675.0</v>
      </c>
      <c r="W346" s="7"/>
      <c r="X346" s="7"/>
    </row>
    <row r="347">
      <c r="A347" s="74">
        <v>1.0</v>
      </c>
      <c r="B347" s="45">
        <v>45835.71221064815</v>
      </c>
      <c r="C347" s="7" t="s">
        <v>1406</v>
      </c>
      <c r="D347" s="7" t="s">
        <v>60</v>
      </c>
      <c r="E347" s="74">
        <v>1.0</v>
      </c>
      <c r="F347" s="46"/>
      <c r="G347" s="47">
        <v>49.94</v>
      </c>
      <c r="H347" s="47">
        <v>0.0</v>
      </c>
      <c r="I347" s="7"/>
      <c r="J347" s="47">
        <v>2.5</v>
      </c>
      <c r="K347" s="8">
        <f t="shared" si="1"/>
        <v>47.44</v>
      </c>
      <c r="L347" s="8"/>
      <c r="M347" s="7"/>
      <c r="N347" s="7"/>
      <c r="O347" s="7"/>
      <c r="P347" s="7"/>
      <c r="Q347" s="7" t="s">
        <v>490</v>
      </c>
      <c r="R347" s="7" t="s">
        <v>1407</v>
      </c>
      <c r="S347" s="7" t="s">
        <v>1408</v>
      </c>
      <c r="T347" s="7" t="s">
        <v>1409</v>
      </c>
      <c r="U347" s="7" t="s">
        <v>542</v>
      </c>
      <c r="V347" s="65">
        <v>669.0</v>
      </c>
      <c r="W347" s="7"/>
      <c r="X347" s="7"/>
    </row>
    <row r="348">
      <c r="A348" s="74">
        <v>1.0</v>
      </c>
      <c r="B348" s="45">
        <v>45835.7118287037</v>
      </c>
      <c r="C348" s="7" t="s">
        <v>441</v>
      </c>
      <c r="D348" s="67" t="s">
        <v>1027</v>
      </c>
      <c r="E348" s="74">
        <v>1.0</v>
      </c>
      <c r="F348" s="74">
        <v>1.0</v>
      </c>
      <c r="G348" s="47">
        <v>134.32</v>
      </c>
      <c r="H348" s="47">
        <v>0.0</v>
      </c>
      <c r="I348" s="7"/>
      <c r="J348" s="47">
        <v>4.2</v>
      </c>
      <c r="K348" s="8">
        <f t="shared" si="1"/>
        <v>130.12</v>
      </c>
      <c r="L348" s="8"/>
      <c r="M348" s="7"/>
      <c r="N348" s="7"/>
      <c r="O348" s="7"/>
      <c r="P348" s="7"/>
      <c r="Q348" s="7" t="s">
        <v>490</v>
      </c>
      <c r="R348" s="7" t="s">
        <v>1410</v>
      </c>
      <c r="S348" s="7"/>
      <c r="T348" s="7" t="s">
        <v>1411</v>
      </c>
      <c r="U348" s="7" t="s">
        <v>493</v>
      </c>
      <c r="V348" s="65">
        <v>670.0</v>
      </c>
      <c r="W348" s="7"/>
      <c r="X348" s="7"/>
    </row>
    <row r="349">
      <c r="A349" s="74">
        <v>1.0</v>
      </c>
      <c r="B349" s="45">
        <v>45835.71157407408</v>
      </c>
      <c r="C349" s="7" t="s">
        <v>256</v>
      </c>
      <c r="D349" s="67" t="s">
        <v>1027</v>
      </c>
      <c r="E349" s="74">
        <v>1.0</v>
      </c>
      <c r="F349" s="74">
        <v>1.0</v>
      </c>
      <c r="G349" s="47">
        <v>134.5</v>
      </c>
      <c r="H349" s="47">
        <v>0.0</v>
      </c>
      <c r="I349" s="7"/>
      <c r="J349" s="47">
        <v>4.2</v>
      </c>
      <c r="K349" s="8">
        <f t="shared" si="1"/>
        <v>130.3</v>
      </c>
      <c r="L349" s="8"/>
      <c r="M349" s="7"/>
      <c r="N349" s="7"/>
      <c r="O349" s="7"/>
      <c r="P349" s="7"/>
      <c r="Q349" s="7" t="s">
        <v>490</v>
      </c>
      <c r="R349" s="7" t="s">
        <v>1412</v>
      </c>
      <c r="S349" s="7" t="s">
        <v>1413</v>
      </c>
      <c r="T349" s="7" t="s">
        <v>572</v>
      </c>
      <c r="U349" s="7" t="s">
        <v>493</v>
      </c>
      <c r="V349" s="65">
        <v>665.0</v>
      </c>
      <c r="W349" s="7"/>
      <c r="X349" s="7"/>
    </row>
    <row r="350">
      <c r="A350" s="74">
        <v>1.0</v>
      </c>
      <c r="B350" s="45">
        <v>45835.71141203704</v>
      </c>
      <c r="C350" s="7" t="s">
        <v>1414</v>
      </c>
      <c r="D350" s="67" t="s">
        <v>1027</v>
      </c>
      <c r="E350" s="74">
        <v>1.0</v>
      </c>
      <c r="F350" s="74">
        <v>1.0</v>
      </c>
      <c r="G350" s="47">
        <v>147.13</v>
      </c>
      <c r="H350" s="47">
        <v>0.0</v>
      </c>
      <c r="I350" s="7"/>
      <c r="J350" s="47">
        <v>6.77</v>
      </c>
      <c r="K350" s="8">
        <f t="shared" si="1"/>
        <v>140.36</v>
      </c>
      <c r="L350" s="8"/>
      <c r="M350" s="7"/>
      <c r="N350" s="7"/>
      <c r="O350" s="7"/>
      <c r="P350" s="7"/>
      <c r="Q350" s="7" t="s">
        <v>490</v>
      </c>
      <c r="R350" s="7" t="s">
        <v>1415</v>
      </c>
      <c r="S350" s="7" t="s">
        <v>1416</v>
      </c>
      <c r="T350" s="7" t="s">
        <v>1417</v>
      </c>
      <c r="U350" s="7" t="s">
        <v>497</v>
      </c>
      <c r="V350" s="65">
        <v>667.0</v>
      </c>
      <c r="W350" s="7"/>
      <c r="X350" s="7"/>
    </row>
    <row r="351">
      <c r="A351" s="74">
        <v>1.0</v>
      </c>
      <c r="B351" s="45">
        <v>45835.711122685185</v>
      </c>
      <c r="C351" s="7" t="s">
        <v>413</v>
      </c>
      <c r="D351" s="7" t="s">
        <v>60</v>
      </c>
      <c r="E351" s="74">
        <v>1.0</v>
      </c>
      <c r="F351" s="46"/>
      <c r="G351" s="47">
        <v>48.72</v>
      </c>
      <c r="H351" s="47">
        <v>0.0</v>
      </c>
      <c r="I351" s="7"/>
      <c r="J351" s="47">
        <v>2.44</v>
      </c>
      <c r="K351" s="8">
        <f t="shared" si="1"/>
        <v>46.28</v>
      </c>
      <c r="L351" s="8"/>
      <c r="M351" s="7"/>
      <c r="N351" s="7"/>
      <c r="O351" s="7"/>
      <c r="P351" s="7"/>
      <c r="Q351" s="7" t="s">
        <v>490</v>
      </c>
      <c r="R351" s="7" t="s">
        <v>1418</v>
      </c>
      <c r="S351" s="7"/>
      <c r="T351" s="7" t="s">
        <v>1419</v>
      </c>
      <c r="U351" s="7" t="s">
        <v>1420</v>
      </c>
      <c r="V351" s="65">
        <v>666.0</v>
      </c>
      <c r="W351" s="7"/>
      <c r="X351" s="7"/>
    </row>
    <row r="352">
      <c r="A352" s="74">
        <v>1.0</v>
      </c>
      <c r="B352" s="45">
        <v>45835.71083333333</v>
      </c>
      <c r="C352" s="7" t="s">
        <v>409</v>
      </c>
      <c r="D352" s="7" t="s">
        <v>60</v>
      </c>
      <c r="E352" s="74">
        <v>1.0</v>
      </c>
      <c r="F352" s="46"/>
      <c r="G352" s="47">
        <v>34.5</v>
      </c>
      <c r="H352" s="47">
        <v>0.0</v>
      </c>
      <c r="I352" s="7"/>
      <c r="J352" s="47">
        <v>1.3</v>
      </c>
      <c r="K352" s="8">
        <f t="shared" si="1"/>
        <v>33.2</v>
      </c>
      <c r="L352" s="8"/>
      <c r="M352" s="7"/>
      <c r="N352" s="7"/>
      <c r="O352" s="7"/>
      <c r="P352" s="7"/>
      <c r="Q352" s="7" t="s">
        <v>490</v>
      </c>
      <c r="R352" s="7" t="s">
        <v>1421</v>
      </c>
      <c r="S352" s="7"/>
      <c r="T352" s="7" t="s">
        <v>1249</v>
      </c>
      <c r="U352" s="7" t="s">
        <v>493</v>
      </c>
      <c r="V352" s="65">
        <v>668.0</v>
      </c>
      <c r="W352" s="7"/>
      <c r="X352" s="7"/>
    </row>
    <row r="353">
      <c r="A353" s="74">
        <v>1.0</v>
      </c>
      <c r="B353" s="45">
        <v>45835.71055555555</v>
      </c>
      <c r="C353" s="7" t="s">
        <v>127</v>
      </c>
      <c r="D353" s="7" t="s">
        <v>60</v>
      </c>
      <c r="E353" s="74">
        <v>1.0</v>
      </c>
      <c r="F353" s="46"/>
      <c r="G353" s="47">
        <v>49.94</v>
      </c>
      <c r="H353" s="47">
        <v>0.0</v>
      </c>
      <c r="I353" s="7"/>
      <c r="J353" s="47">
        <v>2.5</v>
      </c>
      <c r="K353" s="8">
        <f t="shared" si="1"/>
        <v>47.44</v>
      </c>
      <c r="L353" s="8"/>
      <c r="M353" s="7"/>
      <c r="N353" s="7"/>
      <c r="O353" s="7"/>
      <c r="P353" s="7"/>
      <c r="Q353" s="7" t="s">
        <v>490</v>
      </c>
      <c r="R353" s="7" t="s">
        <v>1422</v>
      </c>
      <c r="S353" s="7"/>
      <c r="T353" s="7" t="s">
        <v>1423</v>
      </c>
      <c r="U353" s="7" t="s">
        <v>542</v>
      </c>
      <c r="V353" s="65">
        <v>664.0</v>
      </c>
      <c r="W353" s="7"/>
      <c r="X353" s="7"/>
    </row>
    <row r="354">
      <c r="A354" s="74">
        <v>1.0</v>
      </c>
      <c r="B354" s="45">
        <v>45835.710127314815</v>
      </c>
      <c r="C354" s="7" t="s">
        <v>323</v>
      </c>
      <c r="D354" s="7" t="s">
        <v>60</v>
      </c>
      <c r="E354" s="74">
        <v>1.0</v>
      </c>
      <c r="F354" s="46"/>
      <c r="G354" s="47">
        <v>51.37</v>
      </c>
      <c r="H354" s="47">
        <v>0.0</v>
      </c>
      <c r="I354" s="7"/>
      <c r="J354" s="47">
        <v>2.56</v>
      </c>
      <c r="K354" s="8">
        <f t="shared" si="1"/>
        <v>48.81</v>
      </c>
      <c r="L354" s="8"/>
      <c r="M354" s="7"/>
      <c r="N354" s="7"/>
      <c r="O354" s="7"/>
      <c r="P354" s="7"/>
      <c r="Q354" s="7" t="s">
        <v>490</v>
      </c>
      <c r="R354" s="7"/>
      <c r="S354" s="7"/>
      <c r="T354" s="7"/>
      <c r="U354" s="7" t="s">
        <v>726</v>
      </c>
      <c r="V354" s="65">
        <v>661.0</v>
      </c>
      <c r="W354" s="7"/>
      <c r="X354" s="7"/>
    </row>
    <row r="355">
      <c r="A355" s="74">
        <v>1.0</v>
      </c>
      <c r="B355" s="45">
        <v>45835.709282407406</v>
      </c>
      <c r="C355" s="7" t="s">
        <v>308</v>
      </c>
      <c r="D355" s="67" t="s">
        <v>1424</v>
      </c>
      <c r="E355" s="74">
        <v>1.0</v>
      </c>
      <c r="F355" s="74">
        <v>1.0</v>
      </c>
      <c r="G355" s="47">
        <v>209.09</v>
      </c>
      <c r="H355" s="47">
        <v>0.0</v>
      </c>
      <c r="I355" s="7"/>
      <c r="J355" s="47">
        <v>9.5</v>
      </c>
      <c r="K355" s="8">
        <f t="shared" si="1"/>
        <v>199.59</v>
      </c>
      <c r="L355" s="8"/>
      <c r="M355" s="7"/>
      <c r="N355" s="7"/>
      <c r="O355" s="7"/>
      <c r="P355" s="7"/>
      <c r="Q355" s="7" t="s">
        <v>490</v>
      </c>
      <c r="R355" s="7" t="s">
        <v>1425</v>
      </c>
      <c r="S355" s="7" t="s">
        <v>1426</v>
      </c>
      <c r="T355" s="7" t="s">
        <v>992</v>
      </c>
      <c r="U355" s="7" t="s">
        <v>684</v>
      </c>
      <c r="V355" s="65">
        <v>659.0</v>
      </c>
      <c r="W355" s="7"/>
      <c r="X355" s="7"/>
    </row>
    <row r="356">
      <c r="A356" s="74">
        <v>1.0</v>
      </c>
      <c r="B356" s="45">
        <v>45835.70873842593</v>
      </c>
      <c r="C356" s="7" t="s">
        <v>1427</v>
      </c>
      <c r="D356" s="67" t="s">
        <v>1027</v>
      </c>
      <c r="E356" s="74">
        <v>1.0</v>
      </c>
      <c r="F356" s="74">
        <v>1.0</v>
      </c>
      <c r="G356" s="47">
        <v>142.7</v>
      </c>
      <c r="H356" s="47">
        <v>0.0</v>
      </c>
      <c r="I356" s="7"/>
      <c r="J356" s="47">
        <v>4.44</v>
      </c>
      <c r="K356" s="8">
        <f t="shared" si="1"/>
        <v>138.26</v>
      </c>
      <c r="L356" s="8"/>
      <c r="M356" s="7"/>
      <c r="N356" s="7"/>
      <c r="O356" s="7"/>
      <c r="P356" s="7"/>
      <c r="Q356" s="7" t="s">
        <v>490</v>
      </c>
      <c r="R356" s="7" t="s">
        <v>1428</v>
      </c>
      <c r="S356" s="7"/>
      <c r="T356" s="7" t="s">
        <v>1429</v>
      </c>
      <c r="U356" s="7" t="s">
        <v>493</v>
      </c>
      <c r="V356" s="65">
        <v>660.0</v>
      </c>
      <c r="W356" s="7"/>
      <c r="X356" s="7"/>
    </row>
    <row r="357">
      <c r="A357" s="74">
        <v>1.0</v>
      </c>
      <c r="B357" s="45">
        <v>45835.708506944444</v>
      </c>
      <c r="C357" s="7" t="s">
        <v>336</v>
      </c>
      <c r="D357" s="7" t="s">
        <v>60</v>
      </c>
      <c r="E357" s="74">
        <v>1.0</v>
      </c>
      <c r="F357" s="46"/>
      <c r="G357" s="47">
        <v>34.62</v>
      </c>
      <c r="H357" s="47">
        <v>0.0</v>
      </c>
      <c r="I357" s="7"/>
      <c r="J357" s="47">
        <v>1.3</v>
      </c>
      <c r="K357" s="8">
        <f t="shared" si="1"/>
        <v>33.32</v>
      </c>
      <c r="L357" s="8"/>
      <c r="M357" s="7"/>
      <c r="N357" s="7"/>
      <c r="O357" s="7"/>
      <c r="P357" s="7"/>
      <c r="Q357" s="7" t="s">
        <v>490</v>
      </c>
      <c r="R357" s="7" t="s">
        <v>1430</v>
      </c>
      <c r="S357" s="7"/>
      <c r="T357" s="7" t="s">
        <v>1431</v>
      </c>
      <c r="U357" s="7" t="s">
        <v>493</v>
      </c>
      <c r="V357" s="65">
        <v>657.0</v>
      </c>
      <c r="W357" s="7"/>
      <c r="X357" s="7"/>
    </row>
    <row r="358">
      <c r="A358" s="74">
        <v>1.0</v>
      </c>
      <c r="B358" s="45">
        <v>45835.708391203705</v>
      </c>
      <c r="C358" s="7" t="s">
        <v>1432</v>
      </c>
      <c r="D358" s="7" t="s">
        <v>60</v>
      </c>
      <c r="E358" s="74">
        <v>1.0</v>
      </c>
      <c r="F358" s="46"/>
      <c r="G358" s="47">
        <v>34.62</v>
      </c>
      <c r="H358" s="47">
        <v>0.0</v>
      </c>
      <c r="I358" s="7"/>
      <c r="J358" s="47">
        <v>1.3</v>
      </c>
      <c r="K358" s="8">
        <f t="shared" si="1"/>
        <v>33.32</v>
      </c>
      <c r="L358" s="8"/>
      <c r="M358" s="7"/>
      <c r="N358" s="7"/>
      <c r="O358" s="7"/>
      <c r="P358" s="7"/>
      <c r="Q358" s="7" t="s">
        <v>490</v>
      </c>
      <c r="R358" s="7" t="s">
        <v>1433</v>
      </c>
      <c r="S358" s="7"/>
      <c r="T358" s="7" t="s">
        <v>1434</v>
      </c>
      <c r="U358" s="7" t="s">
        <v>493</v>
      </c>
      <c r="V358" s="65">
        <v>649.0</v>
      </c>
      <c r="W358" s="7"/>
      <c r="X358" s="7"/>
    </row>
    <row r="359">
      <c r="A359" s="74">
        <v>1.0</v>
      </c>
      <c r="B359" s="45">
        <v>45835.70775462963</v>
      </c>
      <c r="C359" s="7" t="s">
        <v>1435</v>
      </c>
      <c r="D359" s="7" t="s">
        <v>60</v>
      </c>
      <c r="E359" s="74">
        <v>1.0</v>
      </c>
      <c r="F359" s="46"/>
      <c r="G359" s="47">
        <v>34.5</v>
      </c>
      <c r="H359" s="47">
        <v>0.0</v>
      </c>
      <c r="I359" s="7"/>
      <c r="J359" s="47">
        <v>1.3</v>
      </c>
      <c r="K359" s="8">
        <f t="shared" si="1"/>
        <v>33.2</v>
      </c>
      <c r="L359" s="8"/>
      <c r="M359" s="7"/>
      <c r="N359" s="7"/>
      <c r="O359" s="7"/>
      <c r="P359" s="7"/>
      <c r="Q359" s="7" t="s">
        <v>490</v>
      </c>
      <c r="R359" s="7" t="s">
        <v>1436</v>
      </c>
      <c r="S359" s="7"/>
      <c r="T359" s="7" t="s">
        <v>1437</v>
      </c>
      <c r="U359" s="7" t="s">
        <v>493</v>
      </c>
      <c r="V359" s="65">
        <v>655.0</v>
      </c>
      <c r="W359" s="7"/>
      <c r="X359" s="7"/>
    </row>
    <row r="360">
      <c r="A360" s="74">
        <v>1.0</v>
      </c>
      <c r="B360" s="45">
        <v>45835.70712962963</v>
      </c>
      <c r="C360" s="7" t="s">
        <v>429</v>
      </c>
      <c r="D360" s="67" t="s">
        <v>1027</v>
      </c>
      <c r="E360" s="74">
        <v>1.0</v>
      </c>
      <c r="F360" s="74">
        <v>1.0</v>
      </c>
      <c r="G360" s="47">
        <v>151.37</v>
      </c>
      <c r="H360" s="47">
        <v>0.0</v>
      </c>
      <c r="I360" s="7"/>
      <c r="J360" s="47">
        <v>6.96</v>
      </c>
      <c r="K360" s="8">
        <f t="shared" si="1"/>
        <v>144.41</v>
      </c>
      <c r="L360" s="8"/>
      <c r="M360" s="7"/>
      <c r="N360" s="7"/>
      <c r="O360" s="7"/>
      <c r="P360" s="7"/>
      <c r="Q360" s="7" t="s">
        <v>490</v>
      </c>
      <c r="R360" s="7" t="s">
        <v>1438</v>
      </c>
      <c r="S360" s="7"/>
      <c r="T360" s="7" t="s">
        <v>1439</v>
      </c>
      <c r="U360" s="7" t="s">
        <v>939</v>
      </c>
      <c r="V360" s="65">
        <v>646.0</v>
      </c>
      <c r="W360" s="7"/>
      <c r="X360" s="7"/>
    </row>
    <row r="361">
      <c r="A361" s="74">
        <v>1.0</v>
      </c>
      <c r="B361" s="45">
        <v>45835.70701388889</v>
      </c>
      <c r="C361" s="7" t="s">
        <v>416</v>
      </c>
      <c r="D361" s="7" t="s">
        <v>60</v>
      </c>
      <c r="E361" s="74">
        <v>1.0</v>
      </c>
      <c r="F361" s="46"/>
      <c r="G361" s="47">
        <v>34.5</v>
      </c>
      <c r="H361" s="47">
        <v>0.0</v>
      </c>
      <c r="I361" s="7"/>
      <c r="J361" s="47">
        <v>1.3</v>
      </c>
      <c r="K361" s="8">
        <f t="shared" si="1"/>
        <v>33.2</v>
      </c>
      <c r="L361" s="8"/>
      <c r="M361" s="7"/>
      <c r="N361" s="7"/>
      <c r="O361" s="7"/>
      <c r="P361" s="7"/>
      <c r="Q361" s="7" t="s">
        <v>490</v>
      </c>
      <c r="R361" s="7" t="s">
        <v>1440</v>
      </c>
      <c r="S361" s="7" t="s">
        <v>1441</v>
      </c>
      <c r="T361" s="7" t="s">
        <v>1442</v>
      </c>
      <c r="U361" s="7" t="s">
        <v>493</v>
      </c>
      <c r="V361" s="65">
        <v>651.0</v>
      </c>
      <c r="W361" s="7"/>
      <c r="X361" s="7"/>
    </row>
    <row r="362">
      <c r="A362" s="74">
        <v>1.0</v>
      </c>
      <c r="B362" s="45">
        <v>45835.70637731482</v>
      </c>
      <c r="C362" s="7" t="s">
        <v>425</v>
      </c>
      <c r="D362" s="67" t="s">
        <v>1027</v>
      </c>
      <c r="E362" s="74">
        <v>1.0</v>
      </c>
      <c r="F362" s="74">
        <v>1.0</v>
      </c>
      <c r="G362" s="47">
        <v>220.28</v>
      </c>
      <c r="H362" s="47">
        <v>0.0</v>
      </c>
      <c r="I362" s="7"/>
      <c r="J362" s="47">
        <v>9.99</v>
      </c>
      <c r="K362" s="8">
        <f t="shared" si="1"/>
        <v>210.29</v>
      </c>
      <c r="L362" s="8"/>
      <c r="M362" s="7"/>
      <c r="N362" s="7"/>
      <c r="O362" s="7"/>
      <c r="P362" s="7"/>
      <c r="Q362" s="7" t="s">
        <v>490</v>
      </c>
      <c r="R362" s="7" t="s">
        <v>1443</v>
      </c>
      <c r="S362" s="7"/>
      <c r="T362" s="7" t="s">
        <v>1444</v>
      </c>
      <c r="U362" s="7" t="s">
        <v>525</v>
      </c>
      <c r="V362" s="65">
        <v>640.0</v>
      </c>
      <c r="W362" s="7"/>
      <c r="X362" s="7"/>
    </row>
    <row r="363">
      <c r="A363" s="74">
        <v>1.0</v>
      </c>
      <c r="B363" s="45">
        <v>45835.70630787037</v>
      </c>
      <c r="C363" s="7" t="s">
        <v>423</v>
      </c>
      <c r="D363" s="7" t="s">
        <v>60</v>
      </c>
      <c r="E363" s="74">
        <v>1.0</v>
      </c>
      <c r="F363" s="46"/>
      <c r="G363" s="47">
        <v>49.94</v>
      </c>
      <c r="H363" s="47">
        <v>0.0</v>
      </c>
      <c r="I363" s="7"/>
      <c r="J363" s="47">
        <v>2.5</v>
      </c>
      <c r="K363" s="8">
        <f t="shared" si="1"/>
        <v>47.44</v>
      </c>
      <c r="L363" s="8"/>
      <c r="M363" s="7"/>
      <c r="N363" s="7"/>
      <c r="O363" s="7"/>
      <c r="P363" s="7"/>
      <c r="Q363" s="7" t="s">
        <v>490</v>
      </c>
      <c r="R363" s="7" t="s">
        <v>1445</v>
      </c>
      <c r="S363" s="7"/>
      <c r="T363" s="7" t="s">
        <v>541</v>
      </c>
      <c r="U363" s="7" t="s">
        <v>542</v>
      </c>
      <c r="V363" s="65">
        <v>647.0</v>
      </c>
      <c r="W363" s="7"/>
      <c r="X363" s="7"/>
    </row>
    <row r="364">
      <c r="A364" s="74">
        <v>1.0</v>
      </c>
      <c r="B364" s="45">
        <v>45835.70622685185</v>
      </c>
      <c r="C364" s="7" t="s">
        <v>1446</v>
      </c>
      <c r="D364" s="67" t="s">
        <v>1027</v>
      </c>
      <c r="E364" s="74">
        <v>1.0</v>
      </c>
      <c r="F364" s="74">
        <v>1.0</v>
      </c>
      <c r="G364" s="47">
        <v>143.59</v>
      </c>
      <c r="H364" s="47">
        <v>0.0</v>
      </c>
      <c r="I364" s="7"/>
      <c r="J364" s="47">
        <v>4.46</v>
      </c>
      <c r="K364" s="8">
        <f t="shared" si="1"/>
        <v>139.13</v>
      </c>
      <c r="L364" s="8"/>
      <c r="M364" s="7"/>
      <c r="N364" s="7"/>
      <c r="O364" s="7"/>
      <c r="P364" s="7"/>
      <c r="Q364" s="7" t="s">
        <v>490</v>
      </c>
      <c r="R364" s="7" t="s">
        <v>1447</v>
      </c>
      <c r="S364" s="7"/>
      <c r="T364" s="7" t="s">
        <v>1448</v>
      </c>
      <c r="U364" s="7" t="s">
        <v>493</v>
      </c>
      <c r="V364" s="65">
        <v>644.0</v>
      </c>
      <c r="W364" s="7"/>
      <c r="X364" s="7"/>
    </row>
    <row r="365">
      <c r="A365" s="74">
        <v>1.0</v>
      </c>
      <c r="B365" s="45">
        <v>45835.70616898148</v>
      </c>
      <c r="C365" s="7" t="s">
        <v>331</v>
      </c>
      <c r="D365" s="67" t="s">
        <v>1027</v>
      </c>
      <c r="E365" s="74">
        <v>1.0</v>
      </c>
      <c r="F365" s="74">
        <v>1.0</v>
      </c>
      <c r="G365" s="47">
        <v>191.79</v>
      </c>
      <c r="H365" s="47">
        <v>0.0</v>
      </c>
      <c r="I365" s="7"/>
      <c r="J365" s="47">
        <v>8.74</v>
      </c>
      <c r="K365" s="8">
        <f t="shared" si="1"/>
        <v>183.05</v>
      </c>
      <c r="L365" s="8"/>
      <c r="M365" s="7"/>
      <c r="N365" s="7"/>
      <c r="O365" s="7"/>
      <c r="P365" s="7"/>
      <c r="Q365" s="7" t="s">
        <v>490</v>
      </c>
      <c r="R365" s="7" t="s">
        <v>1449</v>
      </c>
      <c r="S365" s="7" t="s">
        <v>1450</v>
      </c>
      <c r="T365" s="7" t="s">
        <v>1451</v>
      </c>
      <c r="U365" s="7" t="s">
        <v>555</v>
      </c>
      <c r="V365" s="65">
        <v>643.0</v>
      </c>
      <c r="W365" s="7"/>
      <c r="X365" s="7"/>
    </row>
    <row r="366">
      <c r="A366" s="74">
        <v>1.0</v>
      </c>
      <c r="B366" s="45">
        <v>45835.70581018519</v>
      </c>
      <c r="C366" s="7" t="s">
        <v>447</v>
      </c>
      <c r="D366" s="7" t="s">
        <v>60</v>
      </c>
      <c r="E366" s="74">
        <v>1.0</v>
      </c>
      <c r="F366" s="46"/>
      <c r="G366" s="47">
        <v>34.5</v>
      </c>
      <c r="H366" s="47">
        <v>0.0</v>
      </c>
      <c r="I366" s="7"/>
      <c r="J366" s="47">
        <v>1.3</v>
      </c>
      <c r="K366" s="8">
        <f t="shared" si="1"/>
        <v>33.2</v>
      </c>
      <c r="L366" s="8"/>
      <c r="M366" s="7"/>
      <c r="N366" s="7"/>
      <c r="O366" s="7"/>
      <c r="P366" s="7"/>
      <c r="Q366" s="7" t="s">
        <v>490</v>
      </c>
      <c r="R366" s="7" t="s">
        <v>1452</v>
      </c>
      <c r="S366" s="7"/>
      <c r="T366" s="7" t="s">
        <v>575</v>
      </c>
      <c r="U366" s="7" t="s">
        <v>493</v>
      </c>
      <c r="V366" s="65">
        <v>642.0</v>
      </c>
      <c r="W366" s="7"/>
      <c r="X366" s="7"/>
    </row>
    <row r="367">
      <c r="A367" s="74">
        <v>1.0</v>
      </c>
      <c r="B367" s="45">
        <v>45835.705104166664</v>
      </c>
      <c r="C367" s="7" t="s">
        <v>387</v>
      </c>
      <c r="D367" s="7" t="s">
        <v>60</v>
      </c>
      <c r="E367" s="74">
        <v>1.0</v>
      </c>
      <c r="F367" s="46"/>
      <c r="G367" s="47">
        <v>51.37</v>
      </c>
      <c r="H367" s="47">
        <v>0.0</v>
      </c>
      <c r="I367" s="7"/>
      <c r="J367" s="47">
        <v>2.56</v>
      </c>
      <c r="K367" s="8">
        <f t="shared" si="1"/>
        <v>48.81</v>
      </c>
      <c r="L367" s="8"/>
      <c r="M367" s="7"/>
      <c r="N367" s="7"/>
      <c r="O367" s="7"/>
      <c r="P367" s="7"/>
      <c r="Q367" s="7" t="s">
        <v>490</v>
      </c>
      <c r="R367" s="7" t="s">
        <v>1453</v>
      </c>
      <c r="S367" s="7"/>
      <c r="T367" s="7" t="s">
        <v>1454</v>
      </c>
      <c r="U367" s="7" t="s">
        <v>726</v>
      </c>
      <c r="V367" s="65">
        <v>638.0</v>
      </c>
      <c r="W367" s="7"/>
      <c r="X367" s="7"/>
    </row>
    <row r="368">
      <c r="A368" s="74">
        <v>1.0</v>
      </c>
      <c r="B368" s="45">
        <v>45835.70491898148</v>
      </c>
      <c r="C368" s="7" t="s">
        <v>419</v>
      </c>
      <c r="D368" s="67" t="s">
        <v>1027</v>
      </c>
      <c r="E368" s="74">
        <v>1.0</v>
      </c>
      <c r="F368" s="74">
        <v>1.0</v>
      </c>
      <c r="G368" s="47">
        <v>144.89</v>
      </c>
      <c r="H368" s="47">
        <v>0.0</v>
      </c>
      <c r="I368" s="7"/>
      <c r="J368" s="47">
        <v>4.5</v>
      </c>
      <c r="K368" s="8">
        <f t="shared" si="1"/>
        <v>140.39</v>
      </c>
      <c r="L368" s="8"/>
      <c r="M368" s="7"/>
      <c r="N368" s="7"/>
      <c r="O368" s="7"/>
      <c r="P368" s="7"/>
      <c r="Q368" s="7" t="s">
        <v>490</v>
      </c>
      <c r="R368" s="7" t="s">
        <v>1455</v>
      </c>
      <c r="S368" s="7"/>
      <c r="T368" s="7" t="s">
        <v>1456</v>
      </c>
      <c r="U368" s="7" t="s">
        <v>493</v>
      </c>
      <c r="V368" s="65">
        <v>639.0</v>
      </c>
      <c r="W368" s="7"/>
      <c r="X368" s="7"/>
    </row>
    <row r="369">
      <c r="A369" s="74">
        <v>1.0</v>
      </c>
      <c r="B369" s="45">
        <v>45835.70454861111</v>
      </c>
      <c r="C369" s="7" t="s">
        <v>314</v>
      </c>
      <c r="D369" s="7" t="s">
        <v>60</v>
      </c>
      <c r="E369" s="74">
        <v>1.0</v>
      </c>
      <c r="F369" s="46"/>
      <c r="G369" s="47">
        <v>34.62</v>
      </c>
      <c r="H369" s="47">
        <v>0.0</v>
      </c>
      <c r="I369" s="7"/>
      <c r="J369" s="47">
        <v>1.3</v>
      </c>
      <c r="K369" s="8">
        <f t="shared" si="1"/>
        <v>33.32</v>
      </c>
      <c r="L369" s="8"/>
      <c r="M369" s="7"/>
      <c r="N369" s="7"/>
      <c r="O369" s="7"/>
      <c r="P369" s="7"/>
      <c r="Q369" s="7" t="s">
        <v>490</v>
      </c>
      <c r="R369" s="7" t="s">
        <v>1457</v>
      </c>
      <c r="S369" s="7"/>
      <c r="T369" s="7" t="s">
        <v>1458</v>
      </c>
      <c r="U369" s="7" t="s">
        <v>493</v>
      </c>
      <c r="V369" s="65">
        <v>634.0</v>
      </c>
      <c r="W369" s="7"/>
      <c r="X369" s="7"/>
    </row>
    <row r="370">
      <c r="A370" s="74">
        <v>1.0</v>
      </c>
      <c r="B370" s="45">
        <v>45835.7043287037</v>
      </c>
      <c r="C370" s="7" t="s">
        <v>1459</v>
      </c>
      <c r="D370" s="7" t="s">
        <v>60</v>
      </c>
      <c r="E370" s="74">
        <v>1.0</v>
      </c>
      <c r="F370" s="46"/>
      <c r="G370" s="47">
        <v>34.62</v>
      </c>
      <c r="H370" s="47">
        <v>0.0</v>
      </c>
      <c r="I370" s="7"/>
      <c r="J370" s="47">
        <v>1.3</v>
      </c>
      <c r="K370" s="8">
        <f t="shared" si="1"/>
        <v>33.32</v>
      </c>
      <c r="L370" s="8"/>
      <c r="M370" s="7"/>
      <c r="N370" s="7"/>
      <c r="O370" s="7"/>
      <c r="P370" s="7"/>
      <c r="Q370" s="7" t="s">
        <v>490</v>
      </c>
      <c r="R370" s="7" t="s">
        <v>1460</v>
      </c>
      <c r="S370" s="7"/>
      <c r="T370" s="7" t="s">
        <v>1461</v>
      </c>
      <c r="U370" s="7" t="s">
        <v>493</v>
      </c>
      <c r="V370" s="65">
        <v>635.0</v>
      </c>
      <c r="W370" s="7"/>
      <c r="X370" s="7"/>
    </row>
    <row r="371">
      <c r="A371" s="74">
        <v>1.0</v>
      </c>
      <c r="B371" s="45">
        <v>45835.69053240741</v>
      </c>
      <c r="C371" s="7" t="s">
        <v>432</v>
      </c>
      <c r="D371" s="67" t="s">
        <v>1027</v>
      </c>
      <c r="E371" s="74">
        <v>1.0</v>
      </c>
      <c r="F371" s="74">
        <v>1.0</v>
      </c>
      <c r="G371" s="47">
        <v>144.31</v>
      </c>
      <c r="H371" s="47">
        <v>0.0</v>
      </c>
      <c r="I371" s="7"/>
      <c r="J371" s="47">
        <v>4.48</v>
      </c>
      <c r="K371" s="8">
        <f t="shared" si="1"/>
        <v>139.83</v>
      </c>
      <c r="L371" s="8"/>
      <c r="M371" s="7"/>
      <c r="N371" s="7"/>
      <c r="O371" s="7"/>
      <c r="P371" s="7"/>
      <c r="Q371" s="7" t="s">
        <v>490</v>
      </c>
      <c r="R371" s="7" t="s">
        <v>1462</v>
      </c>
      <c r="S371" s="7"/>
      <c r="T371" s="7" t="s">
        <v>1463</v>
      </c>
      <c r="U371" s="7" t="s">
        <v>493</v>
      </c>
      <c r="V371" s="65">
        <v>621.0</v>
      </c>
      <c r="W371" s="7"/>
      <c r="X371" s="7"/>
    </row>
    <row r="372">
      <c r="A372" s="3">
        <f>SUM(A2:A371)</f>
        <v>370</v>
      </c>
      <c r="B372" s="3" t="s">
        <v>1464</v>
      </c>
      <c r="C372" s="1"/>
      <c r="D372" s="1"/>
      <c r="E372" s="114">
        <f t="shared" ref="E372:H372" si="2">SUM(E2:E371)</f>
        <v>377</v>
      </c>
      <c r="F372" s="114">
        <f t="shared" si="2"/>
        <v>50</v>
      </c>
      <c r="G372" s="115">
        <f t="shared" si="2"/>
        <v>20840.57</v>
      </c>
      <c r="H372" s="115">
        <f t="shared" si="2"/>
        <v>0</v>
      </c>
      <c r="I372" s="1"/>
      <c r="J372" s="115">
        <f t="shared" ref="J372:L372" si="3">SUM(J2:J371)</f>
        <v>903.8</v>
      </c>
      <c r="K372" s="115">
        <f t="shared" si="3"/>
        <v>19936.77</v>
      </c>
      <c r="L372" s="115">
        <f t="shared" si="3"/>
        <v>85.61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116"/>
      <c r="F373" s="116"/>
      <c r="G373" s="8"/>
      <c r="H373" s="8"/>
      <c r="I373" s="7"/>
      <c r="J373" s="8"/>
      <c r="K373" s="8"/>
      <c r="L373" s="8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26.25" customHeight="1">
      <c r="A374" s="81"/>
      <c r="B374" s="81" t="s">
        <v>467</v>
      </c>
      <c r="C374" s="82"/>
      <c r="D374" s="64"/>
      <c r="E374" s="116"/>
      <c r="F374" s="64"/>
      <c r="G374" s="100"/>
      <c r="H374" s="8"/>
      <c r="I374" s="7"/>
      <c r="J374" s="8"/>
      <c r="K374" s="8"/>
      <c r="L374" s="8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31"/>
      <c r="B375" s="83" t="s">
        <v>1465</v>
      </c>
      <c r="C375" s="117">
        <v>377.0</v>
      </c>
      <c r="D375" s="7"/>
      <c r="E375" s="116"/>
      <c r="F375" s="116"/>
      <c r="G375" s="8"/>
      <c r="H375" s="8"/>
      <c r="I375" s="7"/>
      <c r="J375" s="8"/>
      <c r="K375" s="8"/>
      <c r="L375" s="8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31"/>
      <c r="B376" s="31" t="s">
        <v>68</v>
      </c>
      <c r="C376" s="6">
        <v>24.99</v>
      </c>
      <c r="D376" s="7"/>
      <c r="E376" s="116"/>
      <c r="F376" s="64"/>
      <c r="G376" s="112"/>
      <c r="H376" s="8"/>
      <c r="I376" s="7"/>
      <c r="L376" s="8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31"/>
      <c r="B377" s="118" t="s">
        <v>1466</v>
      </c>
      <c r="C377" s="6">
        <f>C375*C376</f>
        <v>9421.23</v>
      </c>
      <c r="D377" s="7"/>
      <c r="E377" s="116"/>
      <c r="F377" s="64"/>
      <c r="G377" s="100"/>
      <c r="H377" s="100"/>
      <c r="I377" s="7"/>
      <c r="L377" s="8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31"/>
      <c r="B378" s="31" t="s">
        <v>470</v>
      </c>
      <c r="C378" s="6">
        <v>5000.0</v>
      </c>
      <c r="D378" s="7"/>
      <c r="E378" s="116"/>
      <c r="F378" s="64"/>
      <c r="G378" s="100"/>
      <c r="H378" s="8"/>
      <c r="I378" s="7"/>
      <c r="L378" s="8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87" t="s">
        <v>11</v>
      </c>
      <c r="C379" s="88">
        <f>SUM(C377:C378)</f>
        <v>14421.23</v>
      </c>
      <c r="D379" s="7"/>
      <c r="E379" s="116"/>
      <c r="F379" s="64"/>
      <c r="G379" s="8"/>
      <c r="H379" s="8"/>
      <c r="I379" s="7"/>
      <c r="L379" s="8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83" t="s">
        <v>471</v>
      </c>
      <c r="C380" s="119">
        <v>20840.57</v>
      </c>
      <c r="D380" s="7"/>
      <c r="E380" s="116"/>
      <c r="F380" s="64"/>
      <c r="G380" s="60"/>
      <c r="H380" s="8"/>
      <c r="I380" s="7"/>
      <c r="L380" s="8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4" t="s">
        <v>472</v>
      </c>
      <c r="C381" s="5">
        <f>C380-C379</f>
        <v>6419.34</v>
      </c>
      <c r="D381" s="7"/>
      <c r="E381" s="116"/>
      <c r="F381" s="116"/>
      <c r="G381" s="8"/>
      <c r="H381" s="8"/>
      <c r="I381" s="7"/>
      <c r="L381" s="8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90" t="s">
        <v>473</v>
      </c>
      <c r="C382" s="91">
        <v>903.8</v>
      </c>
      <c r="D382" s="7"/>
      <c r="E382" s="116"/>
      <c r="F382" s="64"/>
      <c r="G382" s="120"/>
      <c r="H382" s="8"/>
      <c r="I382" s="7"/>
      <c r="L382" s="8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61" t="s">
        <v>1467</v>
      </c>
      <c r="C383" s="62">
        <f>C380-C381-C382</f>
        <v>13517.43</v>
      </c>
      <c r="D383" s="7"/>
      <c r="E383" s="116"/>
      <c r="F383" s="64"/>
      <c r="G383" s="8"/>
      <c r="H383" s="8"/>
      <c r="I383" s="7"/>
      <c r="L383" s="8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21.75" customHeight="1">
      <c r="A384" s="7"/>
      <c r="B384" s="64" t="s">
        <v>1468</v>
      </c>
      <c r="D384" s="7"/>
      <c r="E384" s="116"/>
      <c r="F384" s="116"/>
      <c r="G384" s="8"/>
      <c r="H384" s="8"/>
      <c r="I384" s="7"/>
      <c r="L384" s="8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94" t="s">
        <v>476</v>
      </c>
      <c r="C385" s="31"/>
      <c r="D385" s="7"/>
      <c r="E385" s="116"/>
      <c r="F385" s="64"/>
      <c r="G385" s="100"/>
      <c r="H385" s="8"/>
      <c r="I385" s="7"/>
      <c r="L385" s="8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83" t="s">
        <v>477</v>
      </c>
      <c r="C386" s="95">
        <v>28.81</v>
      </c>
      <c r="D386" s="7"/>
      <c r="E386" s="116"/>
      <c r="F386" s="64"/>
      <c r="G386" s="120"/>
      <c r="H386" s="8"/>
      <c r="I386" s="7"/>
      <c r="L386" s="8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83" t="s">
        <v>478</v>
      </c>
      <c r="C387" s="95">
        <v>106.92</v>
      </c>
      <c r="D387" s="7"/>
      <c r="E387" s="116"/>
      <c r="F387" s="64"/>
      <c r="G387" s="8"/>
      <c r="H387" s="8"/>
      <c r="I387" s="7"/>
      <c r="L387" s="8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96" t="s">
        <v>479</v>
      </c>
      <c r="C388" s="97">
        <f>SUM(C386:C387)</f>
        <v>135.73</v>
      </c>
      <c r="D388" s="7"/>
      <c r="E388" s="116"/>
      <c r="F388" s="64"/>
      <c r="G388" s="100"/>
      <c r="H388" s="8"/>
      <c r="I388" s="7"/>
      <c r="L388" s="8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116"/>
      <c r="F389" s="110"/>
      <c r="G389" s="60"/>
      <c r="H389" s="8"/>
      <c r="I389" s="7"/>
      <c r="L389" s="8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116"/>
      <c r="H390" s="8"/>
      <c r="I390" s="7"/>
      <c r="L390" s="8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121" t="s">
        <v>480</v>
      </c>
      <c r="C391" s="122">
        <v>24.99</v>
      </c>
      <c r="D391" s="7"/>
      <c r="E391" s="116"/>
      <c r="F391" s="64"/>
      <c r="G391" s="120"/>
      <c r="H391" s="8"/>
      <c r="I391" s="7"/>
      <c r="L391" s="8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121" t="s">
        <v>8</v>
      </c>
      <c r="C392" s="123">
        <v>4.5</v>
      </c>
      <c r="D392" s="7"/>
      <c r="E392" s="116"/>
      <c r="F392" s="110"/>
      <c r="G392" s="60"/>
      <c r="H392" s="8"/>
      <c r="I392" s="7"/>
      <c r="L392" s="8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121" t="s">
        <v>9</v>
      </c>
      <c r="C393" s="124">
        <f>C391-C392</f>
        <v>20.49</v>
      </c>
      <c r="D393" s="7"/>
      <c r="E393" s="116"/>
      <c r="F393" s="64"/>
      <c r="G393" s="8"/>
      <c r="H393" s="8"/>
      <c r="I393" s="7"/>
      <c r="L393" s="8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125"/>
      <c r="C394" s="126"/>
      <c r="D394" s="7"/>
      <c r="E394" s="116"/>
      <c r="F394" s="116"/>
      <c r="G394" s="8"/>
      <c r="H394" s="8"/>
      <c r="I394" s="7"/>
      <c r="L394" s="8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121" t="s">
        <v>10</v>
      </c>
      <c r="C395" s="127">
        <v>377.0</v>
      </c>
      <c r="D395" s="7"/>
      <c r="E395" s="116"/>
      <c r="F395" s="116"/>
      <c r="G395" s="8"/>
      <c r="H395" s="8"/>
      <c r="I395" s="7"/>
      <c r="J395" s="8"/>
      <c r="K395" s="8"/>
      <c r="L395" s="8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121" t="s">
        <v>11</v>
      </c>
      <c r="C396" s="126">
        <f>C393*C395</f>
        <v>7724.73</v>
      </c>
      <c r="D396" s="64" t="s">
        <v>1469</v>
      </c>
      <c r="E396" s="116"/>
      <c r="F396" s="64"/>
      <c r="G396" s="100"/>
      <c r="H396" s="8"/>
      <c r="I396" s="7"/>
      <c r="J396" s="8"/>
      <c r="K396" s="8"/>
      <c r="L396" s="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121" t="s">
        <v>12</v>
      </c>
      <c r="C397" s="123">
        <v>4235.5</v>
      </c>
      <c r="D397" s="64" t="s">
        <v>1470</v>
      </c>
      <c r="E397" s="116"/>
      <c r="F397" s="116"/>
      <c r="G397" s="8"/>
      <c r="H397" s="8"/>
      <c r="I397" s="7"/>
      <c r="J397" s="8"/>
      <c r="K397" s="8"/>
      <c r="L397" s="8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121" t="s">
        <v>13</v>
      </c>
      <c r="C398" s="126">
        <f>(2*0.127)*500</f>
        <v>127</v>
      </c>
      <c r="D398" s="64" t="s">
        <v>1471</v>
      </c>
      <c r="E398" s="116"/>
      <c r="F398" s="116"/>
      <c r="G398" s="8"/>
      <c r="H398" s="8"/>
      <c r="I398" s="7"/>
      <c r="J398" s="8"/>
      <c r="K398" s="8"/>
      <c r="L398" s="8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128" t="s">
        <v>14</v>
      </c>
      <c r="C399" s="129">
        <f>C396-C397-C398</f>
        <v>3362.23</v>
      </c>
      <c r="D399" s="7"/>
      <c r="E399" s="116"/>
      <c r="F399" s="116"/>
      <c r="G399" s="8"/>
      <c r="H399" s="8"/>
      <c r="I399" s="7"/>
      <c r="J399" s="8"/>
      <c r="K399" s="8"/>
      <c r="L399" s="8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130"/>
      <c r="C400" s="130"/>
      <c r="E400" s="116"/>
      <c r="F400" s="116"/>
      <c r="G400" s="8"/>
      <c r="H400" s="8"/>
      <c r="I400" s="7"/>
      <c r="J400" s="8"/>
      <c r="K400" s="8"/>
      <c r="L400" s="8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121" t="s">
        <v>16</v>
      </c>
      <c r="C401" s="123">
        <f>70</f>
        <v>70</v>
      </c>
      <c r="D401" s="7"/>
      <c r="E401" s="116"/>
      <c r="F401" s="116"/>
      <c r="G401" s="8"/>
      <c r="H401" s="8"/>
      <c r="I401" s="7"/>
      <c r="J401" s="8"/>
      <c r="K401" s="8"/>
      <c r="L401" s="8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121" t="s">
        <v>10</v>
      </c>
      <c r="C402" s="127">
        <v>50.0</v>
      </c>
      <c r="D402" s="7"/>
      <c r="E402" s="116"/>
      <c r="F402" s="116"/>
      <c r="G402" s="8"/>
      <c r="H402" s="8"/>
      <c r="I402" s="7"/>
      <c r="J402" s="8"/>
      <c r="K402" s="8"/>
      <c r="L402" s="8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121" t="s">
        <v>17</v>
      </c>
      <c r="C403" s="126">
        <f>C401*C402</f>
        <v>3500</v>
      </c>
      <c r="D403" s="7"/>
      <c r="E403" s="116"/>
      <c r="F403" s="116"/>
      <c r="G403" s="8"/>
      <c r="H403" s="8"/>
      <c r="I403" s="7"/>
      <c r="J403" s="8"/>
      <c r="K403" s="8"/>
      <c r="L403" s="8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121"/>
      <c r="C404" s="123"/>
      <c r="D404" s="7"/>
      <c r="E404" s="116"/>
      <c r="F404" s="116"/>
      <c r="G404" s="8"/>
      <c r="H404" s="8"/>
      <c r="I404" s="7"/>
      <c r="J404" s="8"/>
      <c r="K404" s="8"/>
      <c r="L404" s="8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131" t="s">
        <v>18</v>
      </c>
      <c r="C405" s="124">
        <f>C399+C403</f>
        <v>6862.23</v>
      </c>
      <c r="D405" s="7"/>
      <c r="E405" s="116"/>
      <c r="F405" s="116"/>
      <c r="G405" s="8"/>
      <c r="H405" s="8"/>
      <c r="I405" s="7"/>
      <c r="J405" s="8"/>
      <c r="K405" s="8"/>
      <c r="L405" s="8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130"/>
      <c r="C406" s="130"/>
      <c r="D406" s="7"/>
      <c r="E406" s="116"/>
      <c r="F406" s="116"/>
      <c r="G406" s="8"/>
      <c r="H406" s="8"/>
      <c r="I406" s="7"/>
      <c r="J406" s="8"/>
      <c r="K406" s="8"/>
      <c r="L406" s="8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121" t="s">
        <v>19</v>
      </c>
      <c r="C407" s="132">
        <f>C382</f>
        <v>903.8</v>
      </c>
      <c r="D407" s="7"/>
      <c r="E407" s="116"/>
      <c r="F407" s="116"/>
      <c r="G407" s="8"/>
      <c r="H407" s="8"/>
      <c r="I407" s="7"/>
      <c r="J407" s="8"/>
      <c r="K407" s="8"/>
      <c r="L407" s="8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133" t="s">
        <v>1472</v>
      </c>
      <c r="C408" s="134">
        <v>135.73</v>
      </c>
      <c r="D408" s="7"/>
      <c r="E408" s="116"/>
      <c r="F408" s="116"/>
      <c r="G408" s="8"/>
      <c r="H408" s="8"/>
      <c r="I408" s="7"/>
      <c r="J408" s="8"/>
      <c r="K408" s="8"/>
      <c r="L408" s="8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131" t="s">
        <v>20</v>
      </c>
      <c r="C409" s="124">
        <f>C405-C407-C408</f>
        <v>5822.7</v>
      </c>
      <c r="D409" s="7"/>
      <c r="E409" s="116"/>
      <c r="F409" s="116"/>
      <c r="G409" s="8"/>
      <c r="H409" s="8"/>
      <c r="I409" s="7"/>
      <c r="J409" s="8"/>
      <c r="K409" s="8"/>
      <c r="L409" s="8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116"/>
      <c r="F410" s="116"/>
      <c r="G410" s="8"/>
      <c r="H410" s="8"/>
      <c r="I410" s="7"/>
      <c r="J410" s="8"/>
      <c r="K410" s="8"/>
      <c r="L410" s="8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116"/>
      <c r="F411" s="116"/>
      <c r="G411" s="8"/>
      <c r="H411" s="8"/>
      <c r="I411" s="7"/>
      <c r="J411" s="8"/>
      <c r="K411" s="8"/>
      <c r="L411" s="8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116"/>
      <c r="F412" s="116"/>
      <c r="G412" s="8"/>
      <c r="H412" s="8"/>
      <c r="I412" s="7"/>
      <c r="J412" s="8"/>
      <c r="K412" s="8"/>
      <c r="L412" s="8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116"/>
      <c r="F413" s="116"/>
      <c r="G413" s="8"/>
      <c r="H413" s="8"/>
      <c r="I413" s="7"/>
      <c r="J413" s="8"/>
      <c r="K413" s="8"/>
      <c r="L413" s="8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116"/>
      <c r="F414" s="116"/>
      <c r="G414" s="8"/>
      <c r="H414" s="8"/>
      <c r="I414" s="7"/>
      <c r="J414" s="8"/>
      <c r="K414" s="8"/>
      <c r="L414" s="8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116"/>
      <c r="F415" s="116"/>
      <c r="G415" s="8"/>
      <c r="H415" s="8"/>
      <c r="I415" s="7"/>
      <c r="J415" s="8"/>
      <c r="K415" s="8"/>
      <c r="L415" s="8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116"/>
      <c r="F416" s="116"/>
      <c r="G416" s="8"/>
      <c r="H416" s="8"/>
      <c r="I416" s="7"/>
      <c r="J416" s="8"/>
      <c r="K416" s="8"/>
      <c r="L416" s="8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116"/>
      <c r="F417" s="116"/>
      <c r="G417" s="8"/>
      <c r="H417" s="8"/>
      <c r="I417" s="7"/>
      <c r="J417" s="8"/>
      <c r="K417" s="8"/>
      <c r="L417" s="8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116"/>
      <c r="F418" s="116"/>
      <c r="G418" s="8"/>
      <c r="H418" s="8"/>
      <c r="I418" s="7"/>
      <c r="J418" s="8"/>
      <c r="K418" s="8"/>
      <c r="L418" s="8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116"/>
      <c r="F419" s="116"/>
      <c r="G419" s="8"/>
      <c r="H419" s="8"/>
      <c r="I419" s="7"/>
      <c r="J419" s="8"/>
      <c r="K419" s="8"/>
      <c r="L419" s="8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116"/>
      <c r="F420" s="116"/>
      <c r="G420" s="8"/>
      <c r="H420" s="8"/>
      <c r="I420" s="7"/>
      <c r="J420" s="8"/>
      <c r="K420" s="8"/>
      <c r="L420" s="8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116"/>
      <c r="F421" s="116"/>
      <c r="G421" s="8"/>
      <c r="H421" s="8"/>
      <c r="I421" s="7"/>
      <c r="J421" s="8"/>
      <c r="K421" s="8"/>
      <c r="L421" s="8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116"/>
      <c r="F422" s="116"/>
      <c r="G422" s="8"/>
      <c r="H422" s="8"/>
      <c r="I422" s="7"/>
      <c r="J422" s="8"/>
      <c r="K422" s="8"/>
      <c r="L422" s="8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116"/>
      <c r="F423" s="116"/>
      <c r="G423" s="8"/>
      <c r="H423" s="8"/>
      <c r="I423" s="7"/>
      <c r="J423" s="8"/>
      <c r="K423" s="8"/>
      <c r="L423" s="8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116"/>
      <c r="F424" s="116"/>
      <c r="G424" s="8"/>
      <c r="H424" s="8"/>
      <c r="I424" s="7"/>
      <c r="J424" s="8"/>
      <c r="K424" s="8"/>
      <c r="L424" s="8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116"/>
      <c r="F425" s="116"/>
      <c r="G425" s="8"/>
      <c r="H425" s="8"/>
      <c r="I425" s="7"/>
      <c r="J425" s="8"/>
      <c r="K425" s="8"/>
      <c r="L425" s="8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116"/>
      <c r="F426" s="116"/>
      <c r="G426" s="8"/>
      <c r="H426" s="8"/>
      <c r="I426" s="7"/>
      <c r="J426" s="8"/>
      <c r="K426" s="8"/>
      <c r="L426" s="8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116"/>
      <c r="F427" s="116"/>
      <c r="G427" s="8"/>
      <c r="H427" s="8"/>
      <c r="I427" s="7"/>
      <c r="J427" s="8"/>
      <c r="K427" s="8"/>
      <c r="L427" s="8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116"/>
      <c r="F428" s="116"/>
      <c r="G428" s="8"/>
      <c r="H428" s="8"/>
      <c r="I428" s="7"/>
      <c r="J428" s="8"/>
      <c r="K428" s="8"/>
      <c r="L428" s="8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116"/>
      <c r="F429" s="116"/>
      <c r="G429" s="8"/>
      <c r="H429" s="8"/>
      <c r="I429" s="7"/>
      <c r="J429" s="8"/>
      <c r="K429" s="8"/>
      <c r="L429" s="8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116"/>
      <c r="F430" s="116"/>
      <c r="G430" s="8"/>
      <c r="H430" s="8"/>
      <c r="I430" s="7"/>
      <c r="J430" s="8"/>
      <c r="K430" s="8"/>
      <c r="L430" s="8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116"/>
      <c r="F431" s="116"/>
      <c r="G431" s="8"/>
      <c r="H431" s="8"/>
      <c r="I431" s="7"/>
      <c r="J431" s="8"/>
      <c r="K431" s="8"/>
      <c r="L431" s="8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116"/>
      <c r="F432" s="116"/>
      <c r="G432" s="8"/>
      <c r="H432" s="8"/>
      <c r="I432" s="7"/>
      <c r="J432" s="8"/>
      <c r="K432" s="8"/>
      <c r="L432" s="8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116"/>
      <c r="F433" s="116"/>
      <c r="G433" s="8"/>
      <c r="H433" s="8"/>
      <c r="I433" s="7"/>
      <c r="J433" s="8"/>
      <c r="K433" s="8"/>
      <c r="L433" s="8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116"/>
      <c r="F434" s="116"/>
      <c r="G434" s="8"/>
      <c r="H434" s="8"/>
      <c r="I434" s="7"/>
      <c r="J434" s="8"/>
      <c r="K434" s="8"/>
      <c r="L434" s="8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116"/>
      <c r="F435" s="116"/>
      <c r="G435" s="8"/>
      <c r="H435" s="8"/>
      <c r="I435" s="7"/>
      <c r="J435" s="8"/>
      <c r="K435" s="8"/>
      <c r="L435" s="8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116"/>
      <c r="F436" s="116"/>
      <c r="G436" s="8"/>
      <c r="H436" s="8"/>
      <c r="I436" s="7"/>
      <c r="J436" s="8"/>
      <c r="K436" s="8"/>
      <c r="L436" s="8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116"/>
      <c r="F437" s="116"/>
      <c r="G437" s="8"/>
      <c r="H437" s="8"/>
      <c r="I437" s="7"/>
      <c r="J437" s="8"/>
      <c r="K437" s="8"/>
      <c r="L437" s="8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116"/>
      <c r="F438" s="116"/>
      <c r="G438" s="8"/>
      <c r="H438" s="8"/>
      <c r="I438" s="7"/>
      <c r="J438" s="8"/>
      <c r="K438" s="8"/>
      <c r="L438" s="8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116"/>
      <c r="F439" s="116"/>
      <c r="G439" s="8"/>
      <c r="H439" s="8"/>
      <c r="I439" s="7"/>
      <c r="J439" s="8"/>
      <c r="K439" s="8"/>
      <c r="L439" s="8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116"/>
      <c r="F440" s="116"/>
      <c r="G440" s="8"/>
      <c r="H440" s="8"/>
      <c r="I440" s="7"/>
      <c r="J440" s="8"/>
      <c r="K440" s="8"/>
      <c r="L440" s="8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116"/>
      <c r="F441" s="116"/>
      <c r="G441" s="8"/>
      <c r="H441" s="8"/>
      <c r="I441" s="7"/>
      <c r="J441" s="8"/>
      <c r="K441" s="8"/>
      <c r="L441" s="8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116"/>
      <c r="F442" s="116"/>
      <c r="G442" s="8"/>
      <c r="H442" s="8"/>
      <c r="I442" s="7"/>
      <c r="J442" s="8"/>
      <c r="K442" s="8"/>
      <c r="L442" s="8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116"/>
      <c r="F443" s="116"/>
      <c r="G443" s="8"/>
      <c r="H443" s="8"/>
      <c r="I443" s="7"/>
      <c r="J443" s="8"/>
      <c r="K443" s="8"/>
      <c r="L443" s="8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116"/>
      <c r="F444" s="116"/>
      <c r="G444" s="8"/>
      <c r="H444" s="8"/>
      <c r="I444" s="7"/>
      <c r="J444" s="8"/>
      <c r="K444" s="8"/>
      <c r="L444" s="8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116"/>
      <c r="F445" s="116"/>
      <c r="G445" s="8"/>
      <c r="H445" s="8"/>
      <c r="I445" s="7"/>
      <c r="J445" s="8"/>
      <c r="K445" s="8"/>
      <c r="L445" s="8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116"/>
      <c r="F446" s="116"/>
      <c r="G446" s="8"/>
      <c r="H446" s="8"/>
      <c r="I446" s="7"/>
      <c r="J446" s="8"/>
      <c r="K446" s="8"/>
      <c r="L446" s="8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116"/>
      <c r="F447" s="116"/>
      <c r="G447" s="8"/>
      <c r="H447" s="8"/>
      <c r="I447" s="7"/>
      <c r="J447" s="8"/>
      <c r="K447" s="8"/>
      <c r="L447" s="8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116"/>
      <c r="F448" s="116"/>
      <c r="G448" s="8"/>
      <c r="H448" s="8"/>
      <c r="I448" s="7"/>
      <c r="J448" s="8"/>
      <c r="K448" s="8"/>
      <c r="L448" s="8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116"/>
      <c r="F449" s="116"/>
      <c r="G449" s="8"/>
      <c r="H449" s="8"/>
      <c r="I449" s="7"/>
      <c r="J449" s="8"/>
      <c r="K449" s="8"/>
      <c r="L449" s="8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116"/>
      <c r="F450" s="116"/>
      <c r="G450" s="8"/>
      <c r="H450" s="8"/>
      <c r="I450" s="7"/>
      <c r="J450" s="8"/>
      <c r="K450" s="8"/>
      <c r="L450" s="8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116"/>
      <c r="F451" s="116"/>
      <c r="G451" s="8"/>
      <c r="H451" s="8"/>
      <c r="I451" s="7"/>
      <c r="J451" s="8"/>
      <c r="K451" s="8"/>
      <c r="L451" s="8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116"/>
      <c r="F452" s="116"/>
      <c r="G452" s="8"/>
      <c r="H452" s="8"/>
      <c r="I452" s="7"/>
      <c r="J452" s="8"/>
      <c r="K452" s="8"/>
      <c r="L452" s="8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116"/>
      <c r="F453" s="116"/>
      <c r="G453" s="8"/>
      <c r="H453" s="8"/>
      <c r="I453" s="7"/>
      <c r="J453" s="8"/>
      <c r="K453" s="8"/>
      <c r="L453" s="8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116"/>
      <c r="F454" s="116"/>
      <c r="G454" s="8"/>
      <c r="H454" s="8"/>
      <c r="I454" s="7"/>
      <c r="J454" s="8"/>
      <c r="K454" s="8"/>
      <c r="L454" s="8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116"/>
      <c r="F455" s="116"/>
      <c r="G455" s="8"/>
      <c r="H455" s="8"/>
      <c r="I455" s="7"/>
      <c r="J455" s="8"/>
      <c r="K455" s="8"/>
      <c r="L455" s="8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116"/>
      <c r="F456" s="116"/>
      <c r="G456" s="8"/>
      <c r="H456" s="8"/>
      <c r="I456" s="7"/>
      <c r="J456" s="8"/>
      <c r="K456" s="8"/>
      <c r="L456" s="8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116"/>
      <c r="F457" s="116"/>
      <c r="G457" s="8"/>
      <c r="H457" s="8"/>
      <c r="I457" s="7"/>
      <c r="J457" s="8"/>
      <c r="K457" s="8"/>
      <c r="L457" s="8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116"/>
      <c r="F458" s="116"/>
      <c r="G458" s="8"/>
      <c r="H458" s="8"/>
      <c r="I458" s="7"/>
      <c r="J458" s="8"/>
      <c r="K458" s="8"/>
      <c r="L458" s="8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116"/>
      <c r="F459" s="116"/>
      <c r="G459" s="8"/>
      <c r="H459" s="8"/>
      <c r="I459" s="7"/>
      <c r="J459" s="8"/>
      <c r="K459" s="8"/>
      <c r="L459" s="8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116"/>
      <c r="F460" s="116"/>
      <c r="G460" s="8"/>
      <c r="H460" s="8"/>
      <c r="I460" s="7"/>
      <c r="J460" s="8"/>
      <c r="K460" s="8"/>
      <c r="L460" s="8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116"/>
      <c r="F461" s="116"/>
      <c r="G461" s="8"/>
      <c r="H461" s="8"/>
      <c r="I461" s="7"/>
      <c r="J461" s="8"/>
      <c r="K461" s="8"/>
      <c r="L461" s="8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116"/>
      <c r="F462" s="116"/>
      <c r="G462" s="8"/>
      <c r="H462" s="8"/>
      <c r="I462" s="7"/>
      <c r="J462" s="8"/>
      <c r="K462" s="8"/>
      <c r="L462" s="8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116"/>
      <c r="F463" s="116"/>
      <c r="G463" s="8"/>
      <c r="H463" s="8"/>
      <c r="I463" s="7"/>
      <c r="J463" s="8"/>
      <c r="K463" s="8"/>
      <c r="L463" s="8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116"/>
      <c r="F464" s="116"/>
      <c r="G464" s="8"/>
      <c r="H464" s="8"/>
      <c r="I464" s="7"/>
      <c r="J464" s="8"/>
      <c r="K464" s="8"/>
      <c r="L464" s="8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116"/>
      <c r="F465" s="116"/>
      <c r="G465" s="8"/>
      <c r="H465" s="8"/>
      <c r="I465" s="7"/>
      <c r="J465" s="8"/>
      <c r="K465" s="8"/>
      <c r="L465" s="8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116"/>
      <c r="F466" s="116"/>
      <c r="G466" s="8"/>
      <c r="H466" s="8"/>
      <c r="I466" s="7"/>
      <c r="J466" s="8"/>
      <c r="K466" s="8"/>
      <c r="L466" s="8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116"/>
      <c r="F467" s="116"/>
      <c r="G467" s="8"/>
      <c r="H467" s="8"/>
      <c r="I467" s="7"/>
      <c r="J467" s="8"/>
      <c r="K467" s="8"/>
      <c r="L467" s="8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116"/>
      <c r="F468" s="116"/>
      <c r="G468" s="8"/>
      <c r="H468" s="8"/>
      <c r="I468" s="7"/>
      <c r="J468" s="8"/>
      <c r="K468" s="8"/>
      <c r="L468" s="8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116"/>
      <c r="F469" s="116"/>
      <c r="G469" s="8"/>
      <c r="H469" s="8"/>
      <c r="I469" s="7"/>
      <c r="J469" s="8"/>
      <c r="K469" s="8"/>
      <c r="L469" s="8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116"/>
      <c r="F470" s="116"/>
      <c r="G470" s="8"/>
      <c r="H470" s="8"/>
      <c r="I470" s="7"/>
      <c r="J470" s="8"/>
      <c r="K470" s="8"/>
      <c r="L470" s="8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116"/>
      <c r="F471" s="116"/>
      <c r="G471" s="8"/>
      <c r="H471" s="8"/>
      <c r="I471" s="7"/>
      <c r="J471" s="8"/>
      <c r="K471" s="8"/>
      <c r="L471" s="8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116"/>
      <c r="F472" s="116"/>
      <c r="G472" s="8"/>
      <c r="H472" s="8"/>
      <c r="I472" s="7"/>
      <c r="J472" s="8"/>
      <c r="K472" s="8"/>
      <c r="L472" s="8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116"/>
      <c r="F473" s="116"/>
      <c r="G473" s="8"/>
      <c r="H473" s="8"/>
      <c r="I473" s="7"/>
      <c r="J473" s="8"/>
      <c r="K473" s="8"/>
      <c r="L473" s="8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116"/>
      <c r="F474" s="116"/>
      <c r="G474" s="8"/>
      <c r="H474" s="8"/>
      <c r="I474" s="7"/>
      <c r="J474" s="8"/>
      <c r="K474" s="8"/>
      <c r="L474" s="8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116"/>
      <c r="F475" s="116"/>
      <c r="G475" s="8"/>
      <c r="H475" s="8"/>
      <c r="I475" s="7"/>
      <c r="J475" s="8"/>
      <c r="K475" s="8"/>
      <c r="L475" s="8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116"/>
      <c r="F476" s="116"/>
      <c r="G476" s="8"/>
      <c r="H476" s="8"/>
      <c r="I476" s="7"/>
      <c r="J476" s="8"/>
      <c r="K476" s="8"/>
      <c r="L476" s="8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116"/>
      <c r="F477" s="116"/>
      <c r="G477" s="8"/>
      <c r="H477" s="8"/>
      <c r="I477" s="7"/>
      <c r="J477" s="8"/>
      <c r="K477" s="8"/>
      <c r="L477" s="8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116"/>
      <c r="F478" s="116"/>
      <c r="G478" s="8"/>
      <c r="H478" s="8"/>
      <c r="I478" s="7"/>
      <c r="J478" s="8"/>
      <c r="K478" s="8"/>
      <c r="L478" s="8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116"/>
      <c r="F479" s="116"/>
      <c r="G479" s="8"/>
      <c r="H479" s="8"/>
      <c r="I479" s="7"/>
      <c r="J479" s="8"/>
      <c r="K479" s="8"/>
      <c r="L479" s="8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116"/>
      <c r="F480" s="116"/>
      <c r="G480" s="8"/>
      <c r="H480" s="8"/>
      <c r="I480" s="7"/>
      <c r="J480" s="8"/>
      <c r="K480" s="8"/>
      <c r="L480" s="8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116"/>
      <c r="F481" s="116"/>
      <c r="G481" s="8"/>
      <c r="H481" s="8"/>
      <c r="I481" s="7"/>
      <c r="J481" s="8"/>
      <c r="K481" s="8"/>
      <c r="L481" s="8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116"/>
      <c r="F482" s="116"/>
      <c r="G482" s="8"/>
      <c r="H482" s="8"/>
      <c r="I482" s="7"/>
      <c r="J482" s="8"/>
      <c r="K482" s="8"/>
      <c r="L482" s="8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116"/>
      <c r="F483" s="116"/>
      <c r="G483" s="8"/>
      <c r="H483" s="8"/>
      <c r="I483" s="7"/>
      <c r="J483" s="8"/>
      <c r="K483" s="8"/>
      <c r="L483" s="8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116"/>
      <c r="F484" s="116"/>
      <c r="G484" s="8"/>
      <c r="H484" s="8"/>
      <c r="I484" s="7"/>
      <c r="J484" s="8"/>
      <c r="K484" s="8"/>
      <c r="L484" s="8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116"/>
      <c r="F485" s="116"/>
      <c r="G485" s="8"/>
      <c r="H485" s="8"/>
      <c r="I485" s="7"/>
      <c r="J485" s="8"/>
      <c r="K485" s="8"/>
      <c r="L485" s="8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116"/>
      <c r="F486" s="116"/>
      <c r="G486" s="8"/>
      <c r="H486" s="8"/>
      <c r="I486" s="7"/>
      <c r="J486" s="8"/>
      <c r="K486" s="8"/>
      <c r="L486" s="8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116"/>
      <c r="F487" s="116"/>
      <c r="G487" s="8"/>
      <c r="H487" s="8"/>
      <c r="I487" s="7"/>
      <c r="J487" s="8"/>
      <c r="K487" s="8"/>
      <c r="L487" s="8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116"/>
      <c r="F488" s="116"/>
      <c r="G488" s="8"/>
      <c r="H488" s="8"/>
      <c r="I488" s="7"/>
      <c r="J488" s="8"/>
      <c r="K488" s="8"/>
      <c r="L488" s="8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116"/>
      <c r="F489" s="116"/>
      <c r="G489" s="8"/>
      <c r="H489" s="8"/>
      <c r="I489" s="7"/>
      <c r="J489" s="8"/>
      <c r="K489" s="8"/>
      <c r="L489" s="8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116"/>
      <c r="F490" s="116"/>
      <c r="G490" s="8"/>
      <c r="H490" s="8"/>
      <c r="I490" s="7"/>
      <c r="J490" s="8"/>
      <c r="K490" s="8"/>
      <c r="L490" s="8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116"/>
      <c r="F491" s="116"/>
      <c r="G491" s="8"/>
      <c r="H491" s="8"/>
      <c r="I491" s="7"/>
      <c r="J491" s="8"/>
      <c r="K491" s="8"/>
      <c r="L491" s="8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116"/>
      <c r="F492" s="116"/>
      <c r="G492" s="8"/>
      <c r="H492" s="8"/>
      <c r="I492" s="7"/>
      <c r="J492" s="8"/>
      <c r="K492" s="8"/>
      <c r="L492" s="8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116"/>
      <c r="F493" s="116"/>
      <c r="G493" s="8"/>
      <c r="H493" s="8"/>
      <c r="I493" s="7"/>
      <c r="J493" s="8"/>
      <c r="K493" s="8"/>
      <c r="L493" s="8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116"/>
      <c r="F494" s="116"/>
      <c r="G494" s="8"/>
      <c r="H494" s="8"/>
      <c r="I494" s="7"/>
      <c r="J494" s="8"/>
      <c r="K494" s="8"/>
      <c r="L494" s="8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116"/>
      <c r="F495" s="116"/>
      <c r="G495" s="8"/>
      <c r="H495" s="8"/>
      <c r="I495" s="7"/>
      <c r="J495" s="8"/>
      <c r="K495" s="8"/>
      <c r="L495" s="8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116"/>
      <c r="F496" s="116"/>
      <c r="G496" s="8"/>
      <c r="H496" s="8"/>
      <c r="I496" s="7"/>
      <c r="J496" s="8"/>
      <c r="K496" s="8"/>
      <c r="L496" s="8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116"/>
      <c r="F497" s="116"/>
      <c r="G497" s="8"/>
      <c r="H497" s="8"/>
      <c r="I497" s="7"/>
      <c r="J497" s="8"/>
      <c r="K497" s="8"/>
      <c r="L497" s="8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116"/>
      <c r="F498" s="116"/>
      <c r="G498" s="8"/>
      <c r="H498" s="8"/>
      <c r="I498" s="7"/>
      <c r="J498" s="8"/>
      <c r="K498" s="8"/>
      <c r="L498" s="8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116"/>
      <c r="F499" s="116"/>
      <c r="G499" s="8"/>
      <c r="H499" s="8"/>
      <c r="I499" s="7"/>
      <c r="J499" s="8"/>
      <c r="K499" s="8"/>
      <c r="L499" s="8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116"/>
      <c r="F500" s="116"/>
      <c r="G500" s="8"/>
      <c r="H500" s="8"/>
      <c r="I500" s="7"/>
      <c r="J500" s="8"/>
      <c r="K500" s="8"/>
      <c r="L500" s="8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116"/>
      <c r="F501" s="116"/>
      <c r="G501" s="8"/>
      <c r="H501" s="8"/>
      <c r="I501" s="7"/>
      <c r="J501" s="8"/>
      <c r="K501" s="8"/>
      <c r="L501" s="8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116"/>
      <c r="F502" s="116"/>
      <c r="G502" s="8"/>
      <c r="H502" s="8"/>
      <c r="I502" s="7"/>
      <c r="J502" s="8"/>
      <c r="K502" s="8"/>
      <c r="L502" s="8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116"/>
      <c r="F503" s="116"/>
      <c r="G503" s="8"/>
      <c r="H503" s="8"/>
      <c r="I503" s="7"/>
      <c r="J503" s="8"/>
      <c r="K503" s="8"/>
      <c r="L503" s="8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116"/>
      <c r="F504" s="116"/>
      <c r="G504" s="8"/>
      <c r="H504" s="8"/>
      <c r="I504" s="7"/>
      <c r="J504" s="8"/>
      <c r="K504" s="8"/>
      <c r="L504" s="8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116"/>
      <c r="F505" s="116"/>
      <c r="G505" s="8"/>
      <c r="H505" s="8"/>
      <c r="I505" s="7"/>
      <c r="J505" s="8"/>
      <c r="K505" s="8"/>
      <c r="L505" s="8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116"/>
      <c r="F506" s="116"/>
      <c r="G506" s="8"/>
      <c r="H506" s="8"/>
      <c r="I506" s="7"/>
      <c r="J506" s="8"/>
      <c r="K506" s="8"/>
      <c r="L506" s="8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116"/>
      <c r="F507" s="116"/>
      <c r="G507" s="8"/>
      <c r="H507" s="8"/>
      <c r="I507" s="7"/>
      <c r="J507" s="8"/>
      <c r="K507" s="8"/>
      <c r="L507" s="8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116"/>
      <c r="F508" s="116"/>
      <c r="G508" s="8"/>
      <c r="H508" s="8"/>
      <c r="I508" s="7"/>
      <c r="J508" s="8"/>
      <c r="K508" s="8"/>
      <c r="L508" s="8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116"/>
      <c r="F509" s="116"/>
      <c r="G509" s="8"/>
      <c r="H509" s="8"/>
      <c r="I509" s="7"/>
      <c r="J509" s="8"/>
      <c r="K509" s="8"/>
      <c r="L509" s="8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116"/>
      <c r="F510" s="116"/>
      <c r="G510" s="8"/>
      <c r="H510" s="8"/>
      <c r="I510" s="7"/>
      <c r="J510" s="8"/>
      <c r="K510" s="8"/>
      <c r="L510" s="8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116"/>
      <c r="F511" s="116"/>
      <c r="G511" s="8"/>
      <c r="H511" s="8"/>
      <c r="I511" s="7"/>
      <c r="J511" s="8"/>
      <c r="K511" s="8"/>
      <c r="L511" s="8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116"/>
      <c r="F512" s="116"/>
      <c r="G512" s="8"/>
      <c r="H512" s="8"/>
      <c r="I512" s="7"/>
      <c r="J512" s="8"/>
      <c r="K512" s="8"/>
      <c r="L512" s="8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116"/>
      <c r="F513" s="116"/>
      <c r="G513" s="8"/>
      <c r="H513" s="8"/>
      <c r="I513" s="7"/>
      <c r="J513" s="8"/>
      <c r="K513" s="8"/>
      <c r="L513" s="8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116"/>
      <c r="F514" s="116"/>
      <c r="G514" s="8"/>
      <c r="H514" s="8"/>
      <c r="I514" s="7"/>
      <c r="J514" s="8"/>
      <c r="K514" s="8"/>
      <c r="L514" s="8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116"/>
      <c r="F515" s="116"/>
      <c r="G515" s="8"/>
      <c r="H515" s="8"/>
      <c r="I515" s="7"/>
      <c r="J515" s="8"/>
      <c r="K515" s="8"/>
      <c r="L515" s="8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116"/>
      <c r="F516" s="116"/>
      <c r="G516" s="8"/>
      <c r="H516" s="8"/>
      <c r="I516" s="7"/>
      <c r="J516" s="8"/>
      <c r="K516" s="8"/>
      <c r="L516" s="8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116"/>
      <c r="F517" s="116"/>
      <c r="G517" s="8"/>
      <c r="H517" s="8"/>
      <c r="I517" s="7"/>
      <c r="J517" s="8"/>
      <c r="K517" s="8"/>
      <c r="L517" s="8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116"/>
      <c r="F518" s="116"/>
      <c r="G518" s="8"/>
      <c r="H518" s="8"/>
      <c r="I518" s="7"/>
      <c r="J518" s="8"/>
      <c r="K518" s="8"/>
      <c r="L518" s="8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116"/>
      <c r="F519" s="116"/>
      <c r="G519" s="8"/>
      <c r="H519" s="8"/>
      <c r="I519" s="7"/>
      <c r="J519" s="8"/>
      <c r="K519" s="8"/>
      <c r="L519" s="8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116"/>
      <c r="F520" s="116"/>
      <c r="G520" s="8"/>
      <c r="H520" s="8"/>
      <c r="I520" s="7"/>
      <c r="J520" s="8"/>
      <c r="K520" s="8"/>
      <c r="L520" s="8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116"/>
      <c r="F521" s="116"/>
      <c r="G521" s="8"/>
      <c r="H521" s="8"/>
      <c r="I521" s="7"/>
      <c r="J521" s="8"/>
      <c r="K521" s="8"/>
      <c r="L521" s="8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116"/>
      <c r="F522" s="116"/>
      <c r="G522" s="8"/>
      <c r="H522" s="8"/>
      <c r="I522" s="7"/>
      <c r="J522" s="8"/>
      <c r="K522" s="8"/>
      <c r="L522" s="8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116"/>
      <c r="F523" s="116"/>
      <c r="G523" s="8"/>
      <c r="H523" s="8"/>
      <c r="I523" s="7"/>
      <c r="J523" s="8"/>
      <c r="K523" s="8"/>
      <c r="L523" s="8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116"/>
      <c r="F524" s="116"/>
      <c r="G524" s="8"/>
      <c r="H524" s="8"/>
      <c r="I524" s="7"/>
      <c r="J524" s="8"/>
      <c r="K524" s="8"/>
      <c r="L524" s="8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116"/>
      <c r="F525" s="116"/>
      <c r="G525" s="8"/>
      <c r="H525" s="8"/>
      <c r="I525" s="7"/>
      <c r="J525" s="8"/>
      <c r="K525" s="8"/>
      <c r="L525" s="8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116"/>
      <c r="F526" s="116"/>
      <c r="G526" s="8"/>
      <c r="H526" s="8"/>
      <c r="I526" s="7"/>
      <c r="J526" s="8"/>
      <c r="K526" s="8"/>
      <c r="L526" s="8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116"/>
      <c r="F527" s="116"/>
      <c r="G527" s="8"/>
      <c r="H527" s="8"/>
      <c r="I527" s="7"/>
      <c r="J527" s="8"/>
      <c r="K527" s="8"/>
      <c r="L527" s="8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116"/>
      <c r="F528" s="116"/>
      <c r="G528" s="8"/>
      <c r="H528" s="8"/>
      <c r="I528" s="7"/>
      <c r="J528" s="8"/>
      <c r="K528" s="8"/>
      <c r="L528" s="8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116"/>
      <c r="F529" s="116"/>
      <c r="G529" s="8"/>
      <c r="H529" s="8"/>
      <c r="I529" s="7"/>
      <c r="J529" s="8"/>
      <c r="K529" s="8"/>
      <c r="L529" s="8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116"/>
      <c r="F530" s="116"/>
      <c r="G530" s="8"/>
      <c r="H530" s="8"/>
      <c r="I530" s="7"/>
      <c r="J530" s="8"/>
      <c r="K530" s="8"/>
      <c r="L530" s="8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116"/>
      <c r="F531" s="116"/>
      <c r="G531" s="8"/>
      <c r="H531" s="8"/>
      <c r="I531" s="7"/>
      <c r="J531" s="8"/>
      <c r="K531" s="8"/>
      <c r="L531" s="8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116"/>
      <c r="F532" s="116"/>
      <c r="G532" s="8"/>
      <c r="H532" s="8"/>
      <c r="I532" s="7"/>
      <c r="J532" s="8"/>
      <c r="K532" s="8"/>
      <c r="L532" s="8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116"/>
      <c r="F533" s="116"/>
      <c r="G533" s="8"/>
      <c r="H533" s="8"/>
      <c r="I533" s="7"/>
      <c r="J533" s="8"/>
      <c r="K533" s="8"/>
      <c r="L533" s="8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116"/>
      <c r="F534" s="116"/>
      <c r="G534" s="8"/>
      <c r="H534" s="8"/>
      <c r="I534" s="7"/>
      <c r="J534" s="8"/>
      <c r="K534" s="8"/>
      <c r="L534" s="8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116"/>
      <c r="F535" s="116"/>
      <c r="G535" s="8"/>
      <c r="H535" s="8"/>
      <c r="I535" s="7"/>
      <c r="J535" s="8"/>
      <c r="K535" s="8"/>
      <c r="L535" s="8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116"/>
      <c r="F536" s="116"/>
      <c r="G536" s="8"/>
      <c r="H536" s="8"/>
      <c r="I536" s="7"/>
      <c r="J536" s="8"/>
      <c r="K536" s="8"/>
      <c r="L536" s="8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116"/>
      <c r="F537" s="116"/>
      <c r="G537" s="8"/>
      <c r="H537" s="8"/>
      <c r="I537" s="7"/>
      <c r="J537" s="8"/>
      <c r="K537" s="8"/>
      <c r="L537" s="8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116"/>
      <c r="F538" s="116"/>
      <c r="G538" s="8"/>
      <c r="H538" s="8"/>
      <c r="I538" s="7"/>
      <c r="J538" s="8"/>
      <c r="K538" s="8"/>
      <c r="L538" s="8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116"/>
      <c r="F539" s="116"/>
      <c r="G539" s="8"/>
      <c r="H539" s="8"/>
      <c r="I539" s="7"/>
      <c r="J539" s="8"/>
      <c r="K539" s="8"/>
      <c r="L539" s="8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116"/>
      <c r="F540" s="116"/>
      <c r="G540" s="8"/>
      <c r="H540" s="8"/>
      <c r="I540" s="7"/>
      <c r="J540" s="8"/>
      <c r="K540" s="8"/>
      <c r="L540" s="8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116"/>
      <c r="F541" s="116"/>
      <c r="G541" s="8"/>
      <c r="H541" s="8"/>
      <c r="I541" s="7"/>
      <c r="J541" s="8"/>
      <c r="K541" s="8"/>
      <c r="L541" s="8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116"/>
      <c r="F542" s="116"/>
      <c r="G542" s="8"/>
      <c r="H542" s="8"/>
      <c r="I542" s="7"/>
      <c r="J542" s="8"/>
      <c r="K542" s="8"/>
      <c r="L542" s="8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116"/>
      <c r="F543" s="116"/>
      <c r="G543" s="8"/>
      <c r="H543" s="8"/>
      <c r="I543" s="7"/>
      <c r="J543" s="8"/>
      <c r="K543" s="8"/>
      <c r="L543" s="8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116"/>
      <c r="F544" s="116"/>
      <c r="G544" s="8"/>
      <c r="H544" s="8"/>
      <c r="I544" s="7"/>
      <c r="J544" s="8"/>
      <c r="K544" s="8"/>
      <c r="L544" s="8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116"/>
      <c r="F545" s="116"/>
      <c r="G545" s="8"/>
      <c r="H545" s="8"/>
      <c r="I545" s="7"/>
      <c r="J545" s="8"/>
      <c r="K545" s="8"/>
      <c r="L545" s="8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116"/>
      <c r="F546" s="116"/>
      <c r="G546" s="8"/>
      <c r="H546" s="8"/>
      <c r="I546" s="7"/>
      <c r="J546" s="8"/>
      <c r="K546" s="8"/>
      <c r="L546" s="8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116"/>
      <c r="F547" s="116"/>
      <c r="G547" s="8"/>
      <c r="H547" s="8"/>
      <c r="I547" s="7"/>
      <c r="J547" s="8"/>
      <c r="K547" s="8"/>
      <c r="L547" s="8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116"/>
      <c r="F548" s="116"/>
      <c r="G548" s="8"/>
      <c r="H548" s="8"/>
      <c r="I548" s="7"/>
      <c r="J548" s="8"/>
      <c r="K548" s="8"/>
      <c r="L548" s="8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116"/>
      <c r="F549" s="116"/>
      <c r="G549" s="8"/>
      <c r="H549" s="8"/>
      <c r="I549" s="7"/>
      <c r="J549" s="8"/>
      <c r="K549" s="8"/>
      <c r="L549" s="8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116"/>
      <c r="F550" s="116"/>
      <c r="G550" s="8"/>
      <c r="H550" s="8"/>
      <c r="I550" s="7"/>
      <c r="J550" s="8"/>
      <c r="K550" s="8"/>
      <c r="L550" s="8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116"/>
      <c r="F551" s="116"/>
      <c r="G551" s="8"/>
      <c r="H551" s="8"/>
      <c r="I551" s="7"/>
      <c r="J551" s="8"/>
      <c r="K551" s="8"/>
      <c r="L551" s="8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116"/>
      <c r="F552" s="116"/>
      <c r="G552" s="8"/>
      <c r="H552" s="8"/>
      <c r="I552" s="7"/>
      <c r="J552" s="8"/>
      <c r="K552" s="8"/>
      <c r="L552" s="8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116"/>
      <c r="F553" s="116"/>
      <c r="G553" s="8"/>
      <c r="H553" s="8"/>
      <c r="I553" s="7"/>
      <c r="J553" s="8"/>
      <c r="K553" s="8"/>
      <c r="L553" s="8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116"/>
      <c r="F554" s="116"/>
      <c r="G554" s="8"/>
      <c r="H554" s="8"/>
      <c r="I554" s="7"/>
      <c r="J554" s="8"/>
      <c r="K554" s="8"/>
      <c r="L554" s="8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116"/>
      <c r="F555" s="116"/>
      <c r="G555" s="8"/>
      <c r="H555" s="8"/>
      <c r="I555" s="7"/>
      <c r="J555" s="8"/>
      <c r="K555" s="8"/>
      <c r="L555" s="8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116"/>
      <c r="F556" s="116"/>
      <c r="G556" s="8"/>
      <c r="H556" s="8"/>
      <c r="I556" s="7"/>
      <c r="J556" s="8"/>
      <c r="K556" s="8"/>
      <c r="L556" s="8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116"/>
      <c r="F557" s="116"/>
      <c r="G557" s="8"/>
      <c r="H557" s="8"/>
      <c r="I557" s="7"/>
      <c r="J557" s="8"/>
      <c r="K557" s="8"/>
      <c r="L557" s="8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116"/>
      <c r="F558" s="116"/>
      <c r="G558" s="8"/>
      <c r="H558" s="8"/>
      <c r="I558" s="7"/>
      <c r="J558" s="8"/>
      <c r="K558" s="8"/>
      <c r="L558" s="8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116"/>
      <c r="F559" s="116"/>
      <c r="G559" s="8"/>
      <c r="H559" s="8"/>
      <c r="I559" s="7"/>
      <c r="J559" s="8"/>
      <c r="K559" s="8"/>
      <c r="L559" s="8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116"/>
      <c r="F560" s="116"/>
      <c r="G560" s="8"/>
      <c r="H560" s="8"/>
      <c r="I560" s="7"/>
      <c r="J560" s="8"/>
      <c r="K560" s="8"/>
      <c r="L560" s="8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116"/>
      <c r="F561" s="116"/>
      <c r="G561" s="8"/>
      <c r="H561" s="8"/>
      <c r="I561" s="7"/>
      <c r="J561" s="8"/>
      <c r="K561" s="8"/>
      <c r="L561" s="8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116"/>
      <c r="F562" s="116"/>
      <c r="G562" s="8"/>
      <c r="H562" s="8"/>
      <c r="I562" s="7"/>
      <c r="J562" s="8"/>
      <c r="K562" s="8"/>
      <c r="L562" s="8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116"/>
      <c r="F563" s="116"/>
      <c r="G563" s="8"/>
      <c r="H563" s="8"/>
      <c r="I563" s="7"/>
      <c r="J563" s="8"/>
      <c r="K563" s="8"/>
      <c r="L563" s="8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116"/>
      <c r="F564" s="116"/>
      <c r="G564" s="8"/>
      <c r="H564" s="8"/>
      <c r="I564" s="7"/>
      <c r="J564" s="8"/>
      <c r="K564" s="8"/>
      <c r="L564" s="8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116"/>
      <c r="F565" s="116"/>
      <c r="G565" s="8"/>
      <c r="H565" s="8"/>
      <c r="I565" s="7"/>
      <c r="J565" s="8"/>
      <c r="K565" s="8"/>
      <c r="L565" s="8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116"/>
      <c r="F566" s="116"/>
      <c r="G566" s="8"/>
      <c r="H566" s="8"/>
      <c r="I566" s="7"/>
      <c r="J566" s="8"/>
      <c r="K566" s="8"/>
      <c r="L566" s="8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116"/>
      <c r="F567" s="116"/>
      <c r="G567" s="8"/>
      <c r="H567" s="8"/>
      <c r="I567" s="7"/>
      <c r="J567" s="8"/>
      <c r="K567" s="8"/>
      <c r="L567" s="8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116"/>
      <c r="F568" s="116"/>
      <c r="G568" s="8"/>
      <c r="H568" s="8"/>
      <c r="I568" s="7"/>
      <c r="J568" s="8"/>
      <c r="K568" s="8"/>
      <c r="L568" s="8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116"/>
      <c r="F569" s="116"/>
      <c r="G569" s="8"/>
      <c r="H569" s="8"/>
      <c r="I569" s="7"/>
      <c r="J569" s="8"/>
      <c r="K569" s="8"/>
      <c r="L569" s="8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116"/>
      <c r="F570" s="116"/>
      <c r="G570" s="8"/>
      <c r="H570" s="8"/>
      <c r="I570" s="7"/>
      <c r="J570" s="8"/>
      <c r="K570" s="8"/>
      <c r="L570" s="8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116"/>
      <c r="F571" s="116"/>
      <c r="G571" s="8"/>
      <c r="H571" s="8"/>
      <c r="I571" s="7"/>
      <c r="J571" s="8"/>
      <c r="K571" s="8"/>
      <c r="L571" s="8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116"/>
      <c r="F572" s="116"/>
      <c r="G572" s="8"/>
      <c r="H572" s="8"/>
      <c r="I572" s="7"/>
      <c r="J572" s="8"/>
      <c r="K572" s="8"/>
      <c r="L572" s="8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116"/>
      <c r="F573" s="116"/>
      <c r="G573" s="8"/>
      <c r="H573" s="8"/>
      <c r="I573" s="7"/>
      <c r="J573" s="8"/>
      <c r="K573" s="8"/>
      <c r="L573" s="8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116"/>
      <c r="F574" s="116"/>
      <c r="G574" s="8"/>
      <c r="H574" s="8"/>
      <c r="I574" s="7"/>
      <c r="J574" s="8"/>
      <c r="K574" s="8"/>
      <c r="L574" s="8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116"/>
      <c r="F575" s="116"/>
      <c r="G575" s="8"/>
      <c r="H575" s="8"/>
      <c r="I575" s="7"/>
      <c r="J575" s="8"/>
      <c r="K575" s="8"/>
      <c r="L575" s="8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116"/>
      <c r="F576" s="116"/>
      <c r="G576" s="8"/>
      <c r="H576" s="8"/>
      <c r="I576" s="7"/>
      <c r="J576" s="8"/>
      <c r="K576" s="8"/>
      <c r="L576" s="8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116"/>
      <c r="F577" s="116"/>
      <c r="G577" s="8"/>
      <c r="H577" s="8"/>
      <c r="I577" s="7"/>
      <c r="J577" s="8"/>
      <c r="K577" s="8"/>
      <c r="L577" s="8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116"/>
      <c r="F578" s="116"/>
      <c r="G578" s="8"/>
      <c r="H578" s="8"/>
      <c r="I578" s="7"/>
      <c r="J578" s="8"/>
      <c r="K578" s="8"/>
      <c r="L578" s="8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116"/>
      <c r="F579" s="116"/>
      <c r="G579" s="8"/>
      <c r="H579" s="8"/>
      <c r="I579" s="7"/>
      <c r="J579" s="8"/>
      <c r="K579" s="8"/>
      <c r="L579" s="8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116"/>
      <c r="F580" s="116"/>
      <c r="G580" s="8"/>
      <c r="H580" s="8"/>
      <c r="I580" s="7"/>
      <c r="J580" s="8"/>
      <c r="K580" s="8"/>
      <c r="L580" s="8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116"/>
      <c r="F581" s="116"/>
      <c r="G581" s="8"/>
      <c r="H581" s="8"/>
      <c r="I581" s="7"/>
      <c r="J581" s="8"/>
      <c r="K581" s="8"/>
      <c r="L581" s="8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116"/>
      <c r="F582" s="116"/>
      <c r="G582" s="8"/>
      <c r="H582" s="8"/>
      <c r="I582" s="7"/>
      <c r="J582" s="8"/>
      <c r="K582" s="8"/>
      <c r="L582" s="8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116"/>
      <c r="F583" s="116"/>
      <c r="G583" s="8"/>
      <c r="H583" s="8"/>
      <c r="I583" s="7"/>
      <c r="J583" s="8"/>
      <c r="K583" s="8"/>
      <c r="L583" s="8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116"/>
      <c r="F584" s="116"/>
      <c r="G584" s="8"/>
      <c r="H584" s="8"/>
      <c r="I584" s="7"/>
      <c r="J584" s="8"/>
      <c r="K584" s="8"/>
      <c r="L584" s="8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116"/>
      <c r="F585" s="116"/>
      <c r="G585" s="8"/>
      <c r="H585" s="8"/>
      <c r="I585" s="7"/>
      <c r="J585" s="8"/>
      <c r="K585" s="8"/>
      <c r="L585" s="8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116"/>
      <c r="F586" s="116"/>
      <c r="G586" s="8"/>
      <c r="H586" s="8"/>
      <c r="I586" s="7"/>
      <c r="J586" s="8"/>
      <c r="K586" s="8"/>
      <c r="L586" s="8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116"/>
      <c r="F587" s="116"/>
      <c r="G587" s="8"/>
      <c r="H587" s="8"/>
      <c r="I587" s="7"/>
      <c r="J587" s="8"/>
      <c r="K587" s="8"/>
      <c r="L587" s="8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116"/>
      <c r="F588" s="116"/>
      <c r="G588" s="8"/>
      <c r="H588" s="8"/>
      <c r="I588" s="7"/>
      <c r="J588" s="8"/>
      <c r="K588" s="8"/>
      <c r="L588" s="8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116"/>
      <c r="F589" s="116"/>
      <c r="G589" s="8"/>
      <c r="H589" s="8"/>
      <c r="I589" s="7"/>
      <c r="J589" s="8"/>
      <c r="K589" s="8"/>
      <c r="L589" s="8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116"/>
      <c r="F590" s="116"/>
      <c r="G590" s="8"/>
      <c r="H590" s="8"/>
      <c r="I590" s="7"/>
      <c r="J590" s="8"/>
      <c r="K590" s="8"/>
      <c r="L590" s="8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116"/>
      <c r="F591" s="116"/>
      <c r="G591" s="8"/>
      <c r="H591" s="8"/>
      <c r="I591" s="7"/>
      <c r="J591" s="8"/>
      <c r="K591" s="8"/>
      <c r="L591" s="8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116"/>
      <c r="F592" s="116"/>
      <c r="G592" s="8"/>
      <c r="H592" s="8"/>
      <c r="I592" s="7"/>
      <c r="J592" s="8"/>
      <c r="K592" s="8"/>
      <c r="L592" s="8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116"/>
      <c r="F593" s="116"/>
      <c r="G593" s="8"/>
      <c r="H593" s="8"/>
      <c r="I593" s="7"/>
      <c r="J593" s="8"/>
      <c r="K593" s="8"/>
      <c r="L593" s="8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116"/>
      <c r="F594" s="116"/>
      <c r="G594" s="8"/>
      <c r="H594" s="8"/>
      <c r="I594" s="7"/>
      <c r="J594" s="8"/>
      <c r="K594" s="8"/>
      <c r="L594" s="8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116"/>
      <c r="F595" s="116"/>
      <c r="G595" s="8"/>
      <c r="H595" s="8"/>
      <c r="I595" s="7"/>
      <c r="J595" s="8"/>
      <c r="K595" s="8"/>
      <c r="L595" s="8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116"/>
      <c r="F596" s="116"/>
      <c r="G596" s="8"/>
      <c r="H596" s="8"/>
      <c r="I596" s="7"/>
      <c r="J596" s="8"/>
      <c r="K596" s="8"/>
      <c r="L596" s="8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116"/>
      <c r="F597" s="116"/>
      <c r="G597" s="8"/>
      <c r="H597" s="8"/>
      <c r="I597" s="7"/>
      <c r="J597" s="8"/>
      <c r="K597" s="8"/>
      <c r="L597" s="8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116"/>
      <c r="F598" s="116"/>
      <c r="G598" s="8"/>
      <c r="H598" s="8"/>
      <c r="I598" s="7"/>
      <c r="J598" s="8"/>
      <c r="K598" s="8"/>
      <c r="L598" s="8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116"/>
      <c r="F599" s="116"/>
      <c r="G599" s="8"/>
      <c r="H599" s="8"/>
      <c r="I599" s="7"/>
      <c r="J599" s="8"/>
      <c r="K599" s="8"/>
      <c r="L599" s="8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116"/>
      <c r="F600" s="116"/>
      <c r="G600" s="8"/>
      <c r="H600" s="8"/>
      <c r="I600" s="7"/>
      <c r="J600" s="8"/>
      <c r="K600" s="8"/>
      <c r="L600" s="8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116"/>
      <c r="F601" s="116"/>
      <c r="G601" s="8"/>
      <c r="H601" s="8"/>
      <c r="I601" s="7"/>
      <c r="J601" s="8"/>
      <c r="K601" s="8"/>
      <c r="L601" s="8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116"/>
      <c r="F602" s="116"/>
      <c r="G602" s="8"/>
      <c r="H602" s="8"/>
      <c r="I602" s="7"/>
      <c r="J602" s="8"/>
      <c r="K602" s="8"/>
      <c r="L602" s="8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116"/>
      <c r="F603" s="116"/>
      <c r="G603" s="8"/>
      <c r="H603" s="8"/>
      <c r="I603" s="7"/>
      <c r="J603" s="8"/>
      <c r="K603" s="8"/>
      <c r="L603" s="8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116"/>
      <c r="F604" s="116"/>
      <c r="G604" s="8"/>
      <c r="H604" s="8"/>
      <c r="I604" s="7"/>
      <c r="J604" s="8"/>
      <c r="K604" s="8"/>
      <c r="L604" s="8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116"/>
      <c r="F605" s="116"/>
      <c r="G605" s="8"/>
      <c r="H605" s="8"/>
      <c r="I605" s="7"/>
      <c r="J605" s="8"/>
      <c r="K605" s="8"/>
      <c r="L605" s="8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116"/>
      <c r="F606" s="116"/>
      <c r="G606" s="8"/>
      <c r="H606" s="8"/>
      <c r="I606" s="7"/>
      <c r="J606" s="8"/>
      <c r="K606" s="8"/>
      <c r="L606" s="8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116"/>
      <c r="F607" s="116"/>
      <c r="G607" s="8"/>
      <c r="H607" s="8"/>
      <c r="I607" s="7"/>
      <c r="J607" s="8"/>
      <c r="K607" s="8"/>
      <c r="L607" s="8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116"/>
      <c r="F608" s="116"/>
      <c r="G608" s="8"/>
      <c r="H608" s="8"/>
      <c r="I608" s="7"/>
      <c r="J608" s="8"/>
      <c r="K608" s="8"/>
      <c r="L608" s="8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116"/>
      <c r="F609" s="116"/>
      <c r="G609" s="8"/>
      <c r="H609" s="8"/>
      <c r="I609" s="7"/>
      <c r="J609" s="8"/>
      <c r="K609" s="8"/>
      <c r="L609" s="8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116"/>
      <c r="F610" s="116"/>
      <c r="G610" s="8"/>
      <c r="H610" s="8"/>
      <c r="I610" s="7"/>
      <c r="J610" s="8"/>
      <c r="K610" s="8"/>
      <c r="L610" s="8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116"/>
      <c r="F611" s="116"/>
      <c r="G611" s="8"/>
      <c r="H611" s="8"/>
      <c r="I611" s="7"/>
      <c r="J611" s="8"/>
      <c r="K611" s="8"/>
      <c r="L611" s="8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116"/>
      <c r="F612" s="116"/>
      <c r="G612" s="8"/>
      <c r="H612" s="8"/>
      <c r="I612" s="7"/>
      <c r="J612" s="8"/>
      <c r="K612" s="8"/>
      <c r="L612" s="8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116"/>
      <c r="F613" s="116"/>
      <c r="G613" s="8"/>
      <c r="H613" s="8"/>
      <c r="I613" s="7"/>
      <c r="J613" s="8"/>
      <c r="K613" s="8"/>
      <c r="L613" s="8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116"/>
      <c r="F614" s="116"/>
      <c r="G614" s="8"/>
      <c r="H614" s="8"/>
      <c r="I614" s="7"/>
      <c r="J614" s="8"/>
      <c r="K614" s="8"/>
      <c r="L614" s="8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116"/>
      <c r="F615" s="116"/>
      <c r="G615" s="8"/>
      <c r="H615" s="8"/>
      <c r="I615" s="7"/>
      <c r="J615" s="8"/>
      <c r="K615" s="8"/>
      <c r="L615" s="8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116"/>
      <c r="F616" s="116"/>
      <c r="G616" s="8"/>
      <c r="H616" s="8"/>
      <c r="I616" s="7"/>
      <c r="J616" s="8"/>
      <c r="K616" s="8"/>
      <c r="L616" s="8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116"/>
      <c r="F617" s="116"/>
      <c r="G617" s="8"/>
      <c r="H617" s="8"/>
      <c r="I617" s="7"/>
      <c r="J617" s="8"/>
      <c r="K617" s="8"/>
      <c r="L617" s="8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116"/>
      <c r="F618" s="116"/>
      <c r="G618" s="8"/>
      <c r="H618" s="8"/>
      <c r="I618" s="7"/>
      <c r="J618" s="8"/>
      <c r="K618" s="8"/>
      <c r="L618" s="8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116"/>
      <c r="F619" s="116"/>
      <c r="G619" s="8"/>
      <c r="H619" s="8"/>
      <c r="I619" s="7"/>
      <c r="J619" s="8"/>
      <c r="K619" s="8"/>
      <c r="L619" s="8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116"/>
      <c r="F620" s="116"/>
      <c r="G620" s="8"/>
      <c r="H620" s="8"/>
      <c r="I620" s="7"/>
      <c r="J620" s="8"/>
      <c r="K620" s="8"/>
      <c r="L620" s="8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116"/>
      <c r="F621" s="116"/>
      <c r="G621" s="8"/>
      <c r="H621" s="8"/>
      <c r="I621" s="7"/>
      <c r="J621" s="8"/>
      <c r="K621" s="8"/>
      <c r="L621" s="8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116"/>
      <c r="F622" s="116"/>
      <c r="G622" s="8"/>
      <c r="H622" s="8"/>
      <c r="I622" s="7"/>
      <c r="J622" s="8"/>
      <c r="K622" s="8"/>
      <c r="L622" s="8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116"/>
      <c r="F623" s="116"/>
      <c r="G623" s="8"/>
      <c r="H623" s="8"/>
      <c r="I623" s="7"/>
      <c r="J623" s="8"/>
      <c r="K623" s="8"/>
      <c r="L623" s="8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116"/>
      <c r="F624" s="116"/>
      <c r="G624" s="8"/>
      <c r="H624" s="8"/>
      <c r="I624" s="7"/>
      <c r="J624" s="8"/>
      <c r="K624" s="8"/>
      <c r="L624" s="8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116"/>
      <c r="F625" s="116"/>
      <c r="G625" s="8"/>
      <c r="H625" s="8"/>
      <c r="I625" s="7"/>
      <c r="J625" s="8"/>
      <c r="K625" s="8"/>
      <c r="L625" s="8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116"/>
      <c r="F626" s="116"/>
      <c r="G626" s="8"/>
      <c r="H626" s="8"/>
      <c r="I626" s="7"/>
      <c r="J626" s="8"/>
      <c r="K626" s="8"/>
      <c r="L626" s="8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116"/>
      <c r="F627" s="116"/>
      <c r="G627" s="8"/>
      <c r="H627" s="8"/>
      <c r="I627" s="7"/>
      <c r="J627" s="8"/>
      <c r="K627" s="8"/>
      <c r="L627" s="8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116"/>
      <c r="F628" s="116"/>
      <c r="G628" s="8"/>
      <c r="H628" s="8"/>
      <c r="I628" s="7"/>
      <c r="J628" s="8"/>
      <c r="K628" s="8"/>
      <c r="L628" s="8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116"/>
      <c r="F629" s="116"/>
      <c r="G629" s="8"/>
      <c r="H629" s="8"/>
      <c r="I629" s="7"/>
      <c r="J629" s="8"/>
      <c r="K629" s="8"/>
      <c r="L629" s="8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116"/>
      <c r="F630" s="116"/>
      <c r="G630" s="8"/>
      <c r="H630" s="8"/>
      <c r="I630" s="7"/>
      <c r="J630" s="8"/>
      <c r="K630" s="8"/>
      <c r="L630" s="8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116"/>
      <c r="F631" s="116"/>
      <c r="G631" s="8"/>
      <c r="H631" s="8"/>
      <c r="I631" s="7"/>
      <c r="J631" s="8"/>
      <c r="K631" s="8"/>
      <c r="L631" s="8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116"/>
      <c r="F632" s="116"/>
      <c r="G632" s="8"/>
      <c r="H632" s="8"/>
      <c r="I632" s="7"/>
      <c r="J632" s="8"/>
      <c r="K632" s="8"/>
      <c r="L632" s="8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116"/>
      <c r="F633" s="116"/>
      <c r="G633" s="8"/>
      <c r="H633" s="8"/>
      <c r="I633" s="7"/>
      <c r="J633" s="8"/>
      <c r="K633" s="8"/>
      <c r="L633" s="8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116"/>
      <c r="F634" s="116"/>
      <c r="G634" s="8"/>
      <c r="H634" s="8"/>
      <c r="I634" s="7"/>
      <c r="J634" s="8"/>
      <c r="K634" s="8"/>
      <c r="L634" s="8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116"/>
      <c r="F635" s="116"/>
      <c r="G635" s="8"/>
      <c r="H635" s="8"/>
      <c r="I635" s="7"/>
      <c r="J635" s="8"/>
      <c r="K635" s="8"/>
      <c r="L635" s="8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116"/>
      <c r="F636" s="116"/>
      <c r="G636" s="8"/>
      <c r="H636" s="8"/>
      <c r="I636" s="7"/>
      <c r="J636" s="8"/>
      <c r="K636" s="8"/>
      <c r="L636" s="8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116"/>
      <c r="F637" s="116"/>
      <c r="G637" s="8"/>
      <c r="H637" s="8"/>
      <c r="I637" s="7"/>
      <c r="J637" s="8"/>
      <c r="K637" s="8"/>
      <c r="L637" s="8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116"/>
      <c r="F638" s="116"/>
      <c r="G638" s="8"/>
      <c r="H638" s="8"/>
      <c r="I638" s="7"/>
      <c r="J638" s="8"/>
      <c r="K638" s="8"/>
      <c r="L638" s="8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116"/>
      <c r="F639" s="116"/>
      <c r="G639" s="8"/>
      <c r="H639" s="8"/>
      <c r="I639" s="7"/>
      <c r="J639" s="8"/>
      <c r="K639" s="8"/>
      <c r="L639" s="8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116"/>
      <c r="F640" s="116"/>
      <c r="G640" s="8"/>
      <c r="H640" s="8"/>
      <c r="I640" s="7"/>
      <c r="J640" s="8"/>
      <c r="K640" s="8"/>
      <c r="L640" s="8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116"/>
      <c r="F641" s="116"/>
      <c r="G641" s="8"/>
      <c r="H641" s="8"/>
      <c r="I641" s="7"/>
      <c r="J641" s="8"/>
      <c r="K641" s="8"/>
      <c r="L641" s="8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116"/>
      <c r="F642" s="116"/>
      <c r="G642" s="8"/>
      <c r="H642" s="8"/>
      <c r="I642" s="7"/>
      <c r="J642" s="8"/>
      <c r="K642" s="8"/>
      <c r="L642" s="8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116"/>
      <c r="F643" s="116"/>
      <c r="G643" s="8"/>
      <c r="H643" s="8"/>
      <c r="I643" s="7"/>
      <c r="J643" s="8"/>
      <c r="K643" s="8"/>
      <c r="L643" s="8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116"/>
      <c r="F644" s="116"/>
      <c r="G644" s="8"/>
      <c r="H644" s="8"/>
      <c r="I644" s="7"/>
      <c r="J644" s="8"/>
      <c r="K644" s="8"/>
      <c r="L644" s="8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116"/>
      <c r="F645" s="116"/>
      <c r="G645" s="8"/>
      <c r="H645" s="8"/>
      <c r="I645" s="7"/>
      <c r="J645" s="8"/>
      <c r="K645" s="8"/>
      <c r="L645" s="8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116"/>
      <c r="F646" s="116"/>
      <c r="G646" s="8"/>
      <c r="H646" s="8"/>
      <c r="I646" s="7"/>
      <c r="J646" s="8"/>
      <c r="K646" s="8"/>
      <c r="L646" s="8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116"/>
      <c r="F647" s="116"/>
      <c r="G647" s="8"/>
      <c r="H647" s="8"/>
      <c r="I647" s="7"/>
      <c r="J647" s="8"/>
      <c r="K647" s="8"/>
      <c r="L647" s="8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116"/>
      <c r="F648" s="116"/>
      <c r="G648" s="8"/>
      <c r="H648" s="8"/>
      <c r="I648" s="7"/>
      <c r="J648" s="8"/>
      <c r="K648" s="8"/>
      <c r="L648" s="8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116"/>
      <c r="F649" s="116"/>
      <c r="G649" s="8"/>
      <c r="H649" s="8"/>
      <c r="I649" s="7"/>
      <c r="J649" s="8"/>
      <c r="K649" s="8"/>
      <c r="L649" s="8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116"/>
      <c r="F650" s="116"/>
      <c r="G650" s="8"/>
      <c r="H650" s="8"/>
      <c r="I650" s="7"/>
      <c r="J650" s="8"/>
      <c r="K650" s="8"/>
      <c r="L650" s="8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116"/>
      <c r="F651" s="116"/>
      <c r="G651" s="8"/>
      <c r="H651" s="8"/>
      <c r="I651" s="7"/>
      <c r="J651" s="8"/>
      <c r="K651" s="8"/>
      <c r="L651" s="8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116"/>
      <c r="F652" s="116"/>
      <c r="G652" s="8"/>
      <c r="H652" s="8"/>
      <c r="I652" s="7"/>
      <c r="J652" s="8"/>
      <c r="K652" s="8"/>
      <c r="L652" s="8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116"/>
      <c r="F653" s="116"/>
      <c r="G653" s="8"/>
      <c r="H653" s="8"/>
      <c r="I653" s="7"/>
      <c r="J653" s="8"/>
      <c r="K653" s="8"/>
      <c r="L653" s="8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116"/>
      <c r="F654" s="116"/>
      <c r="G654" s="8"/>
      <c r="H654" s="8"/>
      <c r="I654" s="7"/>
      <c r="J654" s="8"/>
      <c r="K654" s="8"/>
      <c r="L654" s="8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116"/>
      <c r="F655" s="116"/>
      <c r="G655" s="8"/>
      <c r="H655" s="8"/>
      <c r="I655" s="7"/>
      <c r="J655" s="8"/>
      <c r="K655" s="8"/>
      <c r="L655" s="8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116"/>
      <c r="F656" s="116"/>
      <c r="G656" s="8"/>
      <c r="H656" s="8"/>
      <c r="I656" s="7"/>
      <c r="J656" s="8"/>
      <c r="K656" s="8"/>
      <c r="L656" s="8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116"/>
      <c r="F657" s="116"/>
      <c r="G657" s="8"/>
      <c r="H657" s="8"/>
      <c r="I657" s="7"/>
      <c r="J657" s="8"/>
      <c r="K657" s="8"/>
      <c r="L657" s="8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116"/>
      <c r="F658" s="116"/>
      <c r="G658" s="8"/>
      <c r="H658" s="8"/>
      <c r="I658" s="7"/>
      <c r="J658" s="8"/>
      <c r="K658" s="8"/>
      <c r="L658" s="8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116"/>
      <c r="F659" s="116"/>
      <c r="G659" s="8"/>
      <c r="H659" s="8"/>
      <c r="I659" s="7"/>
      <c r="J659" s="8"/>
      <c r="K659" s="8"/>
      <c r="L659" s="8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116"/>
      <c r="F660" s="116"/>
      <c r="G660" s="8"/>
      <c r="H660" s="8"/>
      <c r="I660" s="7"/>
      <c r="J660" s="8"/>
      <c r="K660" s="8"/>
      <c r="L660" s="8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116"/>
      <c r="F661" s="116"/>
      <c r="G661" s="8"/>
      <c r="H661" s="8"/>
      <c r="I661" s="7"/>
      <c r="J661" s="8"/>
      <c r="K661" s="8"/>
      <c r="L661" s="8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116"/>
      <c r="F662" s="116"/>
      <c r="G662" s="8"/>
      <c r="H662" s="8"/>
      <c r="I662" s="7"/>
      <c r="J662" s="8"/>
      <c r="K662" s="8"/>
      <c r="L662" s="8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116"/>
      <c r="F663" s="116"/>
      <c r="G663" s="8"/>
      <c r="H663" s="8"/>
      <c r="I663" s="7"/>
      <c r="J663" s="8"/>
      <c r="K663" s="8"/>
      <c r="L663" s="8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116"/>
      <c r="F664" s="116"/>
      <c r="G664" s="8"/>
      <c r="H664" s="8"/>
      <c r="I664" s="7"/>
      <c r="J664" s="8"/>
      <c r="K664" s="8"/>
      <c r="L664" s="8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116"/>
      <c r="F665" s="116"/>
      <c r="G665" s="8"/>
      <c r="H665" s="8"/>
      <c r="I665" s="7"/>
      <c r="J665" s="8"/>
      <c r="K665" s="8"/>
      <c r="L665" s="8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116"/>
      <c r="F666" s="116"/>
      <c r="G666" s="8"/>
      <c r="H666" s="8"/>
      <c r="I666" s="7"/>
      <c r="J666" s="8"/>
      <c r="K666" s="8"/>
      <c r="L666" s="8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116"/>
      <c r="F667" s="116"/>
      <c r="G667" s="8"/>
      <c r="H667" s="8"/>
      <c r="I667" s="7"/>
      <c r="J667" s="8"/>
      <c r="K667" s="8"/>
      <c r="L667" s="8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116"/>
      <c r="F668" s="116"/>
      <c r="G668" s="8"/>
      <c r="H668" s="8"/>
      <c r="I668" s="7"/>
      <c r="J668" s="8"/>
      <c r="K668" s="8"/>
      <c r="L668" s="8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116"/>
      <c r="F669" s="116"/>
      <c r="G669" s="8"/>
      <c r="H669" s="8"/>
      <c r="I669" s="7"/>
      <c r="J669" s="8"/>
      <c r="K669" s="8"/>
      <c r="L669" s="8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116"/>
      <c r="F670" s="116"/>
      <c r="G670" s="8"/>
      <c r="H670" s="8"/>
      <c r="I670" s="7"/>
      <c r="J670" s="8"/>
      <c r="K670" s="8"/>
      <c r="L670" s="8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116"/>
      <c r="F671" s="116"/>
      <c r="G671" s="8"/>
      <c r="H671" s="8"/>
      <c r="I671" s="7"/>
      <c r="J671" s="8"/>
      <c r="K671" s="8"/>
      <c r="L671" s="8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116"/>
      <c r="F672" s="116"/>
      <c r="G672" s="8"/>
      <c r="H672" s="8"/>
      <c r="I672" s="7"/>
      <c r="J672" s="8"/>
      <c r="K672" s="8"/>
      <c r="L672" s="8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116"/>
      <c r="F673" s="116"/>
      <c r="G673" s="8"/>
      <c r="H673" s="8"/>
      <c r="I673" s="7"/>
      <c r="J673" s="8"/>
      <c r="K673" s="8"/>
      <c r="L673" s="8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116"/>
      <c r="F674" s="116"/>
      <c r="G674" s="8"/>
      <c r="H674" s="8"/>
      <c r="I674" s="7"/>
      <c r="J674" s="8"/>
      <c r="K674" s="8"/>
      <c r="L674" s="8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116"/>
      <c r="F675" s="116"/>
      <c r="G675" s="8"/>
      <c r="H675" s="8"/>
      <c r="I675" s="7"/>
      <c r="J675" s="8"/>
      <c r="K675" s="8"/>
      <c r="L675" s="8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116"/>
      <c r="F676" s="116"/>
      <c r="G676" s="8"/>
      <c r="H676" s="8"/>
      <c r="I676" s="7"/>
      <c r="J676" s="8"/>
      <c r="K676" s="8"/>
      <c r="L676" s="8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116"/>
      <c r="F677" s="116"/>
      <c r="G677" s="8"/>
      <c r="H677" s="8"/>
      <c r="I677" s="7"/>
      <c r="J677" s="8"/>
      <c r="K677" s="8"/>
      <c r="L677" s="8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116"/>
      <c r="F678" s="116"/>
      <c r="G678" s="8"/>
      <c r="H678" s="8"/>
      <c r="I678" s="7"/>
      <c r="J678" s="8"/>
      <c r="K678" s="8"/>
      <c r="L678" s="8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116"/>
      <c r="F679" s="116"/>
      <c r="G679" s="8"/>
      <c r="H679" s="8"/>
      <c r="I679" s="7"/>
      <c r="J679" s="8"/>
      <c r="K679" s="8"/>
      <c r="L679" s="8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116"/>
      <c r="F680" s="116"/>
      <c r="G680" s="8"/>
      <c r="H680" s="8"/>
      <c r="I680" s="7"/>
      <c r="J680" s="8"/>
      <c r="K680" s="8"/>
      <c r="L680" s="8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116"/>
      <c r="F681" s="116"/>
      <c r="G681" s="8"/>
      <c r="H681" s="8"/>
      <c r="I681" s="7"/>
      <c r="J681" s="8"/>
      <c r="K681" s="8"/>
      <c r="L681" s="8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116"/>
      <c r="F682" s="116"/>
      <c r="G682" s="8"/>
      <c r="H682" s="8"/>
      <c r="I682" s="7"/>
      <c r="J682" s="8"/>
      <c r="K682" s="8"/>
      <c r="L682" s="8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116"/>
      <c r="F683" s="116"/>
      <c r="G683" s="8"/>
      <c r="H683" s="8"/>
      <c r="I683" s="7"/>
      <c r="J683" s="8"/>
      <c r="K683" s="8"/>
      <c r="L683" s="8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116"/>
      <c r="F684" s="116"/>
      <c r="G684" s="8"/>
      <c r="H684" s="8"/>
      <c r="I684" s="7"/>
      <c r="J684" s="8"/>
      <c r="K684" s="8"/>
      <c r="L684" s="8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116"/>
      <c r="F685" s="116"/>
      <c r="G685" s="8"/>
      <c r="H685" s="8"/>
      <c r="I685" s="7"/>
      <c r="J685" s="8"/>
      <c r="K685" s="8"/>
      <c r="L685" s="8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116"/>
      <c r="F686" s="116"/>
      <c r="G686" s="8"/>
      <c r="H686" s="8"/>
      <c r="I686" s="7"/>
      <c r="J686" s="8"/>
      <c r="K686" s="8"/>
      <c r="L686" s="8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116"/>
      <c r="F687" s="116"/>
      <c r="G687" s="8"/>
      <c r="H687" s="8"/>
      <c r="I687" s="7"/>
      <c r="J687" s="8"/>
      <c r="K687" s="8"/>
      <c r="L687" s="8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116"/>
      <c r="F688" s="116"/>
      <c r="G688" s="8"/>
      <c r="H688" s="8"/>
      <c r="I688" s="7"/>
      <c r="J688" s="8"/>
      <c r="K688" s="8"/>
      <c r="L688" s="8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116"/>
      <c r="F689" s="116"/>
      <c r="G689" s="8"/>
      <c r="H689" s="8"/>
      <c r="I689" s="7"/>
      <c r="J689" s="8"/>
      <c r="K689" s="8"/>
      <c r="L689" s="8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116"/>
      <c r="F690" s="116"/>
      <c r="G690" s="8"/>
      <c r="H690" s="8"/>
      <c r="I690" s="7"/>
      <c r="J690" s="8"/>
      <c r="K690" s="8"/>
      <c r="L690" s="8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116"/>
      <c r="F691" s="116"/>
      <c r="G691" s="8"/>
      <c r="H691" s="8"/>
      <c r="I691" s="7"/>
      <c r="J691" s="8"/>
      <c r="K691" s="8"/>
      <c r="L691" s="8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116"/>
      <c r="F692" s="116"/>
      <c r="G692" s="8"/>
      <c r="H692" s="8"/>
      <c r="I692" s="7"/>
      <c r="J692" s="8"/>
      <c r="K692" s="8"/>
      <c r="L692" s="8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116"/>
      <c r="F693" s="116"/>
      <c r="G693" s="8"/>
      <c r="H693" s="8"/>
      <c r="I693" s="7"/>
      <c r="J693" s="8"/>
      <c r="K693" s="8"/>
      <c r="L693" s="8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116"/>
      <c r="F694" s="116"/>
      <c r="G694" s="8"/>
      <c r="H694" s="8"/>
      <c r="I694" s="7"/>
      <c r="J694" s="8"/>
      <c r="K694" s="8"/>
      <c r="L694" s="8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116"/>
      <c r="F695" s="116"/>
      <c r="G695" s="8"/>
      <c r="H695" s="8"/>
      <c r="I695" s="7"/>
      <c r="J695" s="8"/>
      <c r="K695" s="8"/>
      <c r="L695" s="8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116"/>
      <c r="F696" s="116"/>
      <c r="G696" s="8"/>
      <c r="H696" s="8"/>
      <c r="I696" s="7"/>
      <c r="J696" s="8"/>
      <c r="K696" s="8"/>
      <c r="L696" s="8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116"/>
      <c r="F697" s="116"/>
      <c r="G697" s="8"/>
      <c r="H697" s="8"/>
      <c r="I697" s="7"/>
      <c r="J697" s="8"/>
      <c r="K697" s="8"/>
      <c r="L697" s="8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116"/>
      <c r="F698" s="116"/>
      <c r="G698" s="8"/>
      <c r="H698" s="8"/>
      <c r="I698" s="7"/>
      <c r="J698" s="8"/>
      <c r="K698" s="8"/>
      <c r="L698" s="8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116"/>
      <c r="F699" s="116"/>
      <c r="G699" s="8"/>
      <c r="H699" s="8"/>
      <c r="I699" s="7"/>
      <c r="J699" s="8"/>
      <c r="K699" s="8"/>
      <c r="L699" s="8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116"/>
      <c r="F700" s="116"/>
      <c r="G700" s="8"/>
      <c r="H700" s="8"/>
      <c r="I700" s="7"/>
      <c r="J700" s="8"/>
      <c r="K700" s="8"/>
      <c r="L700" s="8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116"/>
      <c r="F701" s="116"/>
      <c r="G701" s="8"/>
      <c r="H701" s="8"/>
      <c r="I701" s="7"/>
      <c r="J701" s="8"/>
      <c r="K701" s="8"/>
      <c r="L701" s="8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116"/>
      <c r="F702" s="116"/>
      <c r="G702" s="8"/>
      <c r="H702" s="8"/>
      <c r="I702" s="7"/>
      <c r="J702" s="8"/>
      <c r="K702" s="8"/>
      <c r="L702" s="8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116"/>
      <c r="F703" s="116"/>
      <c r="G703" s="8"/>
      <c r="H703" s="8"/>
      <c r="I703" s="7"/>
      <c r="J703" s="8"/>
      <c r="K703" s="8"/>
      <c r="L703" s="8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116"/>
      <c r="F704" s="116"/>
      <c r="G704" s="8"/>
      <c r="H704" s="8"/>
      <c r="I704" s="7"/>
      <c r="J704" s="8"/>
      <c r="K704" s="8"/>
      <c r="L704" s="8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116"/>
      <c r="F705" s="116"/>
      <c r="G705" s="8"/>
      <c r="H705" s="8"/>
      <c r="I705" s="7"/>
      <c r="J705" s="8"/>
      <c r="K705" s="8"/>
      <c r="L705" s="8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116"/>
      <c r="F706" s="116"/>
      <c r="G706" s="8"/>
      <c r="H706" s="8"/>
      <c r="I706" s="7"/>
      <c r="J706" s="8"/>
      <c r="K706" s="8"/>
      <c r="L706" s="8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116"/>
      <c r="F707" s="116"/>
      <c r="G707" s="8"/>
      <c r="H707" s="8"/>
      <c r="I707" s="7"/>
      <c r="J707" s="8"/>
      <c r="K707" s="8"/>
      <c r="L707" s="8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116"/>
      <c r="F708" s="116"/>
      <c r="G708" s="8"/>
      <c r="H708" s="8"/>
      <c r="I708" s="7"/>
      <c r="J708" s="8"/>
      <c r="K708" s="8"/>
      <c r="L708" s="8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116"/>
      <c r="F709" s="116"/>
      <c r="G709" s="8"/>
      <c r="H709" s="8"/>
      <c r="I709" s="7"/>
      <c r="J709" s="8"/>
      <c r="K709" s="8"/>
      <c r="L709" s="8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116"/>
      <c r="F710" s="116"/>
      <c r="G710" s="8"/>
      <c r="H710" s="8"/>
      <c r="I710" s="7"/>
      <c r="J710" s="8"/>
      <c r="K710" s="8"/>
      <c r="L710" s="8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116"/>
      <c r="F711" s="116"/>
      <c r="G711" s="8"/>
      <c r="H711" s="8"/>
      <c r="I711" s="7"/>
      <c r="J711" s="8"/>
      <c r="K711" s="8"/>
      <c r="L711" s="8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116"/>
      <c r="F712" s="116"/>
      <c r="G712" s="8"/>
      <c r="H712" s="8"/>
      <c r="I712" s="7"/>
      <c r="J712" s="8"/>
      <c r="K712" s="8"/>
      <c r="L712" s="8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116"/>
      <c r="F713" s="116"/>
      <c r="G713" s="8"/>
      <c r="H713" s="8"/>
      <c r="I713" s="7"/>
      <c r="J713" s="8"/>
      <c r="K713" s="8"/>
      <c r="L713" s="8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116"/>
      <c r="F714" s="116"/>
      <c r="G714" s="8"/>
      <c r="H714" s="8"/>
      <c r="I714" s="7"/>
      <c r="J714" s="8"/>
      <c r="K714" s="8"/>
      <c r="L714" s="8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116"/>
      <c r="F715" s="116"/>
      <c r="G715" s="8"/>
      <c r="H715" s="8"/>
      <c r="I715" s="7"/>
      <c r="J715" s="8"/>
      <c r="K715" s="8"/>
      <c r="L715" s="8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116"/>
      <c r="F716" s="116"/>
      <c r="G716" s="8"/>
      <c r="H716" s="8"/>
      <c r="I716" s="7"/>
      <c r="J716" s="8"/>
      <c r="K716" s="8"/>
      <c r="L716" s="8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116"/>
      <c r="F717" s="116"/>
      <c r="G717" s="8"/>
      <c r="H717" s="8"/>
      <c r="I717" s="7"/>
      <c r="J717" s="8"/>
      <c r="K717" s="8"/>
      <c r="L717" s="8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116"/>
      <c r="F718" s="116"/>
      <c r="G718" s="8"/>
      <c r="H718" s="8"/>
      <c r="I718" s="7"/>
      <c r="J718" s="8"/>
      <c r="K718" s="8"/>
      <c r="L718" s="8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116"/>
      <c r="F719" s="116"/>
      <c r="G719" s="8"/>
      <c r="H719" s="8"/>
      <c r="I719" s="7"/>
      <c r="J719" s="8"/>
      <c r="K719" s="8"/>
      <c r="L719" s="8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116"/>
      <c r="F720" s="116"/>
      <c r="G720" s="8"/>
      <c r="H720" s="8"/>
      <c r="I720" s="7"/>
      <c r="J720" s="8"/>
      <c r="K720" s="8"/>
      <c r="L720" s="8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116"/>
      <c r="F721" s="116"/>
      <c r="G721" s="8"/>
      <c r="H721" s="8"/>
      <c r="I721" s="7"/>
      <c r="J721" s="8"/>
      <c r="K721" s="8"/>
      <c r="L721" s="8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116"/>
      <c r="F722" s="116"/>
      <c r="G722" s="8"/>
      <c r="H722" s="8"/>
      <c r="I722" s="7"/>
      <c r="J722" s="8"/>
      <c r="K722" s="8"/>
      <c r="L722" s="8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116"/>
      <c r="F723" s="116"/>
      <c r="G723" s="8"/>
      <c r="H723" s="8"/>
      <c r="I723" s="7"/>
      <c r="J723" s="8"/>
      <c r="K723" s="8"/>
      <c r="L723" s="8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116"/>
      <c r="F724" s="116"/>
      <c r="G724" s="8"/>
      <c r="H724" s="8"/>
      <c r="I724" s="7"/>
      <c r="J724" s="8"/>
      <c r="K724" s="8"/>
      <c r="L724" s="8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116"/>
      <c r="F725" s="116"/>
      <c r="G725" s="8"/>
      <c r="H725" s="8"/>
      <c r="I725" s="7"/>
      <c r="J725" s="8"/>
      <c r="K725" s="8"/>
      <c r="L725" s="8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116"/>
      <c r="F726" s="116"/>
      <c r="G726" s="8"/>
      <c r="H726" s="8"/>
      <c r="I726" s="7"/>
      <c r="J726" s="8"/>
      <c r="K726" s="8"/>
      <c r="L726" s="8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116"/>
      <c r="F727" s="116"/>
      <c r="G727" s="8"/>
      <c r="H727" s="8"/>
      <c r="I727" s="7"/>
      <c r="J727" s="8"/>
      <c r="K727" s="8"/>
      <c r="L727" s="8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116"/>
      <c r="F728" s="116"/>
      <c r="G728" s="8"/>
      <c r="H728" s="8"/>
      <c r="I728" s="7"/>
      <c r="J728" s="8"/>
      <c r="K728" s="8"/>
      <c r="L728" s="8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116"/>
      <c r="F729" s="116"/>
      <c r="G729" s="8"/>
      <c r="H729" s="8"/>
      <c r="I729" s="7"/>
      <c r="J729" s="8"/>
      <c r="K729" s="8"/>
      <c r="L729" s="8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116"/>
      <c r="F730" s="116"/>
      <c r="G730" s="8"/>
      <c r="H730" s="8"/>
      <c r="I730" s="7"/>
      <c r="J730" s="8"/>
      <c r="K730" s="8"/>
      <c r="L730" s="8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116"/>
      <c r="F731" s="116"/>
      <c r="G731" s="8"/>
      <c r="H731" s="8"/>
      <c r="I731" s="7"/>
      <c r="J731" s="8"/>
      <c r="K731" s="8"/>
      <c r="L731" s="8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116"/>
      <c r="F732" s="116"/>
      <c r="G732" s="8"/>
      <c r="H732" s="8"/>
      <c r="I732" s="7"/>
      <c r="J732" s="8"/>
      <c r="K732" s="8"/>
      <c r="L732" s="8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116"/>
      <c r="F733" s="116"/>
      <c r="G733" s="8"/>
      <c r="H733" s="8"/>
      <c r="I733" s="7"/>
      <c r="J733" s="8"/>
      <c r="K733" s="8"/>
      <c r="L733" s="8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116"/>
      <c r="F734" s="116"/>
      <c r="G734" s="8"/>
      <c r="H734" s="8"/>
      <c r="I734" s="7"/>
      <c r="J734" s="8"/>
      <c r="K734" s="8"/>
      <c r="L734" s="8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116"/>
      <c r="F735" s="116"/>
      <c r="G735" s="8"/>
      <c r="H735" s="8"/>
      <c r="I735" s="7"/>
      <c r="J735" s="8"/>
      <c r="K735" s="8"/>
      <c r="L735" s="8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116"/>
      <c r="F736" s="116"/>
      <c r="G736" s="8"/>
      <c r="H736" s="8"/>
      <c r="I736" s="7"/>
      <c r="J736" s="8"/>
      <c r="K736" s="8"/>
      <c r="L736" s="8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116"/>
      <c r="F737" s="116"/>
      <c r="G737" s="8"/>
      <c r="H737" s="8"/>
      <c r="I737" s="7"/>
      <c r="J737" s="8"/>
      <c r="K737" s="8"/>
      <c r="L737" s="8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116"/>
      <c r="F738" s="116"/>
      <c r="G738" s="8"/>
      <c r="H738" s="8"/>
      <c r="I738" s="7"/>
      <c r="J738" s="8"/>
      <c r="K738" s="8"/>
      <c r="L738" s="8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116"/>
      <c r="F739" s="116"/>
      <c r="G739" s="8"/>
      <c r="H739" s="8"/>
      <c r="I739" s="7"/>
      <c r="J739" s="8"/>
      <c r="K739" s="8"/>
      <c r="L739" s="8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116"/>
      <c r="F740" s="116"/>
      <c r="G740" s="8"/>
      <c r="H740" s="8"/>
      <c r="I740" s="7"/>
      <c r="J740" s="8"/>
      <c r="K740" s="8"/>
      <c r="L740" s="8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116"/>
      <c r="F741" s="116"/>
      <c r="G741" s="8"/>
      <c r="H741" s="8"/>
      <c r="I741" s="7"/>
      <c r="J741" s="8"/>
      <c r="K741" s="8"/>
      <c r="L741" s="8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116"/>
      <c r="F742" s="116"/>
      <c r="G742" s="8"/>
      <c r="H742" s="8"/>
      <c r="I742" s="7"/>
      <c r="J742" s="8"/>
      <c r="K742" s="8"/>
      <c r="L742" s="8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116"/>
      <c r="F743" s="116"/>
      <c r="G743" s="8"/>
      <c r="H743" s="8"/>
      <c r="I743" s="7"/>
      <c r="J743" s="8"/>
      <c r="K743" s="8"/>
      <c r="L743" s="8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116"/>
      <c r="F744" s="116"/>
      <c r="G744" s="8"/>
      <c r="H744" s="8"/>
      <c r="I744" s="7"/>
      <c r="J744" s="8"/>
      <c r="K744" s="8"/>
      <c r="L744" s="8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116"/>
      <c r="F745" s="116"/>
      <c r="G745" s="8"/>
      <c r="H745" s="8"/>
      <c r="I745" s="7"/>
      <c r="J745" s="8"/>
      <c r="K745" s="8"/>
      <c r="L745" s="8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116"/>
      <c r="F746" s="116"/>
      <c r="G746" s="8"/>
      <c r="H746" s="8"/>
      <c r="I746" s="7"/>
      <c r="J746" s="8"/>
      <c r="K746" s="8"/>
      <c r="L746" s="8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116"/>
      <c r="F747" s="116"/>
      <c r="G747" s="8"/>
      <c r="H747" s="8"/>
      <c r="I747" s="7"/>
      <c r="J747" s="8"/>
      <c r="K747" s="8"/>
      <c r="L747" s="8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116"/>
      <c r="F748" s="116"/>
      <c r="G748" s="8"/>
      <c r="H748" s="8"/>
      <c r="I748" s="7"/>
      <c r="J748" s="8"/>
      <c r="K748" s="8"/>
      <c r="L748" s="8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116"/>
      <c r="F749" s="116"/>
      <c r="G749" s="8"/>
      <c r="H749" s="8"/>
      <c r="I749" s="7"/>
      <c r="J749" s="8"/>
      <c r="K749" s="8"/>
      <c r="L749" s="8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116"/>
      <c r="F750" s="116"/>
      <c r="G750" s="8"/>
      <c r="H750" s="8"/>
      <c r="I750" s="7"/>
      <c r="J750" s="8"/>
      <c r="K750" s="8"/>
      <c r="L750" s="8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116"/>
      <c r="F751" s="116"/>
      <c r="G751" s="8"/>
      <c r="H751" s="8"/>
      <c r="I751" s="7"/>
      <c r="J751" s="8"/>
      <c r="K751" s="8"/>
      <c r="L751" s="8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116"/>
      <c r="F752" s="116"/>
      <c r="G752" s="8"/>
      <c r="H752" s="8"/>
      <c r="I752" s="7"/>
      <c r="J752" s="8"/>
      <c r="K752" s="8"/>
      <c r="L752" s="8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116"/>
      <c r="F753" s="116"/>
      <c r="G753" s="8"/>
      <c r="H753" s="8"/>
      <c r="I753" s="7"/>
      <c r="J753" s="8"/>
      <c r="K753" s="8"/>
      <c r="L753" s="8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116"/>
      <c r="F754" s="116"/>
      <c r="G754" s="8"/>
      <c r="H754" s="8"/>
      <c r="I754" s="7"/>
      <c r="J754" s="8"/>
      <c r="K754" s="8"/>
      <c r="L754" s="8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116"/>
      <c r="F755" s="116"/>
      <c r="G755" s="8"/>
      <c r="H755" s="8"/>
      <c r="I755" s="7"/>
      <c r="J755" s="8"/>
      <c r="K755" s="8"/>
      <c r="L755" s="8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116"/>
      <c r="F756" s="116"/>
      <c r="G756" s="8"/>
      <c r="H756" s="8"/>
      <c r="I756" s="7"/>
      <c r="J756" s="8"/>
      <c r="K756" s="8"/>
      <c r="L756" s="8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116"/>
      <c r="F757" s="116"/>
      <c r="G757" s="8"/>
      <c r="H757" s="8"/>
      <c r="I757" s="7"/>
      <c r="J757" s="8"/>
      <c r="K757" s="8"/>
      <c r="L757" s="8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116"/>
      <c r="F758" s="116"/>
      <c r="G758" s="8"/>
      <c r="H758" s="8"/>
      <c r="I758" s="7"/>
      <c r="J758" s="8"/>
      <c r="K758" s="8"/>
      <c r="L758" s="8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116"/>
      <c r="F759" s="116"/>
      <c r="G759" s="8"/>
      <c r="H759" s="8"/>
      <c r="I759" s="7"/>
      <c r="J759" s="8"/>
      <c r="K759" s="8"/>
      <c r="L759" s="8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116"/>
      <c r="F760" s="116"/>
      <c r="G760" s="8"/>
      <c r="H760" s="8"/>
      <c r="I760" s="7"/>
      <c r="J760" s="8"/>
      <c r="K760" s="8"/>
      <c r="L760" s="8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116"/>
      <c r="F761" s="116"/>
      <c r="G761" s="8"/>
      <c r="H761" s="8"/>
      <c r="I761" s="7"/>
      <c r="J761" s="8"/>
      <c r="K761" s="8"/>
      <c r="L761" s="8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116"/>
      <c r="F762" s="116"/>
      <c r="G762" s="8"/>
      <c r="H762" s="8"/>
      <c r="I762" s="7"/>
      <c r="J762" s="8"/>
      <c r="K762" s="8"/>
      <c r="L762" s="8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116"/>
      <c r="F763" s="116"/>
      <c r="G763" s="8"/>
      <c r="H763" s="8"/>
      <c r="I763" s="7"/>
      <c r="J763" s="8"/>
      <c r="K763" s="8"/>
      <c r="L763" s="8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116"/>
      <c r="F764" s="116"/>
      <c r="G764" s="8"/>
      <c r="H764" s="8"/>
      <c r="I764" s="7"/>
      <c r="J764" s="8"/>
      <c r="K764" s="8"/>
      <c r="L764" s="8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116"/>
      <c r="F765" s="116"/>
      <c r="G765" s="8"/>
      <c r="H765" s="8"/>
      <c r="I765" s="7"/>
      <c r="J765" s="8"/>
      <c r="K765" s="8"/>
      <c r="L765" s="8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116"/>
      <c r="F766" s="116"/>
      <c r="G766" s="8"/>
      <c r="H766" s="8"/>
      <c r="I766" s="7"/>
      <c r="J766" s="8"/>
      <c r="K766" s="8"/>
      <c r="L766" s="8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116"/>
      <c r="F767" s="116"/>
      <c r="G767" s="8"/>
      <c r="H767" s="8"/>
      <c r="I767" s="7"/>
      <c r="J767" s="8"/>
      <c r="K767" s="8"/>
      <c r="L767" s="8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116"/>
      <c r="F768" s="116"/>
      <c r="G768" s="8"/>
      <c r="H768" s="8"/>
      <c r="I768" s="7"/>
      <c r="J768" s="8"/>
      <c r="K768" s="8"/>
      <c r="L768" s="8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116"/>
      <c r="F769" s="116"/>
      <c r="G769" s="8"/>
      <c r="H769" s="8"/>
      <c r="I769" s="7"/>
      <c r="J769" s="8"/>
      <c r="K769" s="8"/>
      <c r="L769" s="8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116"/>
      <c r="F770" s="116"/>
      <c r="G770" s="8"/>
      <c r="H770" s="8"/>
      <c r="I770" s="7"/>
      <c r="J770" s="8"/>
      <c r="K770" s="8"/>
      <c r="L770" s="8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116"/>
      <c r="F771" s="116"/>
      <c r="G771" s="8"/>
      <c r="H771" s="8"/>
      <c r="I771" s="7"/>
      <c r="J771" s="8"/>
      <c r="K771" s="8"/>
      <c r="L771" s="8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116"/>
      <c r="F772" s="116"/>
      <c r="G772" s="8"/>
      <c r="H772" s="8"/>
      <c r="I772" s="7"/>
      <c r="J772" s="8"/>
      <c r="K772" s="8"/>
      <c r="L772" s="8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116"/>
      <c r="F773" s="116"/>
      <c r="G773" s="8"/>
      <c r="H773" s="8"/>
      <c r="I773" s="7"/>
      <c r="J773" s="8"/>
      <c r="K773" s="8"/>
      <c r="L773" s="8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116"/>
      <c r="F774" s="116"/>
      <c r="G774" s="8"/>
      <c r="H774" s="8"/>
      <c r="I774" s="7"/>
      <c r="J774" s="8"/>
      <c r="K774" s="8"/>
      <c r="L774" s="8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116"/>
      <c r="F775" s="116"/>
      <c r="G775" s="8"/>
      <c r="H775" s="8"/>
      <c r="I775" s="7"/>
      <c r="J775" s="8"/>
      <c r="K775" s="8"/>
      <c r="L775" s="8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116"/>
      <c r="F776" s="116"/>
      <c r="G776" s="8"/>
      <c r="H776" s="8"/>
      <c r="I776" s="7"/>
      <c r="J776" s="8"/>
      <c r="K776" s="8"/>
      <c r="L776" s="8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116"/>
      <c r="F777" s="116"/>
      <c r="G777" s="8"/>
      <c r="H777" s="8"/>
      <c r="I777" s="7"/>
      <c r="J777" s="8"/>
      <c r="K777" s="8"/>
      <c r="L777" s="8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116"/>
      <c r="F778" s="116"/>
      <c r="G778" s="8"/>
      <c r="H778" s="8"/>
      <c r="I778" s="7"/>
      <c r="J778" s="8"/>
      <c r="K778" s="8"/>
      <c r="L778" s="8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116"/>
      <c r="F779" s="116"/>
      <c r="G779" s="8"/>
      <c r="H779" s="8"/>
      <c r="I779" s="7"/>
      <c r="J779" s="8"/>
      <c r="K779" s="8"/>
      <c r="L779" s="8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116"/>
      <c r="F780" s="116"/>
      <c r="G780" s="8"/>
      <c r="H780" s="8"/>
      <c r="I780" s="7"/>
      <c r="J780" s="8"/>
      <c r="K780" s="8"/>
      <c r="L780" s="8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116"/>
      <c r="F781" s="116"/>
      <c r="G781" s="8"/>
      <c r="H781" s="8"/>
      <c r="I781" s="7"/>
      <c r="J781" s="8"/>
      <c r="K781" s="8"/>
      <c r="L781" s="8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116"/>
      <c r="F782" s="116"/>
      <c r="G782" s="8"/>
      <c r="H782" s="8"/>
      <c r="I782" s="7"/>
      <c r="J782" s="8"/>
      <c r="K782" s="8"/>
      <c r="L782" s="8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116"/>
      <c r="F783" s="116"/>
      <c r="G783" s="8"/>
      <c r="H783" s="8"/>
      <c r="I783" s="7"/>
      <c r="J783" s="8"/>
      <c r="K783" s="8"/>
      <c r="L783" s="8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116"/>
      <c r="F784" s="116"/>
      <c r="G784" s="8"/>
      <c r="H784" s="8"/>
      <c r="I784" s="7"/>
      <c r="J784" s="8"/>
      <c r="K784" s="8"/>
      <c r="L784" s="8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116"/>
      <c r="F785" s="116"/>
      <c r="G785" s="8"/>
      <c r="H785" s="8"/>
      <c r="I785" s="7"/>
      <c r="J785" s="8"/>
      <c r="K785" s="8"/>
      <c r="L785" s="8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116"/>
      <c r="F786" s="116"/>
      <c r="G786" s="8"/>
      <c r="H786" s="8"/>
      <c r="I786" s="7"/>
      <c r="J786" s="8"/>
      <c r="K786" s="8"/>
      <c r="L786" s="8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116"/>
      <c r="F787" s="116"/>
      <c r="G787" s="8"/>
      <c r="H787" s="8"/>
      <c r="I787" s="7"/>
      <c r="J787" s="8"/>
      <c r="K787" s="8"/>
      <c r="L787" s="8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116"/>
      <c r="F788" s="116"/>
      <c r="G788" s="8"/>
      <c r="H788" s="8"/>
      <c r="I788" s="7"/>
      <c r="J788" s="8"/>
      <c r="K788" s="8"/>
      <c r="L788" s="8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116"/>
      <c r="F789" s="116"/>
      <c r="G789" s="8"/>
      <c r="H789" s="8"/>
      <c r="I789" s="7"/>
      <c r="J789" s="8"/>
      <c r="K789" s="8"/>
      <c r="L789" s="8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116"/>
      <c r="F790" s="116"/>
      <c r="G790" s="8"/>
      <c r="H790" s="8"/>
      <c r="I790" s="7"/>
      <c r="J790" s="8"/>
      <c r="K790" s="8"/>
      <c r="L790" s="8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116"/>
      <c r="F791" s="116"/>
      <c r="G791" s="8"/>
      <c r="H791" s="8"/>
      <c r="I791" s="7"/>
      <c r="J791" s="8"/>
      <c r="K791" s="8"/>
      <c r="L791" s="8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116"/>
      <c r="F792" s="116"/>
      <c r="G792" s="8"/>
      <c r="H792" s="8"/>
      <c r="I792" s="7"/>
      <c r="J792" s="8"/>
      <c r="K792" s="8"/>
      <c r="L792" s="8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116"/>
      <c r="F793" s="116"/>
      <c r="G793" s="8"/>
      <c r="H793" s="8"/>
      <c r="I793" s="7"/>
      <c r="J793" s="8"/>
      <c r="K793" s="8"/>
      <c r="L793" s="8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116"/>
      <c r="F794" s="116"/>
      <c r="G794" s="8"/>
      <c r="H794" s="8"/>
      <c r="I794" s="7"/>
      <c r="J794" s="8"/>
      <c r="K794" s="8"/>
      <c r="L794" s="8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116"/>
      <c r="F795" s="116"/>
      <c r="G795" s="8"/>
      <c r="H795" s="8"/>
      <c r="I795" s="7"/>
      <c r="J795" s="8"/>
      <c r="K795" s="8"/>
      <c r="L795" s="8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116"/>
      <c r="F796" s="116"/>
      <c r="G796" s="8"/>
      <c r="H796" s="8"/>
      <c r="I796" s="7"/>
      <c r="J796" s="8"/>
      <c r="K796" s="8"/>
      <c r="L796" s="8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116"/>
      <c r="F797" s="116"/>
      <c r="G797" s="8"/>
      <c r="H797" s="8"/>
      <c r="I797" s="7"/>
      <c r="J797" s="8"/>
      <c r="K797" s="8"/>
      <c r="L797" s="8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116"/>
      <c r="F798" s="116"/>
      <c r="G798" s="8"/>
      <c r="H798" s="8"/>
      <c r="I798" s="7"/>
      <c r="J798" s="8"/>
      <c r="K798" s="8"/>
      <c r="L798" s="8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116"/>
      <c r="F799" s="116"/>
      <c r="G799" s="8"/>
      <c r="H799" s="8"/>
      <c r="I799" s="7"/>
      <c r="J799" s="8"/>
      <c r="K799" s="8"/>
      <c r="L799" s="8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116"/>
      <c r="F800" s="116"/>
      <c r="G800" s="8"/>
      <c r="H800" s="8"/>
      <c r="I800" s="7"/>
      <c r="J800" s="8"/>
      <c r="K800" s="8"/>
      <c r="L800" s="8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116"/>
      <c r="F801" s="116"/>
      <c r="G801" s="8"/>
      <c r="H801" s="8"/>
      <c r="I801" s="7"/>
      <c r="J801" s="8"/>
      <c r="K801" s="8"/>
      <c r="L801" s="8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116"/>
      <c r="F802" s="116"/>
      <c r="G802" s="8"/>
      <c r="H802" s="8"/>
      <c r="I802" s="7"/>
      <c r="J802" s="8"/>
      <c r="K802" s="8"/>
      <c r="L802" s="8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116"/>
      <c r="F803" s="116"/>
      <c r="G803" s="8"/>
      <c r="H803" s="8"/>
      <c r="I803" s="7"/>
      <c r="J803" s="8"/>
      <c r="K803" s="8"/>
      <c r="L803" s="8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116"/>
      <c r="F804" s="116"/>
      <c r="G804" s="8"/>
      <c r="H804" s="8"/>
      <c r="I804" s="7"/>
      <c r="J804" s="8"/>
      <c r="K804" s="8"/>
      <c r="L804" s="8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116"/>
      <c r="F805" s="116"/>
      <c r="G805" s="8"/>
      <c r="H805" s="8"/>
      <c r="I805" s="7"/>
      <c r="J805" s="8"/>
      <c r="K805" s="8"/>
      <c r="L805" s="8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116"/>
      <c r="F806" s="116"/>
      <c r="G806" s="8"/>
      <c r="H806" s="8"/>
      <c r="I806" s="7"/>
      <c r="J806" s="8"/>
      <c r="K806" s="8"/>
      <c r="L806" s="8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116"/>
      <c r="F807" s="116"/>
      <c r="G807" s="8"/>
      <c r="H807" s="8"/>
      <c r="I807" s="7"/>
      <c r="J807" s="8"/>
      <c r="K807" s="8"/>
      <c r="L807" s="8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116"/>
      <c r="F808" s="116"/>
      <c r="G808" s="8"/>
      <c r="H808" s="8"/>
      <c r="I808" s="7"/>
      <c r="J808" s="8"/>
      <c r="K808" s="8"/>
      <c r="L808" s="8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116"/>
      <c r="F809" s="116"/>
      <c r="G809" s="8"/>
      <c r="H809" s="8"/>
      <c r="I809" s="7"/>
      <c r="J809" s="8"/>
      <c r="K809" s="8"/>
      <c r="L809" s="8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116"/>
      <c r="F810" s="116"/>
      <c r="G810" s="8"/>
      <c r="H810" s="8"/>
      <c r="I810" s="7"/>
      <c r="J810" s="8"/>
      <c r="K810" s="8"/>
      <c r="L810" s="8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116"/>
      <c r="F811" s="116"/>
      <c r="G811" s="8"/>
      <c r="H811" s="8"/>
      <c r="I811" s="7"/>
      <c r="J811" s="8"/>
      <c r="K811" s="8"/>
      <c r="L811" s="8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116"/>
      <c r="F812" s="116"/>
      <c r="G812" s="8"/>
      <c r="H812" s="8"/>
      <c r="I812" s="7"/>
      <c r="J812" s="8"/>
      <c r="K812" s="8"/>
      <c r="L812" s="8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116"/>
      <c r="F813" s="116"/>
      <c r="G813" s="8"/>
      <c r="H813" s="8"/>
      <c r="I813" s="7"/>
      <c r="J813" s="8"/>
      <c r="K813" s="8"/>
      <c r="L813" s="8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116"/>
      <c r="F814" s="116"/>
      <c r="G814" s="8"/>
      <c r="H814" s="8"/>
      <c r="I814" s="7"/>
      <c r="J814" s="8"/>
      <c r="K814" s="8"/>
      <c r="L814" s="8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116"/>
      <c r="F815" s="116"/>
      <c r="G815" s="8"/>
      <c r="H815" s="8"/>
      <c r="I815" s="7"/>
      <c r="J815" s="8"/>
      <c r="K815" s="8"/>
      <c r="L815" s="8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116"/>
      <c r="F816" s="116"/>
      <c r="G816" s="8"/>
      <c r="H816" s="8"/>
      <c r="I816" s="7"/>
      <c r="J816" s="8"/>
      <c r="K816" s="8"/>
      <c r="L816" s="8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116"/>
      <c r="F817" s="116"/>
      <c r="G817" s="8"/>
      <c r="H817" s="8"/>
      <c r="I817" s="7"/>
      <c r="J817" s="8"/>
      <c r="K817" s="8"/>
      <c r="L817" s="8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116"/>
      <c r="F818" s="116"/>
      <c r="G818" s="8"/>
      <c r="H818" s="8"/>
      <c r="I818" s="7"/>
      <c r="J818" s="8"/>
      <c r="K818" s="8"/>
      <c r="L818" s="8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116"/>
      <c r="F819" s="116"/>
      <c r="G819" s="8"/>
      <c r="H819" s="8"/>
      <c r="I819" s="7"/>
      <c r="J819" s="8"/>
      <c r="K819" s="8"/>
      <c r="L819" s="8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116"/>
      <c r="F820" s="116"/>
      <c r="G820" s="8"/>
      <c r="H820" s="8"/>
      <c r="I820" s="7"/>
      <c r="J820" s="8"/>
      <c r="K820" s="8"/>
      <c r="L820" s="8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116"/>
      <c r="F821" s="116"/>
      <c r="G821" s="8"/>
      <c r="H821" s="8"/>
      <c r="I821" s="7"/>
      <c r="J821" s="8"/>
      <c r="K821" s="8"/>
      <c r="L821" s="8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116"/>
      <c r="F822" s="116"/>
      <c r="G822" s="8"/>
      <c r="H822" s="8"/>
      <c r="I822" s="7"/>
      <c r="J822" s="8"/>
      <c r="K822" s="8"/>
      <c r="L822" s="8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116"/>
      <c r="F823" s="116"/>
      <c r="G823" s="8"/>
      <c r="H823" s="8"/>
      <c r="I823" s="7"/>
      <c r="J823" s="8"/>
      <c r="K823" s="8"/>
      <c r="L823" s="8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116"/>
      <c r="F824" s="116"/>
      <c r="G824" s="8"/>
      <c r="H824" s="8"/>
      <c r="I824" s="7"/>
      <c r="J824" s="8"/>
      <c r="K824" s="8"/>
      <c r="L824" s="8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116"/>
      <c r="F825" s="116"/>
      <c r="G825" s="8"/>
      <c r="H825" s="8"/>
      <c r="I825" s="7"/>
      <c r="J825" s="8"/>
      <c r="K825" s="8"/>
      <c r="L825" s="8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116"/>
      <c r="F826" s="116"/>
      <c r="G826" s="8"/>
      <c r="H826" s="8"/>
      <c r="I826" s="7"/>
      <c r="J826" s="8"/>
      <c r="K826" s="8"/>
      <c r="L826" s="8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116"/>
      <c r="F827" s="116"/>
      <c r="G827" s="8"/>
      <c r="H827" s="8"/>
      <c r="I827" s="7"/>
      <c r="J827" s="8"/>
      <c r="K827" s="8"/>
      <c r="L827" s="8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116"/>
      <c r="F828" s="116"/>
      <c r="G828" s="8"/>
      <c r="H828" s="8"/>
      <c r="I828" s="7"/>
      <c r="J828" s="8"/>
      <c r="K828" s="8"/>
      <c r="L828" s="8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116"/>
      <c r="F829" s="116"/>
      <c r="G829" s="8"/>
      <c r="H829" s="8"/>
      <c r="I829" s="7"/>
      <c r="J829" s="8"/>
      <c r="K829" s="8"/>
      <c r="L829" s="8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116"/>
      <c r="F830" s="116"/>
      <c r="G830" s="8"/>
      <c r="H830" s="8"/>
      <c r="I830" s="7"/>
      <c r="J830" s="8"/>
      <c r="K830" s="8"/>
      <c r="L830" s="8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116"/>
      <c r="F831" s="116"/>
      <c r="G831" s="8"/>
      <c r="H831" s="8"/>
      <c r="I831" s="7"/>
      <c r="J831" s="8"/>
      <c r="K831" s="8"/>
      <c r="L831" s="8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116"/>
      <c r="F832" s="116"/>
      <c r="G832" s="8"/>
      <c r="H832" s="8"/>
      <c r="I832" s="7"/>
      <c r="J832" s="8"/>
      <c r="K832" s="8"/>
      <c r="L832" s="8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116"/>
      <c r="F833" s="116"/>
      <c r="G833" s="8"/>
      <c r="H833" s="8"/>
      <c r="I833" s="7"/>
      <c r="J833" s="8"/>
      <c r="K833" s="8"/>
      <c r="L833" s="8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116"/>
      <c r="F834" s="116"/>
      <c r="G834" s="8"/>
      <c r="H834" s="8"/>
      <c r="I834" s="7"/>
      <c r="J834" s="8"/>
      <c r="K834" s="8"/>
      <c r="L834" s="8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116"/>
      <c r="F835" s="116"/>
      <c r="G835" s="8"/>
      <c r="H835" s="8"/>
      <c r="I835" s="7"/>
      <c r="J835" s="8"/>
      <c r="K835" s="8"/>
      <c r="L835" s="8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116"/>
      <c r="F836" s="116"/>
      <c r="G836" s="8"/>
      <c r="H836" s="8"/>
      <c r="I836" s="7"/>
      <c r="J836" s="8"/>
      <c r="K836" s="8"/>
      <c r="L836" s="8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116"/>
      <c r="F837" s="116"/>
      <c r="G837" s="8"/>
      <c r="H837" s="8"/>
      <c r="I837" s="7"/>
      <c r="J837" s="8"/>
      <c r="K837" s="8"/>
      <c r="L837" s="8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116"/>
      <c r="F838" s="116"/>
      <c r="G838" s="8"/>
      <c r="H838" s="8"/>
      <c r="I838" s="7"/>
      <c r="J838" s="8"/>
      <c r="K838" s="8"/>
      <c r="L838" s="8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116"/>
      <c r="F839" s="116"/>
      <c r="G839" s="8"/>
      <c r="H839" s="8"/>
      <c r="I839" s="7"/>
      <c r="J839" s="8"/>
      <c r="K839" s="8"/>
      <c r="L839" s="8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116"/>
      <c r="F840" s="116"/>
      <c r="G840" s="8"/>
      <c r="H840" s="8"/>
      <c r="I840" s="7"/>
      <c r="J840" s="8"/>
      <c r="K840" s="8"/>
      <c r="L840" s="8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116"/>
      <c r="F841" s="116"/>
      <c r="G841" s="8"/>
      <c r="H841" s="8"/>
      <c r="I841" s="7"/>
      <c r="J841" s="8"/>
      <c r="K841" s="8"/>
      <c r="L841" s="8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116"/>
      <c r="F842" s="116"/>
      <c r="G842" s="8"/>
      <c r="H842" s="8"/>
      <c r="I842" s="7"/>
      <c r="J842" s="8"/>
      <c r="K842" s="8"/>
      <c r="L842" s="8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116"/>
      <c r="F843" s="116"/>
      <c r="G843" s="8"/>
      <c r="H843" s="8"/>
      <c r="I843" s="7"/>
      <c r="J843" s="8"/>
      <c r="K843" s="8"/>
      <c r="L843" s="8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116"/>
      <c r="F844" s="116"/>
      <c r="G844" s="8"/>
      <c r="H844" s="8"/>
      <c r="I844" s="7"/>
      <c r="J844" s="8"/>
      <c r="K844" s="8"/>
      <c r="L844" s="8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116"/>
      <c r="F845" s="116"/>
      <c r="G845" s="8"/>
      <c r="H845" s="8"/>
      <c r="I845" s="7"/>
      <c r="J845" s="8"/>
      <c r="K845" s="8"/>
      <c r="L845" s="8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116"/>
      <c r="F846" s="116"/>
      <c r="G846" s="8"/>
      <c r="H846" s="8"/>
      <c r="I846" s="7"/>
      <c r="J846" s="8"/>
      <c r="K846" s="8"/>
      <c r="L846" s="8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116"/>
      <c r="F847" s="116"/>
      <c r="G847" s="8"/>
      <c r="H847" s="8"/>
      <c r="I847" s="7"/>
      <c r="J847" s="8"/>
      <c r="K847" s="8"/>
      <c r="L847" s="8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116"/>
      <c r="F848" s="116"/>
      <c r="G848" s="8"/>
      <c r="H848" s="8"/>
      <c r="I848" s="7"/>
      <c r="J848" s="8"/>
      <c r="K848" s="8"/>
      <c r="L848" s="8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116"/>
      <c r="F849" s="116"/>
      <c r="G849" s="8"/>
      <c r="H849" s="8"/>
      <c r="I849" s="7"/>
      <c r="J849" s="8"/>
      <c r="K849" s="8"/>
      <c r="L849" s="8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116"/>
      <c r="F850" s="116"/>
      <c r="G850" s="8"/>
      <c r="H850" s="8"/>
      <c r="I850" s="7"/>
      <c r="J850" s="8"/>
      <c r="K850" s="8"/>
      <c r="L850" s="8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116"/>
      <c r="F851" s="116"/>
      <c r="G851" s="8"/>
      <c r="H851" s="8"/>
      <c r="I851" s="7"/>
      <c r="J851" s="8"/>
      <c r="K851" s="8"/>
      <c r="L851" s="8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116"/>
      <c r="F852" s="116"/>
      <c r="G852" s="8"/>
      <c r="H852" s="8"/>
      <c r="I852" s="7"/>
      <c r="J852" s="8"/>
      <c r="K852" s="8"/>
      <c r="L852" s="8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116"/>
      <c r="F853" s="116"/>
      <c r="G853" s="8"/>
      <c r="H853" s="8"/>
      <c r="I853" s="7"/>
      <c r="J853" s="8"/>
      <c r="K853" s="8"/>
      <c r="L853" s="8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116"/>
      <c r="F854" s="116"/>
      <c r="G854" s="8"/>
      <c r="H854" s="8"/>
      <c r="I854" s="7"/>
      <c r="J854" s="8"/>
      <c r="K854" s="8"/>
      <c r="L854" s="8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116"/>
      <c r="F855" s="116"/>
      <c r="G855" s="8"/>
      <c r="H855" s="8"/>
      <c r="I855" s="7"/>
      <c r="J855" s="8"/>
      <c r="K855" s="8"/>
      <c r="L855" s="8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116"/>
      <c r="F856" s="116"/>
      <c r="G856" s="8"/>
      <c r="H856" s="8"/>
      <c r="I856" s="7"/>
      <c r="J856" s="8"/>
      <c r="K856" s="8"/>
      <c r="L856" s="8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116"/>
      <c r="F857" s="116"/>
      <c r="G857" s="8"/>
      <c r="H857" s="8"/>
      <c r="I857" s="7"/>
      <c r="J857" s="8"/>
      <c r="K857" s="8"/>
      <c r="L857" s="8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116"/>
      <c r="F858" s="116"/>
      <c r="G858" s="8"/>
      <c r="H858" s="8"/>
      <c r="I858" s="7"/>
      <c r="J858" s="8"/>
      <c r="K858" s="8"/>
      <c r="L858" s="8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116"/>
      <c r="F859" s="116"/>
      <c r="G859" s="8"/>
      <c r="H859" s="8"/>
      <c r="I859" s="7"/>
      <c r="J859" s="8"/>
      <c r="K859" s="8"/>
      <c r="L859" s="8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116"/>
      <c r="F860" s="116"/>
      <c r="G860" s="8"/>
      <c r="H860" s="8"/>
      <c r="I860" s="7"/>
      <c r="J860" s="8"/>
      <c r="K860" s="8"/>
      <c r="L860" s="8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116"/>
      <c r="F861" s="116"/>
      <c r="G861" s="8"/>
      <c r="H861" s="8"/>
      <c r="I861" s="7"/>
      <c r="J861" s="8"/>
      <c r="K861" s="8"/>
      <c r="L861" s="8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116"/>
      <c r="F862" s="116"/>
      <c r="G862" s="8"/>
      <c r="H862" s="8"/>
      <c r="I862" s="7"/>
      <c r="J862" s="8"/>
      <c r="K862" s="8"/>
      <c r="L862" s="8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116"/>
      <c r="F863" s="116"/>
      <c r="G863" s="8"/>
      <c r="H863" s="8"/>
      <c r="I863" s="7"/>
      <c r="J863" s="8"/>
      <c r="K863" s="8"/>
      <c r="L863" s="8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116"/>
      <c r="F864" s="116"/>
      <c r="G864" s="8"/>
      <c r="H864" s="8"/>
      <c r="I864" s="7"/>
      <c r="J864" s="8"/>
      <c r="K864" s="8"/>
      <c r="L864" s="8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116"/>
      <c r="F865" s="116"/>
      <c r="G865" s="8"/>
      <c r="H865" s="8"/>
      <c r="I865" s="7"/>
      <c r="J865" s="8"/>
      <c r="K865" s="8"/>
      <c r="L865" s="8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116"/>
      <c r="F866" s="116"/>
      <c r="G866" s="8"/>
      <c r="H866" s="8"/>
      <c r="I866" s="7"/>
      <c r="J866" s="8"/>
      <c r="K866" s="8"/>
      <c r="L866" s="8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116"/>
      <c r="F867" s="116"/>
      <c r="G867" s="8"/>
      <c r="H867" s="8"/>
      <c r="I867" s="7"/>
      <c r="J867" s="8"/>
      <c r="K867" s="8"/>
      <c r="L867" s="8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116"/>
      <c r="F868" s="116"/>
      <c r="G868" s="8"/>
      <c r="H868" s="8"/>
      <c r="I868" s="7"/>
      <c r="J868" s="8"/>
      <c r="K868" s="8"/>
      <c r="L868" s="8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116"/>
      <c r="F869" s="116"/>
      <c r="G869" s="8"/>
      <c r="H869" s="8"/>
      <c r="I869" s="7"/>
      <c r="J869" s="8"/>
      <c r="K869" s="8"/>
      <c r="L869" s="8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116"/>
      <c r="F870" s="116"/>
      <c r="G870" s="8"/>
      <c r="H870" s="8"/>
      <c r="I870" s="7"/>
      <c r="J870" s="8"/>
      <c r="K870" s="8"/>
      <c r="L870" s="8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116"/>
      <c r="F871" s="116"/>
      <c r="G871" s="8"/>
      <c r="H871" s="8"/>
      <c r="I871" s="7"/>
      <c r="J871" s="8"/>
      <c r="K871" s="8"/>
      <c r="L871" s="8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116"/>
      <c r="F872" s="116"/>
      <c r="G872" s="8"/>
      <c r="H872" s="8"/>
      <c r="I872" s="7"/>
      <c r="J872" s="8"/>
      <c r="K872" s="8"/>
      <c r="L872" s="8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116"/>
      <c r="F873" s="116"/>
      <c r="G873" s="8"/>
      <c r="H873" s="8"/>
      <c r="I873" s="7"/>
      <c r="J873" s="8"/>
      <c r="K873" s="8"/>
      <c r="L873" s="8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116"/>
      <c r="F874" s="116"/>
      <c r="G874" s="8"/>
      <c r="H874" s="8"/>
      <c r="I874" s="7"/>
      <c r="J874" s="8"/>
      <c r="K874" s="8"/>
      <c r="L874" s="8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116"/>
      <c r="F875" s="116"/>
      <c r="G875" s="8"/>
      <c r="H875" s="8"/>
      <c r="I875" s="7"/>
      <c r="J875" s="8"/>
      <c r="K875" s="8"/>
      <c r="L875" s="8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116"/>
      <c r="F876" s="116"/>
      <c r="G876" s="8"/>
      <c r="H876" s="8"/>
      <c r="I876" s="7"/>
      <c r="J876" s="8"/>
      <c r="K876" s="8"/>
      <c r="L876" s="8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116"/>
      <c r="F877" s="116"/>
      <c r="G877" s="8"/>
      <c r="H877" s="8"/>
      <c r="I877" s="7"/>
      <c r="J877" s="8"/>
      <c r="K877" s="8"/>
      <c r="L877" s="8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116"/>
      <c r="F878" s="116"/>
      <c r="G878" s="8"/>
      <c r="H878" s="8"/>
      <c r="I878" s="7"/>
      <c r="J878" s="8"/>
      <c r="K878" s="8"/>
      <c r="L878" s="8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116"/>
      <c r="F879" s="116"/>
      <c r="G879" s="8"/>
      <c r="H879" s="8"/>
      <c r="I879" s="7"/>
      <c r="J879" s="8"/>
      <c r="K879" s="8"/>
      <c r="L879" s="8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116"/>
      <c r="F880" s="116"/>
      <c r="G880" s="8"/>
      <c r="H880" s="8"/>
      <c r="I880" s="7"/>
      <c r="J880" s="8"/>
      <c r="K880" s="8"/>
      <c r="L880" s="8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116"/>
      <c r="F881" s="116"/>
      <c r="G881" s="8"/>
      <c r="H881" s="8"/>
      <c r="I881" s="7"/>
      <c r="J881" s="8"/>
      <c r="K881" s="8"/>
      <c r="L881" s="8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116"/>
      <c r="F882" s="116"/>
      <c r="G882" s="8"/>
      <c r="H882" s="8"/>
      <c r="I882" s="7"/>
      <c r="J882" s="8"/>
      <c r="K882" s="8"/>
      <c r="L882" s="8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116"/>
      <c r="F883" s="116"/>
      <c r="G883" s="8"/>
      <c r="H883" s="8"/>
      <c r="I883" s="7"/>
      <c r="J883" s="8"/>
      <c r="K883" s="8"/>
      <c r="L883" s="8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116"/>
      <c r="F884" s="116"/>
      <c r="G884" s="8"/>
      <c r="H884" s="8"/>
      <c r="I884" s="7"/>
      <c r="J884" s="8"/>
      <c r="K884" s="8"/>
      <c r="L884" s="8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116"/>
      <c r="F885" s="116"/>
      <c r="G885" s="8"/>
      <c r="H885" s="8"/>
      <c r="I885" s="7"/>
      <c r="J885" s="8"/>
      <c r="K885" s="8"/>
      <c r="L885" s="8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116"/>
      <c r="F886" s="116"/>
      <c r="G886" s="8"/>
      <c r="H886" s="8"/>
      <c r="I886" s="7"/>
      <c r="J886" s="8"/>
      <c r="K886" s="8"/>
      <c r="L886" s="8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116"/>
      <c r="F887" s="116"/>
      <c r="G887" s="8"/>
      <c r="H887" s="8"/>
      <c r="I887" s="7"/>
      <c r="J887" s="8"/>
      <c r="K887" s="8"/>
      <c r="L887" s="8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116"/>
      <c r="F888" s="116"/>
      <c r="G888" s="8"/>
      <c r="H888" s="8"/>
      <c r="I888" s="7"/>
      <c r="J888" s="8"/>
      <c r="K888" s="8"/>
      <c r="L888" s="8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116"/>
      <c r="F889" s="116"/>
      <c r="G889" s="8"/>
      <c r="H889" s="8"/>
      <c r="I889" s="7"/>
      <c r="J889" s="8"/>
      <c r="K889" s="8"/>
      <c r="L889" s="8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116"/>
      <c r="F890" s="116"/>
      <c r="G890" s="8"/>
      <c r="H890" s="8"/>
      <c r="I890" s="7"/>
      <c r="J890" s="8"/>
      <c r="K890" s="8"/>
      <c r="L890" s="8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116"/>
      <c r="F891" s="116"/>
      <c r="G891" s="8"/>
      <c r="H891" s="8"/>
      <c r="I891" s="7"/>
      <c r="J891" s="8"/>
      <c r="K891" s="8"/>
      <c r="L891" s="8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116"/>
      <c r="F892" s="116"/>
      <c r="G892" s="8"/>
      <c r="H892" s="8"/>
      <c r="I892" s="7"/>
      <c r="J892" s="8"/>
      <c r="K892" s="8"/>
      <c r="L892" s="8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116"/>
      <c r="F893" s="116"/>
      <c r="G893" s="8"/>
      <c r="H893" s="8"/>
      <c r="I893" s="7"/>
      <c r="J893" s="8"/>
      <c r="K893" s="8"/>
      <c r="L893" s="8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116"/>
      <c r="F894" s="116"/>
      <c r="G894" s="8"/>
      <c r="H894" s="8"/>
      <c r="I894" s="7"/>
      <c r="J894" s="8"/>
      <c r="K894" s="8"/>
      <c r="L894" s="8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116"/>
      <c r="F895" s="116"/>
      <c r="G895" s="8"/>
      <c r="H895" s="8"/>
      <c r="I895" s="7"/>
      <c r="J895" s="8"/>
      <c r="K895" s="8"/>
      <c r="L895" s="8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116"/>
      <c r="F896" s="116"/>
      <c r="G896" s="8"/>
      <c r="H896" s="8"/>
      <c r="I896" s="7"/>
      <c r="J896" s="8"/>
      <c r="K896" s="8"/>
      <c r="L896" s="8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116"/>
      <c r="F897" s="116"/>
      <c r="G897" s="8"/>
      <c r="H897" s="8"/>
      <c r="I897" s="7"/>
      <c r="J897" s="8"/>
      <c r="K897" s="8"/>
      <c r="L897" s="8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116"/>
      <c r="F898" s="116"/>
      <c r="G898" s="8"/>
      <c r="H898" s="8"/>
      <c r="I898" s="7"/>
      <c r="J898" s="8"/>
      <c r="K898" s="8"/>
      <c r="L898" s="8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116"/>
      <c r="F899" s="116"/>
      <c r="G899" s="8"/>
      <c r="H899" s="8"/>
      <c r="I899" s="7"/>
      <c r="J899" s="8"/>
      <c r="K899" s="8"/>
      <c r="L899" s="8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116"/>
      <c r="F900" s="116"/>
      <c r="G900" s="8"/>
      <c r="H900" s="8"/>
      <c r="I900" s="7"/>
      <c r="J900" s="8"/>
      <c r="K900" s="8"/>
      <c r="L900" s="8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116"/>
      <c r="F901" s="116"/>
      <c r="G901" s="8"/>
      <c r="H901" s="8"/>
      <c r="I901" s="7"/>
      <c r="J901" s="8"/>
      <c r="K901" s="8"/>
      <c r="L901" s="8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116"/>
      <c r="F902" s="116"/>
      <c r="G902" s="8"/>
      <c r="H902" s="8"/>
      <c r="I902" s="7"/>
      <c r="J902" s="8"/>
      <c r="K902" s="8"/>
      <c r="L902" s="8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116"/>
      <c r="F903" s="116"/>
      <c r="G903" s="8"/>
      <c r="H903" s="8"/>
      <c r="I903" s="7"/>
      <c r="J903" s="8"/>
      <c r="K903" s="8"/>
      <c r="L903" s="8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116"/>
      <c r="F904" s="116"/>
      <c r="G904" s="8"/>
      <c r="H904" s="8"/>
      <c r="I904" s="7"/>
      <c r="J904" s="8"/>
      <c r="K904" s="8"/>
      <c r="L904" s="8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116"/>
      <c r="F905" s="116"/>
      <c r="G905" s="8"/>
      <c r="H905" s="8"/>
      <c r="I905" s="7"/>
      <c r="J905" s="8"/>
      <c r="K905" s="8"/>
      <c r="L905" s="8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116"/>
      <c r="F906" s="116"/>
      <c r="G906" s="8"/>
      <c r="H906" s="8"/>
      <c r="I906" s="7"/>
      <c r="J906" s="8"/>
      <c r="K906" s="8"/>
      <c r="L906" s="8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116"/>
      <c r="F907" s="116"/>
      <c r="G907" s="8"/>
      <c r="H907" s="8"/>
      <c r="I907" s="7"/>
      <c r="J907" s="8"/>
      <c r="K907" s="8"/>
      <c r="L907" s="8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116"/>
      <c r="F908" s="116"/>
      <c r="G908" s="8"/>
      <c r="H908" s="8"/>
      <c r="I908" s="7"/>
      <c r="J908" s="8"/>
      <c r="K908" s="8"/>
      <c r="L908" s="8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116"/>
      <c r="F909" s="116"/>
      <c r="G909" s="8"/>
      <c r="H909" s="8"/>
      <c r="I909" s="7"/>
      <c r="J909" s="8"/>
      <c r="K909" s="8"/>
      <c r="L909" s="8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116"/>
      <c r="F910" s="116"/>
      <c r="G910" s="8"/>
      <c r="H910" s="8"/>
      <c r="I910" s="7"/>
      <c r="J910" s="8"/>
      <c r="K910" s="8"/>
      <c r="L910" s="8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116"/>
      <c r="F911" s="116"/>
      <c r="G911" s="8"/>
      <c r="H911" s="8"/>
      <c r="I911" s="7"/>
      <c r="J911" s="8"/>
      <c r="K911" s="8"/>
      <c r="L911" s="8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116"/>
      <c r="F912" s="116"/>
      <c r="G912" s="8"/>
      <c r="H912" s="8"/>
      <c r="I912" s="7"/>
      <c r="J912" s="8"/>
      <c r="K912" s="8"/>
      <c r="L912" s="8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116"/>
      <c r="F913" s="116"/>
      <c r="G913" s="8"/>
      <c r="H913" s="8"/>
      <c r="I913" s="7"/>
      <c r="J913" s="8"/>
      <c r="K913" s="8"/>
      <c r="L913" s="8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116"/>
      <c r="F914" s="116"/>
      <c r="G914" s="8"/>
      <c r="H914" s="8"/>
      <c r="I914" s="7"/>
      <c r="J914" s="8"/>
      <c r="K914" s="8"/>
      <c r="L914" s="8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116"/>
      <c r="F915" s="116"/>
      <c r="G915" s="8"/>
      <c r="H915" s="8"/>
      <c r="I915" s="7"/>
      <c r="J915" s="8"/>
      <c r="K915" s="8"/>
      <c r="L915" s="8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116"/>
      <c r="F916" s="116"/>
      <c r="G916" s="8"/>
      <c r="H916" s="8"/>
      <c r="I916" s="7"/>
      <c r="J916" s="8"/>
      <c r="K916" s="8"/>
      <c r="L916" s="8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116"/>
      <c r="F917" s="116"/>
      <c r="G917" s="8"/>
      <c r="H917" s="8"/>
      <c r="I917" s="7"/>
      <c r="J917" s="8"/>
      <c r="K917" s="8"/>
      <c r="L917" s="8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116"/>
      <c r="F918" s="116"/>
      <c r="G918" s="8"/>
      <c r="H918" s="8"/>
      <c r="I918" s="7"/>
      <c r="J918" s="8"/>
      <c r="K918" s="8"/>
      <c r="L918" s="8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116"/>
      <c r="F919" s="116"/>
      <c r="G919" s="8"/>
      <c r="H919" s="8"/>
      <c r="I919" s="7"/>
      <c r="J919" s="8"/>
      <c r="K919" s="8"/>
      <c r="L919" s="8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116"/>
      <c r="F920" s="116"/>
      <c r="G920" s="8"/>
      <c r="H920" s="8"/>
      <c r="I920" s="7"/>
      <c r="J920" s="8"/>
      <c r="K920" s="8"/>
      <c r="L920" s="8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116"/>
      <c r="F921" s="116"/>
      <c r="G921" s="8"/>
      <c r="H921" s="8"/>
      <c r="I921" s="7"/>
      <c r="J921" s="8"/>
      <c r="K921" s="8"/>
      <c r="L921" s="8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116"/>
      <c r="F922" s="116"/>
      <c r="G922" s="8"/>
      <c r="H922" s="8"/>
      <c r="I922" s="7"/>
      <c r="J922" s="8"/>
      <c r="K922" s="8"/>
      <c r="L922" s="8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116"/>
      <c r="F923" s="116"/>
      <c r="G923" s="8"/>
      <c r="H923" s="8"/>
      <c r="I923" s="7"/>
      <c r="J923" s="8"/>
      <c r="K923" s="8"/>
      <c r="L923" s="8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116"/>
      <c r="F924" s="116"/>
      <c r="G924" s="8"/>
      <c r="H924" s="8"/>
      <c r="I924" s="7"/>
      <c r="J924" s="8"/>
      <c r="K924" s="8"/>
      <c r="L924" s="8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116"/>
      <c r="F925" s="116"/>
      <c r="G925" s="8"/>
      <c r="H925" s="8"/>
      <c r="I925" s="7"/>
      <c r="J925" s="8"/>
      <c r="K925" s="8"/>
      <c r="L925" s="8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116"/>
      <c r="F926" s="116"/>
      <c r="G926" s="8"/>
      <c r="H926" s="8"/>
      <c r="I926" s="7"/>
      <c r="J926" s="8"/>
      <c r="K926" s="8"/>
      <c r="L926" s="8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116"/>
      <c r="F927" s="116"/>
      <c r="G927" s="8"/>
      <c r="H927" s="8"/>
      <c r="I927" s="7"/>
      <c r="J927" s="8"/>
      <c r="K927" s="8"/>
      <c r="L927" s="8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116"/>
      <c r="F928" s="116"/>
      <c r="G928" s="8"/>
      <c r="H928" s="8"/>
      <c r="I928" s="7"/>
      <c r="J928" s="8"/>
      <c r="K928" s="8"/>
      <c r="L928" s="8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116"/>
      <c r="F929" s="116"/>
      <c r="G929" s="8"/>
      <c r="H929" s="8"/>
      <c r="I929" s="7"/>
      <c r="J929" s="8"/>
      <c r="K929" s="8"/>
      <c r="L929" s="8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116"/>
      <c r="F930" s="116"/>
      <c r="G930" s="8"/>
      <c r="H930" s="8"/>
      <c r="I930" s="7"/>
      <c r="J930" s="8"/>
      <c r="K930" s="8"/>
      <c r="L930" s="8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116"/>
      <c r="F931" s="116"/>
      <c r="G931" s="8"/>
      <c r="H931" s="8"/>
      <c r="I931" s="7"/>
      <c r="J931" s="8"/>
      <c r="K931" s="8"/>
      <c r="L931" s="8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116"/>
      <c r="F932" s="116"/>
      <c r="G932" s="8"/>
      <c r="H932" s="8"/>
      <c r="I932" s="7"/>
      <c r="J932" s="8"/>
      <c r="K932" s="8"/>
      <c r="L932" s="8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116"/>
      <c r="F933" s="116"/>
      <c r="G933" s="8"/>
      <c r="H933" s="8"/>
      <c r="I933" s="7"/>
      <c r="J933" s="8"/>
      <c r="K933" s="8"/>
      <c r="L933" s="8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116"/>
      <c r="F934" s="116"/>
      <c r="G934" s="8"/>
      <c r="H934" s="8"/>
      <c r="I934" s="7"/>
      <c r="J934" s="8"/>
      <c r="K934" s="8"/>
      <c r="L934" s="8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116"/>
      <c r="F935" s="116"/>
      <c r="G935" s="8"/>
      <c r="H935" s="8"/>
      <c r="I935" s="7"/>
      <c r="J935" s="8"/>
      <c r="K935" s="8"/>
      <c r="L935" s="8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116"/>
      <c r="F936" s="116"/>
      <c r="G936" s="8"/>
      <c r="H936" s="8"/>
      <c r="I936" s="7"/>
      <c r="J936" s="8"/>
      <c r="K936" s="8"/>
      <c r="L936" s="8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116"/>
      <c r="F937" s="116"/>
      <c r="G937" s="8"/>
      <c r="H937" s="8"/>
      <c r="I937" s="7"/>
      <c r="J937" s="8"/>
      <c r="K937" s="8"/>
      <c r="L937" s="8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116"/>
      <c r="F938" s="116"/>
      <c r="G938" s="8"/>
      <c r="H938" s="8"/>
      <c r="I938" s="7"/>
      <c r="J938" s="8"/>
      <c r="K938" s="8"/>
      <c r="L938" s="8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116"/>
      <c r="F939" s="116"/>
      <c r="G939" s="8"/>
      <c r="H939" s="8"/>
      <c r="I939" s="7"/>
      <c r="J939" s="8"/>
      <c r="K939" s="8"/>
      <c r="L939" s="8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116"/>
      <c r="F940" s="116"/>
      <c r="G940" s="8"/>
      <c r="H940" s="8"/>
      <c r="I940" s="7"/>
      <c r="J940" s="8"/>
      <c r="K940" s="8"/>
      <c r="L940" s="8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116"/>
      <c r="F941" s="116"/>
      <c r="G941" s="8"/>
      <c r="H941" s="8"/>
      <c r="I941" s="7"/>
      <c r="J941" s="8"/>
      <c r="K941" s="8"/>
      <c r="L941" s="8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116"/>
      <c r="F942" s="116"/>
      <c r="G942" s="8"/>
      <c r="H942" s="8"/>
      <c r="I942" s="7"/>
      <c r="J942" s="8"/>
      <c r="K942" s="8"/>
      <c r="L942" s="8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116"/>
      <c r="F943" s="116"/>
      <c r="G943" s="8"/>
      <c r="H943" s="8"/>
      <c r="I943" s="7"/>
      <c r="J943" s="8"/>
      <c r="K943" s="8"/>
      <c r="L943" s="8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116"/>
      <c r="F944" s="116"/>
      <c r="G944" s="8"/>
      <c r="H944" s="8"/>
      <c r="I944" s="7"/>
      <c r="J944" s="8"/>
      <c r="K944" s="8"/>
      <c r="L944" s="8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116"/>
      <c r="F945" s="116"/>
      <c r="G945" s="8"/>
      <c r="H945" s="8"/>
      <c r="I945" s="7"/>
      <c r="J945" s="8"/>
      <c r="K945" s="8"/>
      <c r="L945" s="8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116"/>
      <c r="F946" s="116"/>
      <c r="G946" s="8"/>
      <c r="H946" s="8"/>
      <c r="I946" s="7"/>
      <c r="J946" s="8"/>
      <c r="K946" s="8"/>
      <c r="L946" s="8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116"/>
      <c r="F947" s="116"/>
      <c r="G947" s="8"/>
      <c r="H947" s="8"/>
      <c r="I947" s="7"/>
      <c r="J947" s="8"/>
      <c r="K947" s="8"/>
      <c r="L947" s="8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116"/>
      <c r="F948" s="116"/>
      <c r="G948" s="8"/>
      <c r="H948" s="8"/>
      <c r="I948" s="7"/>
      <c r="J948" s="8"/>
      <c r="K948" s="8"/>
      <c r="L948" s="8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116"/>
      <c r="F949" s="116"/>
      <c r="G949" s="8"/>
      <c r="H949" s="8"/>
      <c r="I949" s="7"/>
      <c r="J949" s="8"/>
      <c r="K949" s="8"/>
      <c r="L949" s="8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116"/>
      <c r="F950" s="116"/>
      <c r="G950" s="8"/>
      <c r="H950" s="8"/>
      <c r="I950" s="7"/>
      <c r="J950" s="8"/>
      <c r="K950" s="8"/>
      <c r="L950" s="8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116"/>
      <c r="F951" s="116"/>
      <c r="G951" s="8"/>
      <c r="H951" s="8"/>
      <c r="I951" s="7"/>
      <c r="J951" s="8"/>
      <c r="K951" s="8"/>
      <c r="L951" s="8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116"/>
      <c r="F952" s="116"/>
      <c r="G952" s="8"/>
      <c r="H952" s="8"/>
      <c r="I952" s="7"/>
      <c r="J952" s="8"/>
      <c r="K952" s="8"/>
      <c r="L952" s="8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116"/>
      <c r="F953" s="116"/>
      <c r="G953" s="8"/>
      <c r="H953" s="8"/>
      <c r="I953" s="7"/>
      <c r="J953" s="8"/>
      <c r="K953" s="8"/>
      <c r="L953" s="8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116"/>
      <c r="F954" s="116"/>
      <c r="G954" s="8"/>
      <c r="H954" s="8"/>
      <c r="I954" s="7"/>
      <c r="J954" s="8"/>
      <c r="K954" s="8"/>
      <c r="L954" s="8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116"/>
      <c r="F955" s="116"/>
      <c r="G955" s="8"/>
      <c r="H955" s="8"/>
      <c r="I955" s="7"/>
      <c r="J955" s="8"/>
      <c r="K955" s="8"/>
      <c r="L955" s="8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116"/>
      <c r="F956" s="116"/>
      <c r="G956" s="8"/>
      <c r="H956" s="8"/>
      <c r="I956" s="7"/>
      <c r="J956" s="8"/>
      <c r="K956" s="8"/>
      <c r="L956" s="8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116"/>
      <c r="F957" s="116"/>
      <c r="G957" s="8"/>
      <c r="H957" s="8"/>
      <c r="I957" s="7"/>
      <c r="J957" s="8"/>
      <c r="K957" s="8"/>
      <c r="L957" s="8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116"/>
      <c r="F958" s="116"/>
      <c r="G958" s="8"/>
      <c r="H958" s="8"/>
      <c r="I958" s="7"/>
      <c r="J958" s="8"/>
      <c r="K958" s="8"/>
      <c r="L958" s="8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116"/>
      <c r="F959" s="116"/>
      <c r="G959" s="8"/>
      <c r="H959" s="8"/>
      <c r="I959" s="7"/>
      <c r="J959" s="8"/>
      <c r="K959" s="8"/>
      <c r="L959" s="8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116"/>
      <c r="F960" s="116"/>
      <c r="G960" s="8"/>
      <c r="H960" s="8"/>
      <c r="I960" s="7"/>
      <c r="J960" s="8"/>
      <c r="K960" s="8"/>
      <c r="L960" s="8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116"/>
      <c r="F961" s="116"/>
      <c r="G961" s="8"/>
      <c r="H961" s="8"/>
      <c r="I961" s="7"/>
      <c r="J961" s="8"/>
      <c r="K961" s="8"/>
      <c r="L961" s="8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116"/>
      <c r="F962" s="116"/>
      <c r="G962" s="8"/>
      <c r="H962" s="8"/>
      <c r="I962" s="7"/>
      <c r="J962" s="8"/>
      <c r="K962" s="8"/>
      <c r="L962" s="8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116"/>
      <c r="F963" s="116"/>
      <c r="G963" s="8"/>
      <c r="H963" s="8"/>
      <c r="I963" s="7"/>
      <c r="J963" s="8"/>
      <c r="K963" s="8"/>
      <c r="L963" s="8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116"/>
      <c r="F964" s="116"/>
      <c r="G964" s="8"/>
      <c r="H964" s="8"/>
      <c r="I964" s="7"/>
      <c r="J964" s="8"/>
      <c r="K964" s="8"/>
      <c r="L964" s="8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116"/>
      <c r="F965" s="116"/>
      <c r="G965" s="8"/>
      <c r="H965" s="8"/>
      <c r="I965" s="7"/>
      <c r="J965" s="8"/>
      <c r="K965" s="8"/>
      <c r="L965" s="8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116"/>
      <c r="F966" s="116"/>
      <c r="G966" s="8"/>
      <c r="H966" s="8"/>
      <c r="I966" s="7"/>
      <c r="J966" s="8"/>
      <c r="K966" s="8"/>
      <c r="L966" s="8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116"/>
      <c r="F967" s="116"/>
      <c r="G967" s="8"/>
      <c r="H967" s="8"/>
      <c r="I967" s="7"/>
      <c r="J967" s="8"/>
      <c r="K967" s="8"/>
      <c r="L967" s="8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116"/>
      <c r="F968" s="116"/>
      <c r="G968" s="8"/>
      <c r="H968" s="8"/>
      <c r="I968" s="7"/>
      <c r="J968" s="8"/>
      <c r="K968" s="8"/>
      <c r="L968" s="8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116"/>
      <c r="F969" s="116"/>
      <c r="G969" s="8"/>
      <c r="H969" s="8"/>
      <c r="I969" s="7"/>
      <c r="J969" s="8"/>
      <c r="K969" s="8"/>
      <c r="L969" s="8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116"/>
      <c r="F970" s="116"/>
      <c r="G970" s="8"/>
      <c r="H970" s="8"/>
      <c r="I970" s="7"/>
      <c r="J970" s="8"/>
      <c r="K970" s="8"/>
      <c r="L970" s="8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116"/>
      <c r="F971" s="116"/>
      <c r="G971" s="8"/>
      <c r="H971" s="8"/>
      <c r="I971" s="7"/>
      <c r="J971" s="8"/>
      <c r="K971" s="8"/>
      <c r="L971" s="8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116"/>
      <c r="F972" s="116"/>
      <c r="G972" s="8"/>
      <c r="H972" s="8"/>
      <c r="I972" s="7"/>
      <c r="J972" s="8"/>
      <c r="K972" s="8"/>
      <c r="L972" s="8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116"/>
      <c r="F973" s="116"/>
      <c r="G973" s="8"/>
      <c r="H973" s="8"/>
      <c r="I973" s="7"/>
      <c r="J973" s="8"/>
      <c r="K973" s="8"/>
      <c r="L973" s="8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116"/>
      <c r="F974" s="116"/>
      <c r="G974" s="8"/>
      <c r="H974" s="8"/>
      <c r="I974" s="7"/>
      <c r="J974" s="8"/>
      <c r="K974" s="8"/>
      <c r="L974" s="8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116"/>
      <c r="F975" s="116"/>
      <c r="G975" s="8"/>
      <c r="H975" s="8"/>
      <c r="I975" s="7"/>
      <c r="J975" s="8"/>
      <c r="K975" s="8"/>
      <c r="L975" s="8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116"/>
      <c r="F976" s="116"/>
      <c r="G976" s="8"/>
      <c r="H976" s="8"/>
      <c r="I976" s="7"/>
      <c r="J976" s="8"/>
      <c r="K976" s="8"/>
      <c r="L976" s="8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116"/>
      <c r="F977" s="116"/>
      <c r="G977" s="8"/>
      <c r="H977" s="8"/>
      <c r="I977" s="7"/>
      <c r="J977" s="8"/>
      <c r="K977" s="8"/>
      <c r="L977" s="8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116"/>
      <c r="F978" s="116"/>
      <c r="G978" s="8"/>
      <c r="H978" s="8"/>
      <c r="I978" s="7"/>
      <c r="J978" s="8"/>
      <c r="K978" s="8"/>
      <c r="L978" s="8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116"/>
      <c r="F979" s="116"/>
      <c r="G979" s="8"/>
      <c r="H979" s="8"/>
      <c r="I979" s="7"/>
      <c r="J979" s="8"/>
      <c r="K979" s="8"/>
      <c r="L979" s="8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116"/>
      <c r="F980" s="116"/>
      <c r="G980" s="8"/>
      <c r="H980" s="8"/>
      <c r="I980" s="7"/>
      <c r="J980" s="8"/>
      <c r="K980" s="8"/>
      <c r="L980" s="8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116"/>
      <c r="F981" s="116"/>
      <c r="G981" s="8"/>
      <c r="H981" s="8"/>
      <c r="I981" s="7"/>
      <c r="J981" s="8"/>
      <c r="K981" s="8"/>
      <c r="L981" s="8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116"/>
      <c r="F982" s="116"/>
      <c r="G982" s="8"/>
      <c r="H982" s="8"/>
      <c r="I982" s="7"/>
      <c r="J982" s="8"/>
      <c r="K982" s="8"/>
      <c r="L982" s="8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116"/>
      <c r="F983" s="116"/>
      <c r="G983" s="8"/>
      <c r="H983" s="8"/>
      <c r="I983" s="7"/>
      <c r="J983" s="8"/>
      <c r="K983" s="8"/>
      <c r="L983" s="8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116"/>
      <c r="F984" s="116"/>
      <c r="G984" s="8"/>
      <c r="H984" s="8"/>
      <c r="I984" s="7"/>
      <c r="J984" s="8"/>
      <c r="K984" s="8"/>
      <c r="L984" s="8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116"/>
      <c r="F985" s="116"/>
      <c r="G985" s="8"/>
      <c r="H985" s="8"/>
      <c r="I985" s="7"/>
      <c r="J985" s="8"/>
      <c r="K985" s="8"/>
      <c r="L985" s="8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116"/>
      <c r="F986" s="116"/>
      <c r="G986" s="8"/>
      <c r="H986" s="8"/>
      <c r="I986" s="7"/>
      <c r="J986" s="8"/>
      <c r="K986" s="8"/>
      <c r="L986" s="8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116"/>
      <c r="F987" s="116"/>
      <c r="G987" s="8"/>
      <c r="H987" s="8"/>
      <c r="I987" s="7"/>
      <c r="J987" s="8"/>
      <c r="K987" s="8"/>
      <c r="L987" s="8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116"/>
      <c r="F988" s="116"/>
      <c r="G988" s="8"/>
      <c r="H988" s="8"/>
      <c r="I988" s="7"/>
      <c r="J988" s="8"/>
      <c r="K988" s="8"/>
      <c r="L988" s="8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116"/>
      <c r="F989" s="116"/>
      <c r="G989" s="8"/>
      <c r="H989" s="8"/>
      <c r="I989" s="7"/>
      <c r="J989" s="8"/>
      <c r="K989" s="8"/>
      <c r="L989" s="8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116"/>
      <c r="F990" s="116"/>
      <c r="G990" s="8"/>
      <c r="H990" s="8"/>
      <c r="I990" s="7"/>
      <c r="J990" s="8"/>
      <c r="K990" s="8"/>
      <c r="L990" s="8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116"/>
      <c r="F991" s="116"/>
      <c r="G991" s="8"/>
      <c r="H991" s="8"/>
      <c r="I991" s="7"/>
      <c r="J991" s="8"/>
      <c r="K991" s="8"/>
      <c r="L991" s="8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116"/>
      <c r="F992" s="116"/>
      <c r="G992" s="8"/>
      <c r="H992" s="8"/>
      <c r="I992" s="7"/>
      <c r="J992" s="8"/>
      <c r="K992" s="8"/>
      <c r="L992" s="8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116"/>
      <c r="F993" s="116"/>
      <c r="G993" s="8"/>
      <c r="H993" s="8"/>
      <c r="I993" s="7"/>
      <c r="J993" s="8"/>
      <c r="K993" s="8"/>
      <c r="L993" s="8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116"/>
      <c r="F994" s="116"/>
      <c r="G994" s="8"/>
      <c r="H994" s="8"/>
      <c r="I994" s="7"/>
      <c r="J994" s="8"/>
      <c r="K994" s="8"/>
      <c r="L994" s="8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116"/>
      <c r="F995" s="116"/>
      <c r="G995" s="8"/>
      <c r="H995" s="8"/>
      <c r="I995" s="7"/>
      <c r="J995" s="8"/>
      <c r="K995" s="8"/>
      <c r="L995" s="8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116"/>
      <c r="F996" s="116"/>
      <c r="G996" s="8"/>
      <c r="H996" s="8"/>
      <c r="I996" s="7"/>
      <c r="J996" s="8"/>
      <c r="K996" s="8"/>
      <c r="L996" s="8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7"/>
      <c r="C997" s="7"/>
      <c r="D997" s="7"/>
      <c r="E997" s="116"/>
      <c r="F997" s="116"/>
      <c r="G997" s="8"/>
      <c r="H997" s="8"/>
      <c r="I997" s="7"/>
      <c r="J997" s="8"/>
      <c r="K997" s="8"/>
      <c r="L997" s="8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7"/>
      <c r="C998" s="7"/>
      <c r="D998" s="7"/>
      <c r="E998" s="116"/>
      <c r="F998" s="116"/>
      <c r="G998" s="8"/>
      <c r="H998" s="8"/>
      <c r="I998" s="7"/>
      <c r="J998" s="8"/>
      <c r="K998" s="8"/>
      <c r="L998" s="8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7"/>
      <c r="C999" s="7"/>
      <c r="D999" s="7"/>
      <c r="E999" s="116"/>
      <c r="F999" s="116"/>
      <c r="G999" s="8"/>
      <c r="H999" s="8"/>
      <c r="I999" s="7"/>
      <c r="J999" s="8"/>
      <c r="K999" s="8"/>
      <c r="L999" s="8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7"/>
      <c r="C1000" s="7"/>
      <c r="D1000" s="7"/>
      <c r="E1000" s="116"/>
      <c r="F1000" s="116"/>
      <c r="G1000" s="8"/>
      <c r="H1000" s="8"/>
      <c r="I1000" s="7"/>
      <c r="J1000" s="8"/>
      <c r="K1000" s="8"/>
      <c r="L1000" s="8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7"/>
      <c r="C1001" s="7"/>
      <c r="D1001" s="7"/>
      <c r="E1001" s="116"/>
      <c r="F1001" s="116"/>
      <c r="G1001" s="8"/>
      <c r="H1001" s="8"/>
      <c r="I1001" s="7"/>
      <c r="J1001" s="8"/>
      <c r="K1001" s="8"/>
      <c r="L1001" s="8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7"/>
      <c r="D1002" s="7"/>
      <c r="E1002" s="116"/>
      <c r="F1002" s="116"/>
      <c r="G1002" s="8"/>
      <c r="H1002" s="8"/>
      <c r="I1002" s="7"/>
      <c r="J1002" s="8"/>
      <c r="K1002" s="8"/>
      <c r="L1002" s="8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7"/>
      <c r="D1003" s="7"/>
      <c r="E1003" s="116"/>
      <c r="F1003" s="116"/>
      <c r="G1003" s="8"/>
      <c r="H1003" s="8"/>
      <c r="I1003" s="7"/>
      <c r="J1003" s="8"/>
      <c r="K1003" s="8"/>
      <c r="L1003" s="8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7"/>
      <c r="D1004" s="7"/>
      <c r="E1004" s="116"/>
      <c r="F1004" s="116"/>
      <c r="G1004" s="8"/>
      <c r="H1004" s="8"/>
      <c r="I1004" s="7"/>
      <c r="J1004" s="8"/>
      <c r="K1004" s="8"/>
      <c r="L1004" s="8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7"/>
      <c r="B1005" s="7"/>
      <c r="C1005" s="7"/>
      <c r="D1005" s="7"/>
      <c r="E1005" s="116"/>
      <c r="F1005" s="116"/>
      <c r="G1005" s="8"/>
      <c r="H1005" s="8"/>
      <c r="I1005" s="7"/>
      <c r="J1005" s="8"/>
      <c r="K1005" s="8"/>
      <c r="L1005" s="8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7"/>
      <c r="B1006" s="7"/>
      <c r="C1006" s="7"/>
      <c r="D1006" s="7"/>
      <c r="E1006" s="116"/>
      <c r="F1006" s="116"/>
      <c r="G1006" s="8"/>
      <c r="H1006" s="8"/>
      <c r="I1006" s="7"/>
      <c r="J1006" s="8"/>
      <c r="K1006" s="8"/>
      <c r="L1006" s="8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7"/>
      <c r="B1007" s="7"/>
      <c r="C1007" s="7"/>
      <c r="D1007" s="7"/>
      <c r="E1007" s="116"/>
      <c r="F1007" s="116"/>
      <c r="G1007" s="8"/>
      <c r="H1007" s="8"/>
      <c r="I1007" s="7"/>
      <c r="J1007" s="8"/>
      <c r="K1007" s="8"/>
      <c r="L1007" s="8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7"/>
      <c r="B1008" s="7"/>
      <c r="C1008" s="7"/>
      <c r="D1008" s="7"/>
      <c r="E1008" s="116"/>
      <c r="F1008" s="116"/>
      <c r="G1008" s="8"/>
      <c r="H1008" s="8"/>
      <c r="I1008" s="7"/>
      <c r="J1008" s="8"/>
      <c r="K1008" s="8"/>
      <c r="L1008" s="8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7"/>
      <c r="B1009" s="7"/>
      <c r="C1009" s="7"/>
      <c r="D1009" s="7"/>
      <c r="E1009" s="116"/>
      <c r="F1009" s="116"/>
      <c r="G1009" s="8"/>
      <c r="H1009" s="8"/>
      <c r="I1009" s="7"/>
      <c r="J1009" s="8"/>
      <c r="K1009" s="8"/>
      <c r="L1009" s="8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7"/>
      <c r="B1010" s="7"/>
      <c r="C1010" s="7"/>
      <c r="D1010" s="7"/>
      <c r="E1010" s="116"/>
      <c r="F1010" s="116"/>
      <c r="G1010" s="8"/>
      <c r="H1010" s="8"/>
      <c r="I1010" s="7"/>
      <c r="J1010" s="8"/>
      <c r="K1010" s="8"/>
      <c r="L1010" s="8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7"/>
      <c r="B1011" s="7"/>
      <c r="C1011" s="7"/>
      <c r="D1011" s="7"/>
      <c r="E1011" s="116"/>
      <c r="F1011" s="116"/>
      <c r="G1011" s="8"/>
      <c r="H1011" s="8"/>
      <c r="I1011" s="7"/>
      <c r="J1011" s="8"/>
      <c r="K1011" s="8"/>
      <c r="L1011" s="8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7"/>
      <c r="B1012" s="7"/>
      <c r="C1012" s="7"/>
      <c r="D1012" s="7"/>
      <c r="E1012" s="116"/>
      <c r="F1012" s="116"/>
      <c r="G1012" s="8"/>
      <c r="H1012" s="8"/>
      <c r="I1012" s="7"/>
      <c r="J1012" s="8"/>
      <c r="K1012" s="8"/>
      <c r="L1012" s="8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7"/>
      <c r="B1013" s="7"/>
      <c r="C1013" s="7"/>
      <c r="D1013" s="7"/>
      <c r="E1013" s="116"/>
      <c r="F1013" s="116"/>
      <c r="G1013" s="8"/>
      <c r="H1013" s="8"/>
      <c r="I1013" s="7"/>
      <c r="J1013" s="8"/>
      <c r="K1013" s="8"/>
      <c r="L1013" s="8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7"/>
      <c r="B1014" s="7"/>
      <c r="C1014" s="7"/>
      <c r="D1014" s="7"/>
      <c r="E1014" s="116"/>
      <c r="F1014" s="116"/>
      <c r="G1014" s="8"/>
      <c r="H1014" s="8"/>
      <c r="I1014" s="7"/>
      <c r="J1014" s="8"/>
      <c r="K1014" s="8"/>
      <c r="L1014" s="8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7"/>
      <c r="B1015" s="7"/>
      <c r="C1015" s="7"/>
      <c r="D1015" s="7"/>
      <c r="E1015" s="116"/>
      <c r="F1015" s="116"/>
      <c r="G1015" s="8"/>
      <c r="H1015" s="8"/>
      <c r="I1015" s="7"/>
      <c r="J1015" s="8"/>
      <c r="K1015" s="8"/>
      <c r="L1015" s="8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7"/>
      <c r="B1016" s="7"/>
      <c r="C1016" s="7"/>
      <c r="D1016" s="7"/>
      <c r="E1016" s="116"/>
      <c r="F1016" s="116"/>
      <c r="G1016" s="8"/>
      <c r="H1016" s="8"/>
      <c r="I1016" s="7"/>
      <c r="J1016" s="8"/>
      <c r="K1016" s="8"/>
      <c r="L1016" s="8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7"/>
      <c r="B1017" s="7"/>
      <c r="C1017" s="7"/>
      <c r="D1017" s="7"/>
      <c r="E1017" s="116"/>
      <c r="F1017" s="116"/>
      <c r="G1017" s="8"/>
      <c r="H1017" s="8"/>
      <c r="I1017" s="7"/>
      <c r="J1017" s="8"/>
      <c r="K1017" s="8"/>
      <c r="L1017" s="8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7"/>
      <c r="B1018" s="7"/>
      <c r="C1018" s="7"/>
      <c r="D1018" s="7"/>
      <c r="E1018" s="116"/>
      <c r="F1018" s="116"/>
      <c r="G1018" s="8"/>
      <c r="H1018" s="8"/>
      <c r="I1018" s="7"/>
      <c r="J1018" s="8"/>
      <c r="K1018" s="8"/>
      <c r="L1018" s="8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7"/>
      <c r="B1019" s="7"/>
      <c r="C1019" s="7"/>
      <c r="D1019" s="7"/>
      <c r="E1019" s="116"/>
      <c r="F1019" s="116"/>
      <c r="G1019" s="8"/>
      <c r="H1019" s="8"/>
      <c r="I1019" s="7"/>
      <c r="J1019" s="8"/>
      <c r="K1019" s="8"/>
      <c r="L1019" s="8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7"/>
      <c r="B1020" s="7"/>
      <c r="C1020" s="7"/>
      <c r="D1020" s="7"/>
      <c r="E1020" s="116"/>
      <c r="F1020" s="116"/>
      <c r="G1020" s="8"/>
      <c r="H1020" s="8"/>
      <c r="I1020" s="7"/>
      <c r="J1020" s="8"/>
      <c r="K1020" s="8"/>
      <c r="L1020" s="8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7"/>
      <c r="B1021" s="7"/>
      <c r="C1021" s="7"/>
      <c r="D1021" s="7"/>
      <c r="E1021" s="116"/>
      <c r="F1021" s="116"/>
      <c r="G1021" s="8"/>
      <c r="H1021" s="8"/>
      <c r="I1021" s="7"/>
      <c r="J1021" s="8"/>
      <c r="K1021" s="8"/>
      <c r="L1021" s="8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>
      <c r="A1022" s="7"/>
      <c r="B1022" s="7"/>
      <c r="C1022" s="7"/>
      <c r="D1022" s="7"/>
      <c r="E1022" s="116"/>
      <c r="F1022" s="116"/>
      <c r="G1022" s="8"/>
      <c r="H1022" s="8"/>
      <c r="I1022" s="7"/>
      <c r="J1022" s="8"/>
      <c r="K1022" s="8"/>
      <c r="L1022" s="8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>
      <c r="A1023" s="7"/>
      <c r="B1023" s="7"/>
      <c r="C1023" s="7"/>
      <c r="D1023" s="7"/>
      <c r="E1023" s="116"/>
      <c r="F1023" s="116"/>
      <c r="G1023" s="8"/>
      <c r="H1023" s="8"/>
      <c r="I1023" s="7"/>
      <c r="J1023" s="8"/>
      <c r="K1023" s="8"/>
      <c r="L1023" s="8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>
      <c r="A1024" s="7"/>
      <c r="B1024" s="7"/>
      <c r="C1024" s="7"/>
      <c r="D1024" s="7"/>
      <c r="E1024" s="116"/>
      <c r="F1024" s="116"/>
      <c r="G1024" s="8"/>
      <c r="H1024" s="8"/>
      <c r="I1024" s="7"/>
      <c r="J1024" s="8"/>
      <c r="K1024" s="8"/>
      <c r="L1024" s="8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>
      <c r="A1025" s="7"/>
      <c r="B1025" s="7"/>
      <c r="C1025" s="7"/>
      <c r="D1025" s="7"/>
      <c r="E1025" s="116"/>
      <c r="F1025" s="116"/>
      <c r="G1025" s="8"/>
      <c r="H1025" s="8"/>
      <c r="I1025" s="7"/>
      <c r="J1025" s="8"/>
      <c r="K1025" s="8"/>
      <c r="L1025" s="8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>
      <c r="A1026" s="7"/>
      <c r="B1026" s="7"/>
      <c r="C1026" s="7"/>
      <c r="D1026" s="7"/>
      <c r="E1026" s="116"/>
      <c r="F1026" s="116"/>
      <c r="G1026" s="8"/>
      <c r="H1026" s="8"/>
      <c r="I1026" s="7"/>
      <c r="J1026" s="8"/>
      <c r="K1026" s="8"/>
      <c r="L1026" s="8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>
      <c r="A1027" s="7"/>
      <c r="B1027" s="7"/>
      <c r="C1027" s="7"/>
      <c r="D1027" s="7"/>
      <c r="E1027" s="116"/>
      <c r="F1027" s="116"/>
      <c r="G1027" s="8"/>
      <c r="H1027" s="8"/>
      <c r="I1027" s="7"/>
      <c r="J1027" s="8"/>
      <c r="K1027" s="8"/>
      <c r="L1027" s="8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>
      <c r="A1028" s="7"/>
      <c r="B1028" s="7"/>
      <c r="C1028" s="7"/>
      <c r="D1028" s="7"/>
      <c r="E1028" s="116"/>
      <c r="F1028" s="116"/>
      <c r="G1028" s="8"/>
      <c r="H1028" s="8"/>
      <c r="I1028" s="7"/>
      <c r="J1028" s="8"/>
      <c r="K1028" s="8"/>
      <c r="L1028" s="8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>
      <c r="A1029" s="7"/>
      <c r="B1029" s="7"/>
      <c r="C1029" s="7"/>
      <c r="D1029" s="7"/>
      <c r="E1029" s="116"/>
      <c r="F1029" s="116"/>
      <c r="G1029" s="8"/>
      <c r="H1029" s="8"/>
      <c r="I1029" s="7"/>
      <c r="J1029" s="8"/>
      <c r="K1029" s="8"/>
      <c r="L1029" s="8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>
      <c r="A1030" s="7"/>
      <c r="B1030" s="7"/>
      <c r="C1030" s="7"/>
      <c r="D1030" s="7"/>
      <c r="E1030" s="116"/>
      <c r="F1030" s="116"/>
      <c r="G1030" s="8"/>
      <c r="H1030" s="8"/>
      <c r="I1030" s="7"/>
      <c r="J1030" s="8"/>
      <c r="K1030" s="8"/>
      <c r="L1030" s="8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>
      <c r="A1031" s="7"/>
      <c r="B1031" s="7"/>
      <c r="C1031" s="7"/>
      <c r="D1031" s="7"/>
      <c r="E1031" s="116"/>
      <c r="F1031" s="116"/>
      <c r="G1031" s="8"/>
      <c r="H1031" s="8"/>
      <c r="I1031" s="7"/>
      <c r="J1031" s="8"/>
      <c r="K1031" s="8"/>
      <c r="L1031" s="8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>
      <c r="A1032" s="7"/>
      <c r="B1032" s="7"/>
      <c r="C1032" s="7"/>
      <c r="D1032" s="7"/>
      <c r="E1032" s="116"/>
      <c r="F1032" s="116"/>
      <c r="G1032" s="8"/>
      <c r="H1032" s="8"/>
      <c r="I1032" s="7"/>
      <c r="J1032" s="8"/>
      <c r="K1032" s="8"/>
      <c r="L1032" s="8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>
      <c r="A1033" s="7"/>
      <c r="B1033" s="7"/>
      <c r="C1033" s="7"/>
      <c r="D1033" s="7"/>
      <c r="E1033" s="116"/>
      <c r="F1033" s="116"/>
      <c r="G1033" s="8"/>
      <c r="H1033" s="8"/>
      <c r="I1033" s="7"/>
      <c r="J1033" s="8"/>
      <c r="K1033" s="8"/>
      <c r="L1033" s="8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>
      <c r="A1034" s="7"/>
      <c r="B1034" s="7"/>
      <c r="C1034" s="7"/>
      <c r="D1034" s="7"/>
      <c r="E1034" s="116"/>
      <c r="F1034" s="116"/>
      <c r="G1034" s="8"/>
      <c r="H1034" s="8"/>
      <c r="I1034" s="7"/>
      <c r="J1034" s="8"/>
      <c r="K1034" s="8"/>
      <c r="L1034" s="8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>
      <c r="A1035" s="7"/>
      <c r="B1035" s="7"/>
      <c r="C1035" s="7"/>
      <c r="D1035" s="7"/>
      <c r="E1035" s="116"/>
      <c r="F1035" s="116"/>
      <c r="G1035" s="8"/>
      <c r="H1035" s="8"/>
      <c r="I1035" s="7"/>
      <c r="J1035" s="8"/>
      <c r="K1035" s="8"/>
      <c r="L1035" s="8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>
      <c r="A1036" s="7"/>
      <c r="B1036" s="7"/>
      <c r="C1036" s="7"/>
      <c r="D1036" s="7"/>
      <c r="E1036" s="116"/>
      <c r="F1036" s="116"/>
      <c r="G1036" s="8"/>
      <c r="H1036" s="8"/>
      <c r="I1036" s="7"/>
      <c r="J1036" s="8"/>
      <c r="K1036" s="8"/>
      <c r="L1036" s="8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>
      <c r="A1037" s="7"/>
      <c r="B1037" s="7"/>
      <c r="C1037" s="7"/>
      <c r="D1037" s="7"/>
      <c r="E1037" s="116"/>
      <c r="F1037" s="116"/>
      <c r="G1037" s="8"/>
      <c r="H1037" s="8"/>
      <c r="I1037" s="7"/>
      <c r="J1037" s="8"/>
      <c r="K1037" s="8"/>
      <c r="L1037" s="8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>
      <c r="A1038" s="7"/>
      <c r="B1038" s="7"/>
      <c r="C1038" s="7"/>
      <c r="D1038" s="7"/>
      <c r="E1038" s="116"/>
      <c r="F1038" s="116"/>
      <c r="G1038" s="8"/>
      <c r="H1038" s="8"/>
      <c r="I1038" s="7"/>
      <c r="J1038" s="8"/>
      <c r="K1038" s="8"/>
      <c r="L1038" s="8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>
      <c r="A1039" s="7"/>
      <c r="B1039" s="7"/>
      <c r="C1039" s="7"/>
      <c r="D1039" s="7"/>
      <c r="E1039" s="116"/>
      <c r="F1039" s="116"/>
      <c r="G1039" s="8"/>
      <c r="H1039" s="8"/>
      <c r="I1039" s="7"/>
      <c r="J1039" s="8"/>
      <c r="K1039" s="8"/>
      <c r="L1039" s="8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>
      <c r="A1040" s="7"/>
      <c r="B1040" s="7"/>
      <c r="C1040" s="7"/>
      <c r="D1040" s="7"/>
      <c r="E1040" s="116"/>
      <c r="F1040" s="116"/>
      <c r="G1040" s="8"/>
      <c r="H1040" s="8"/>
      <c r="I1040" s="7"/>
      <c r="J1040" s="8"/>
      <c r="K1040" s="8"/>
      <c r="L1040" s="8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>
      <c r="A1041" s="7"/>
      <c r="B1041" s="7"/>
      <c r="C1041" s="7"/>
      <c r="D1041" s="7"/>
      <c r="E1041" s="116"/>
      <c r="F1041" s="116"/>
      <c r="G1041" s="8"/>
      <c r="H1041" s="8"/>
      <c r="I1041" s="7"/>
      <c r="J1041" s="8"/>
      <c r="K1041" s="8"/>
      <c r="L1041" s="8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>
      <c r="A1042" s="7"/>
      <c r="B1042" s="7"/>
      <c r="C1042" s="7"/>
      <c r="D1042" s="7"/>
      <c r="E1042" s="116"/>
      <c r="F1042" s="116"/>
      <c r="G1042" s="8"/>
      <c r="H1042" s="8"/>
      <c r="I1042" s="7"/>
      <c r="J1042" s="8"/>
      <c r="K1042" s="8"/>
      <c r="L1042" s="8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>
      <c r="A1043" s="7"/>
      <c r="B1043" s="7"/>
      <c r="C1043" s="7"/>
      <c r="D1043" s="7"/>
      <c r="E1043" s="116"/>
      <c r="F1043" s="116"/>
      <c r="G1043" s="8"/>
      <c r="H1043" s="8"/>
      <c r="I1043" s="7"/>
      <c r="J1043" s="8"/>
      <c r="K1043" s="8"/>
      <c r="L1043" s="8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>
      <c r="A1044" s="7"/>
      <c r="B1044" s="7"/>
      <c r="C1044" s="7"/>
      <c r="D1044" s="7"/>
      <c r="E1044" s="116"/>
      <c r="F1044" s="116"/>
      <c r="G1044" s="8"/>
      <c r="H1044" s="8"/>
      <c r="I1044" s="7"/>
      <c r="J1044" s="8"/>
      <c r="K1044" s="8"/>
      <c r="L1044" s="8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>
      <c r="A1045" s="7"/>
      <c r="B1045" s="7"/>
      <c r="C1045" s="7"/>
      <c r="D1045" s="7"/>
      <c r="E1045" s="116"/>
      <c r="F1045" s="116"/>
      <c r="G1045" s="8"/>
      <c r="H1045" s="8"/>
      <c r="I1045" s="7"/>
      <c r="J1045" s="8"/>
      <c r="K1045" s="8"/>
      <c r="L1045" s="8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>
      <c r="A1046" s="7"/>
      <c r="B1046" s="7"/>
      <c r="C1046" s="7"/>
      <c r="D1046" s="7"/>
      <c r="E1046" s="116"/>
      <c r="F1046" s="116"/>
      <c r="G1046" s="8"/>
      <c r="H1046" s="8"/>
      <c r="I1046" s="7"/>
      <c r="J1046" s="8"/>
      <c r="K1046" s="8"/>
      <c r="L1046" s="8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>
      <c r="A1047" s="7"/>
      <c r="B1047" s="7"/>
      <c r="C1047" s="7"/>
      <c r="D1047" s="7"/>
      <c r="E1047" s="116"/>
      <c r="F1047" s="116"/>
      <c r="G1047" s="8"/>
      <c r="H1047" s="8"/>
      <c r="I1047" s="7"/>
      <c r="J1047" s="8"/>
      <c r="K1047" s="8"/>
      <c r="L1047" s="8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>
      <c r="A1048" s="7"/>
      <c r="B1048" s="7"/>
      <c r="C1048" s="7"/>
      <c r="D1048" s="7"/>
      <c r="E1048" s="116"/>
      <c r="F1048" s="116"/>
      <c r="G1048" s="8"/>
      <c r="H1048" s="8"/>
      <c r="I1048" s="7"/>
      <c r="J1048" s="8"/>
      <c r="K1048" s="8"/>
      <c r="L1048" s="8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>
      <c r="A1049" s="7"/>
      <c r="B1049" s="7"/>
      <c r="C1049" s="7"/>
      <c r="D1049" s="7"/>
      <c r="E1049" s="116"/>
      <c r="F1049" s="116"/>
      <c r="G1049" s="8"/>
      <c r="H1049" s="8"/>
      <c r="I1049" s="7"/>
      <c r="J1049" s="8"/>
      <c r="K1049" s="8"/>
      <c r="L1049" s="8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>
      <c r="A1050" s="7"/>
      <c r="B1050" s="7"/>
      <c r="C1050" s="7"/>
      <c r="D1050" s="7"/>
      <c r="E1050" s="116"/>
      <c r="F1050" s="116"/>
      <c r="G1050" s="8"/>
      <c r="H1050" s="8"/>
      <c r="I1050" s="7"/>
      <c r="J1050" s="8"/>
      <c r="K1050" s="8"/>
      <c r="L1050" s="8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>
      <c r="A1051" s="7"/>
      <c r="B1051" s="7"/>
      <c r="C1051" s="7"/>
      <c r="D1051" s="7"/>
      <c r="E1051" s="116"/>
      <c r="F1051" s="116"/>
      <c r="G1051" s="8"/>
      <c r="H1051" s="8"/>
      <c r="I1051" s="7"/>
      <c r="J1051" s="8"/>
      <c r="K1051" s="8"/>
      <c r="L1051" s="8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>
      <c r="A1052" s="7"/>
      <c r="B1052" s="7"/>
      <c r="C1052" s="7"/>
      <c r="D1052" s="7"/>
      <c r="E1052" s="116"/>
      <c r="F1052" s="116"/>
      <c r="G1052" s="8"/>
      <c r="H1052" s="8"/>
      <c r="I1052" s="7"/>
      <c r="J1052" s="8"/>
      <c r="K1052" s="8"/>
      <c r="L1052" s="8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>
      <c r="A1053" s="7"/>
      <c r="B1053" s="7"/>
      <c r="C1053" s="7"/>
      <c r="D1053" s="7"/>
      <c r="E1053" s="116"/>
      <c r="F1053" s="116"/>
      <c r="G1053" s="8"/>
      <c r="H1053" s="8"/>
      <c r="I1053" s="7"/>
      <c r="J1053" s="8"/>
      <c r="K1053" s="8"/>
      <c r="L1053" s="8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>
      <c r="A1054" s="7"/>
      <c r="B1054" s="7"/>
      <c r="C1054" s="7"/>
      <c r="D1054" s="7"/>
      <c r="E1054" s="116"/>
      <c r="F1054" s="116"/>
      <c r="G1054" s="8"/>
      <c r="H1054" s="8"/>
      <c r="I1054" s="7"/>
      <c r="J1054" s="8"/>
      <c r="K1054" s="8"/>
      <c r="L1054" s="8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>
      <c r="A1055" s="7"/>
      <c r="B1055" s="7"/>
      <c r="C1055" s="7"/>
      <c r="D1055" s="7"/>
      <c r="E1055" s="116"/>
      <c r="F1055" s="116"/>
      <c r="G1055" s="8"/>
      <c r="H1055" s="8"/>
      <c r="I1055" s="7"/>
      <c r="J1055" s="8"/>
      <c r="K1055" s="8"/>
      <c r="L1055" s="8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>
      <c r="A1056" s="7"/>
      <c r="B1056" s="7"/>
      <c r="C1056" s="7"/>
      <c r="D1056" s="7"/>
      <c r="E1056" s="116"/>
      <c r="F1056" s="116"/>
      <c r="G1056" s="8"/>
      <c r="H1056" s="8"/>
      <c r="I1056" s="7"/>
      <c r="J1056" s="8"/>
      <c r="K1056" s="8"/>
      <c r="L1056" s="8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>
      <c r="A1057" s="7"/>
      <c r="B1057" s="7"/>
      <c r="C1057" s="7"/>
      <c r="D1057" s="7"/>
      <c r="E1057" s="116"/>
      <c r="F1057" s="116"/>
      <c r="G1057" s="8"/>
      <c r="H1057" s="8"/>
      <c r="I1057" s="7"/>
      <c r="J1057" s="8"/>
      <c r="K1057" s="8"/>
      <c r="L1057" s="8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>
      <c r="A1058" s="7"/>
      <c r="B1058" s="7"/>
      <c r="C1058" s="7"/>
      <c r="D1058" s="7"/>
      <c r="E1058" s="116"/>
      <c r="F1058" s="116"/>
      <c r="G1058" s="8"/>
      <c r="H1058" s="8"/>
      <c r="I1058" s="7"/>
      <c r="J1058" s="8"/>
      <c r="K1058" s="8"/>
      <c r="L1058" s="8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>
      <c r="A1059" s="7"/>
      <c r="B1059" s="7"/>
      <c r="C1059" s="7"/>
      <c r="D1059" s="7"/>
      <c r="E1059" s="116"/>
      <c r="F1059" s="116"/>
      <c r="G1059" s="8"/>
      <c r="H1059" s="8"/>
      <c r="I1059" s="7"/>
      <c r="J1059" s="8"/>
      <c r="K1059" s="8"/>
      <c r="L1059" s="8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>
      <c r="A1060" s="7"/>
      <c r="B1060" s="7"/>
      <c r="C1060" s="7"/>
      <c r="D1060" s="7"/>
      <c r="E1060" s="116"/>
      <c r="F1060" s="116"/>
      <c r="G1060" s="8"/>
      <c r="H1060" s="8"/>
      <c r="I1060" s="7"/>
      <c r="J1060" s="8"/>
      <c r="K1060" s="8"/>
      <c r="L1060" s="8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>
      <c r="A1061" s="7"/>
      <c r="B1061" s="7"/>
      <c r="C1061" s="7"/>
      <c r="D1061" s="7"/>
      <c r="E1061" s="116"/>
      <c r="F1061" s="116"/>
      <c r="G1061" s="8"/>
      <c r="H1061" s="8"/>
      <c r="I1061" s="7"/>
      <c r="J1061" s="8"/>
      <c r="K1061" s="8"/>
      <c r="L1061" s="8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>
      <c r="A1062" s="7"/>
      <c r="B1062" s="7"/>
      <c r="C1062" s="7"/>
      <c r="D1062" s="7"/>
      <c r="E1062" s="116"/>
      <c r="F1062" s="116"/>
      <c r="G1062" s="8"/>
      <c r="H1062" s="8"/>
      <c r="I1062" s="7"/>
      <c r="J1062" s="8"/>
      <c r="K1062" s="8"/>
      <c r="L1062" s="8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>
      <c r="A1063" s="7"/>
      <c r="B1063" s="7"/>
      <c r="C1063" s="7"/>
      <c r="D1063" s="7"/>
      <c r="E1063" s="116"/>
      <c r="F1063" s="116"/>
      <c r="G1063" s="8"/>
      <c r="H1063" s="8"/>
      <c r="I1063" s="7"/>
      <c r="J1063" s="8"/>
      <c r="K1063" s="8"/>
      <c r="L1063" s="8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>
      <c r="A1064" s="7"/>
      <c r="B1064" s="7"/>
      <c r="C1064" s="7"/>
      <c r="D1064" s="7"/>
      <c r="E1064" s="116"/>
      <c r="F1064" s="116"/>
      <c r="G1064" s="8"/>
      <c r="H1064" s="8"/>
      <c r="I1064" s="7"/>
      <c r="J1064" s="8"/>
      <c r="K1064" s="8"/>
      <c r="L1064" s="8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>
      <c r="A1065" s="7"/>
      <c r="B1065" s="7"/>
      <c r="C1065" s="7"/>
      <c r="D1065" s="7"/>
      <c r="E1065" s="116"/>
      <c r="F1065" s="116"/>
      <c r="G1065" s="8"/>
      <c r="H1065" s="8"/>
      <c r="I1065" s="7"/>
      <c r="J1065" s="8"/>
      <c r="K1065" s="8"/>
      <c r="L1065" s="8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>
      <c r="A1066" s="7"/>
      <c r="B1066" s="7"/>
      <c r="C1066" s="7"/>
      <c r="D1066" s="7"/>
      <c r="E1066" s="116"/>
      <c r="F1066" s="116"/>
      <c r="G1066" s="8"/>
      <c r="H1066" s="8"/>
      <c r="I1066" s="7"/>
      <c r="J1066" s="8"/>
      <c r="K1066" s="8"/>
      <c r="L1066" s="8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>
      <c r="A1067" s="7"/>
      <c r="B1067" s="7"/>
      <c r="C1067" s="7"/>
      <c r="D1067" s="7"/>
      <c r="E1067" s="116"/>
      <c r="F1067" s="116"/>
      <c r="G1067" s="8"/>
      <c r="H1067" s="8"/>
      <c r="I1067" s="7"/>
      <c r="J1067" s="8"/>
      <c r="K1067" s="8"/>
      <c r="L1067" s="8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>
      <c r="A1068" s="7"/>
      <c r="B1068" s="7"/>
      <c r="C1068" s="7"/>
      <c r="D1068" s="7"/>
      <c r="E1068" s="116"/>
      <c r="F1068" s="116"/>
      <c r="G1068" s="8"/>
      <c r="H1068" s="8"/>
      <c r="I1068" s="7"/>
      <c r="J1068" s="8"/>
      <c r="K1068" s="8"/>
      <c r="L1068" s="8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>
      <c r="A1069" s="7"/>
      <c r="B1069" s="7"/>
      <c r="C1069" s="7"/>
      <c r="D1069" s="7"/>
      <c r="E1069" s="116"/>
      <c r="F1069" s="116"/>
      <c r="G1069" s="8"/>
      <c r="H1069" s="8"/>
      <c r="I1069" s="7"/>
      <c r="J1069" s="8"/>
      <c r="K1069" s="8"/>
      <c r="L1069" s="8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>
      <c r="A1070" s="7"/>
      <c r="B1070" s="7"/>
      <c r="C1070" s="7"/>
      <c r="D1070" s="7"/>
      <c r="E1070" s="116"/>
      <c r="F1070" s="116"/>
      <c r="G1070" s="8"/>
      <c r="H1070" s="8"/>
      <c r="I1070" s="7"/>
      <c r="J1070" s="8"/>
      <c r="K1070" s="8"/>
      <c r="L1070" s="8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>
      <c r="A1071" s="7"/>
      <c r="B1071" s="7"/>
      <c r="C1071" s="7"/>
      <c r="D1071" s="7"/>
      <c r="E1071" s="116"/>
      <c r="F1071" s="116"/>
      <c r="G1071" s="8"/>
      <c r="H1071" s="8"/>
      <c r="I1071" s="7"/>
      <c r="J1071" s="8"/>
      <c r="K1071" s="8"/>
      <c r="L1071" s="8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>
      <c r="A1072" s="7"/>
      <c r="B1072" s="7"/>
      <c r="C1072" s="7"/>
      <c r="D1072" s="7"/>
      <c r="E1072" s="116"/>
      <c r="F1072" s="116"/>
      <c r="G1072" s="8"/>
      <c r="H1072" s="8"/>
      <c r="I1072" s="7"/>
      <c r="J1072" s="8"/>
      <c r="K1072" s="8"/>
      <c r="L1072" s="8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>
      <c r="A1073" s="7"/>
      <c r="B1073" s="7"/>
      <c r="C1073" s="7"/>
      <c r="D1073" s="7"/>
      <c r="E1073" s="116"/>
      <c r="F1073" s="116"/>
      <c r="G1073" s="8"/>
      <c r="H1073" s="8"/>
      <c r="I1073" s="7"/>
      <c r="J1073" s="8"/>
      <c r="K1073" s="8"/>
      <c r="L1073" s="8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>
      <c r="A1074" s="7"/>
      <c r="B1074" s="7"/>
      <c r="C1074" s="7"/>
      <c r="D1074" s="7"/>
      <c r="E1074" s="116"/>
      <c r="F1074" s="116"/>
      <c r="G1074" s="8"/>
      <c r="H1074" s="8"/>
      <c r="I1074" s="7"/>
      <c r="J1074" s="8"/>
      <c r="K1074" s="8"/>
      <c r="L1074" s="8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>
      <c r="A1075" s="7"/>
      <c r="B1075" s="7"/>
      <c r="C1075" s="7"/>
      <c r="D1075" s="7"/>
      <c r="E1075" s="116"/>
      <c r="F1075" s="116"/>
      <c r="G1075" s="8"/>
      <c r="H1075" s="8"/>
      <c r="I1075" s="7"/>
      <c r="J1075" s="8"/>
      <c r="K1075" s="8"/>
      <c r="L1075" s="8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>
      <c r="A1076" s="7"/>
      <c r="B1076" s="7"/>
      <c r="C1076" s="7"/>
      <c r="D1076" s="7"/>
      <c r="E1076" s="116"/>
      <c r="F1076" s="116"/>
      <c r="G1076" s="8"/>
      <c r="H1076" s="8"/>
      <c r="I1076" s="7"/>
      <c r="J1076" s="8"/>
      <c r="K1076" s="8"/>
      <c r="L1076" s="8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>
      <c r="A1077" s="7"/>
      <c r="B1077" s="7"/>
      <c r="C1077" s="7"/>
      <c r="D1077" s="7"/>
      <c r="E1077" s="116"/>
      <c r="F1077" s="116"/>
      <c r="G1077" s="8"/>
      <c r="H1077" s="8"/>
      <c r="I1077" s="7"/>
      <c r="J1077" s="8"/>
      <c r="K1077" s="8"/>
      <c r="L1077" s="8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>
      <c r="A1078" s="7"/>
      <c r="B1078" s="7"/>
      <c r="C1078" s="7"/>
      <c r="D1078" s="7"/>
      <c r="E1078" s="116"/>
      <c r="F1078" s="116"/>
      <c r="G1078" s="8"/>
      <c r="H1078" s="8"/>
      <c r="I1078" s="7"/>
      <c r="J1078" s="8"/>
      <c r="K1078" s="8"/>
      <c r="L1078" s="8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>
      <c r="A1079" s="7"/>
      <c r="B1079" s="7"/>
      <c r="C1079" s="7"/>
      <c r="D1079" s="7"/>
      <c r="E1079" s="116"/>
      <c r="F1079" s="116"/>
      <c r="G1079" s="8"/>
      <c r="H1079" s="8"/>
      <c r="I1079" s="7"/>
      <c r="J1079" s="8"/>
      <c r="K1079" s="8"/>
      <c r="L1079" s="8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>
      <c r="A1080" s="7"/>
      <c r="B1080" s="7"/>
      <c r="C1080" s="7"/>
      <c r="D1080" s="7"/>
      <c r="E1080" s="116"/>
      <c r="F1080" s="116"/>
      <c r="G1080" s="8"/>
      <c r="H1080" s="8"/>
      <c r="I1080" s="7"/>
      <c r="J1080" s="8"/>
      <c r="K1080" s="8"/>
      <c r="L1080" s="8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>
      <c r="A1081" s="7"/>
      <c r="B1081" s="7"/>
      <c r="C1081" s="7"/>
      <c r="D1081" s="7"/>
      <c r="E1081" s="116"/>
      <c r="F1081" s="116"/>
      <c r="G1081" s="8"/>
      <c r="H1081" s="8"/>
      <c r="I1081" s="7"/>
      <c r="J1081" s="8"/>
      <c r="K1081" s="8"/>
      <c r="L1081" s="8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>
      <c r="A1082" s="7"/>
      <c r="B1082" s="7"/>
      <c r="C1082" s="7"/>
      <c r="D1082" s="7"/>
      <c r="E1082" s="116"/>
      <c r="F1082" s="116"/>
      <c r="G1082" s="8"/>
      <c r="H1082" s="8"/>
      <c r="I1082" s="7"/>
      <c r="J1082" s="8"/>
      <c r="K1082" s="8"/>
      <c r="L1082" s="8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>
      <c r="A1083" s="7"/>
      <c r="B1083" s="7"/>
      <c r="C1083" s="7"/>
      <c r="D1083" s="7"/>
      <c r="E1083" s="116"/>
      <c r="F1083" s="116"/>
      <c r="G1083" s="8"/>
      <c r="H1083" s="8"/>
      <c r="I1083" s="7"/>
      <c r="J1083" s="8"/>
      <c r="K1083" s="8"/>
      <c r="L1083" s="8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>
      <c r="A1084" s="7"/>
      <c r="B1084" s="7"/>
      <c r="C1084" s="7"/>
      <c r="D1084" s="7"/>
      <c r="E1084" s="116"/>
      <c r="F1084" s="116"/>
      <c r="G1084" s="8"/>
      <c r="H1084" s="8"/>
      <c r="I1084" s="7"/>
      <c r="J1084" s="8"/>
      <c r="K1084" s="8"/>
      <c r="L1084" s="8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>
      <c r="A1085" s="7"/>
      <c r="B1085" s="7"/>
      <c r="C1085" s="7"/>
      <c r="D1085" s="7"/>
      <c r="E1085" s="116"/>
      <c r="F1085" s="116"/>
      <c r="G1085" s="8"/>
      <c r="H1085" s="8"/>
      <c r="I1085" s="7"/>
      <c r="J1085" s="8"/>
      <c r="K1085" s="8"/>
      <c r="L1085" s="8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>
      <c r="A1086" s="7"/>
      <c r="B1086" s="7"/>
      <c r="C1086" s="7"/>
      <c r="D1086" s="7"/>
      <c r="E1086" s="116"/>
      <c r="F1086" s="116"/>
      <c r="G1086" s="8"/>
      <c r="H1086" s="8"/>
      <c r="I1086" s="7"/>
      <c r="J1086" s="8"/>
      <c r="K1086" s="8"/>
      <c r="L1086" s="8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>
      <c r="A1087" s="7"/>
      <c r="B1087" s="7"/>
      <c r="C1087" s="7"/>
      <c r="D1087" s="7"/>
      <c r="E1087" s="116"/>
      <c r="F1087" s="116"/>
      <c r="G1087" s="8"/>
      <c r="H1087" s="8"/>
      <c r="I1087" s="7"/>
      <c r="J1087" s="8"/>
      <c r="K1087" s="8"/>
      <c r="L1087" s="8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>
      <c r="A1088" s="7"/>
      <c r="B1088" s="7"/>
      <c r="C1088" s="7"/>
      <c r="D1088" s="7"/>
      <c r="E1088" s="116"/>
      <c r="F1088" s="116"/>
      <c r="G1088" s="8"/>
      <c r="H1088" s="8"/>
      <c r="I1088" s="7"/>
      <c r="J1088" s="8"/>
      <c r="K1088" s="8"/>
      <c r="L1088" s="8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>
      <c r="A1089" s="7"/>
      <c r="B1089" s="7"/>
      <c r="C1089" s="7"/>
      <c r="D1089" s="7"/>
      <c r="E1089" s="116"/>
      <c r="F1089" s="116"/>
      <c r="G1089" s="8"/>
      <c r="H1089" s="8"/>
      <c r="I1089" s="7"/>
      <c r="J1089" s="8"/>
      <c r="K1089" s="8"/>
      <c r="L1089" s="8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>
      <c r="A1090" s="7"/>
      <c r="B1090" s="7"/>
      <c r="C1090" s="7"/>
      <c r="D1090" s="7"/>
      <c r="E1090" s="116"/>
      <c r="F1090" s="116"/>
      <c r="G1090" s="8"/>
      <c r="H1090" s="8"/>
      <c r="I1090" s="7"/>
      <c r="J1090" s="8"/>
      <c r="K1090" s="8"/>
      <c r="L1090" s="8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>
      <c r="A1091" s="7"/>
      <c r="B1091" s="7"/>
      <c r="C1091" s="7"/>
      <c r="D1091" s="7"/>
      <c r="E1091" s="116"/>
      <c r="F1091" s="116"/>
      <c r="G1091" s="8"/>
      <c r="H1091" s="8"/>
      <c r="I1091" s="7"/>
      <c r="J1091" s="8"/>
      <c r="K1091" s="8"/>
      <c r="L1091" s="8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>
      <c r="A1092" s="7"/>
      <c r="B1092" s="7"/>
      <c r="C1092" s="7"/>
      <c r="D1092" s="7"/>
      <c r="E1092" s="116"/>
      <c r="F1092" s="116"/>
      <c r="G1092" s="8"/>
      <c r="H1092" s="8"/>
      <c r="I1092" s="7"/>
      <c r="J1092" s="8"/>
      <c r="K1092" s="8"/>
      <c r="L1092" s="8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>
      <c r="A1093" s="7"/>
      <c r="B1093" s="7"/>
      <c r="C1093" s="7"/>
      <c r="D1093" s="7"/>
      <c r="E1093" s="116"/>
      <c r="F1093" s="116"/>
      <c r="G1093" s="8"/>
      <c r="H1093" s="8"/>
      <c r="I1093" s="7"/>
      <c r="J1093" s="8"/>
      <c r="K1093" s="8"/>
      <c r="L1093" s="8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>
      <c r="A1094" s="7"/>
      <c r="B1094" s="7"/>
      <c r="C1094" s="7"/>
      <c r="D1094" s="7"/>
      <c r="E1094" s="116"/>
      <c r="F1094" s="116"/>
      <c r="G1094" s="8"/>
      <c r="H1094" s="8"/>
      <c r="I1094" s="7"/>
      <c r="J1094" s="8"/>
      <c r="K1094" s="8"/>
      <c r="L1094" s="8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>
      <c r="A1095" s="7"/>
      <c r="B1095" s="7"/>
      <c r="C1095" s="7"/>
      <c r="D1095" s="7"/>
      <c r="E1095" s="116"/>
      <c r="F1095" s="116"/>
      <c r="G1095" s="8"/>
      <c r="H1095" s="8"/>
      <c r="I1095" s="7"/>
      <c r="J1095" s="8"/>
      <c r="K1095" s="8"/>
      <c r="L1095" s="8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>
      <c r="A1096" s="7"/>
      <c r="B1096" s="7"/>
      <c r="C1096" s="7"/>
      <c r="D1096" s="7"/>
      <c r="E1096" s="116"/>
      <c r="F1096" s="116"/>
      <c r="G1096" s="8"/>
      <c r="H1096" s="8"/>
      <c r="I1096" s="7"/>
      <c r="J1096" s="8"/>
      <c r="K1096" s="8"/>
      <c r="L1096" s="8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>
      <c r="A1097" s="7"/>
      <c r="B1097" s="7"/>
      <c r="C1097" s="7"/>
      <c r="D1097" s="7"/>
      <c r="E1097" s="116"/>
      <c r="F1097" s="116"/>
      <c r="G1097" s="8"/>
      <c r="H1097" s="8"/>
      <c r="I1097" s="7"/>
      <c r="J1097" s="8"/>
      <c r="K1097" s="8"/>
      <c r="L1097" s="8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>
      <c r="A1098" s="7"/>
      <c r="B1098" s="7"/>
      <c r="C1098" s="7"/>
      <c r="D1098" s="7"/>
      <c r="E1098" s="116"/>
      <c r="F1098" s="116"/>
      <c r="G1098" s="8"/>
      <c r="H1098" s="8"/>
      <c r="I1098" s="7"/>
      <c r="J1098" s="8"/>
      <c r="K1098" s="8"/>
      <c r="L1098" s="8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>
      <c r="A1099" s="7"/>
      <c r="B1099" s="7"/>
      <c r="C1099" s="7"/>
      <c r="D1099" s="7"/>
      <c r="E1099" s="116"/>
      <c r="F1099" s="116"/>
      <c r="G1099" s="8"/>
      <c r="H1099" s="8"/>
      <c r="I1099" s="7"/>
      <c r="J1099" s="8"/>
      <c r="K1099" s="8"/>
      <c r="L1099" s="8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>
      <c r="A1100" s="7"/>
      <c r="B1100" s="7"/>
      <c r="C1100" s="7"/>
      <c r="D1100" s="7"/>
      <c r="E1100" s="116"/>
      <c r="F1100" s="116"/>
      <c r="G1100" s="8"/>
      <c r="H1100" s="8"/>
      <c r="I1100" s="7"/>
      <c r="J1100" s="8"/>
      <c r="K1100" s="8"/>
      <c r="L1100" s="8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>
      <c r="A1101" s="7"/>
      <c r="B1101" s="7"/>
      <c r="C1101" s="7"/>
      <c r="D1101" s="7"/>
      <c r="E1101" s="116"/>
      <c r="F1101" s="116"/>
      <c r="G1101" s="8"/>
      <c r="H1101" s="8"/>
      <c r="I1101" s="7"/>
      <c r="J1101" s="8"/>
      <c r="K1101" s="8"/>
      <c r="L1101" s="8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>
      <c r="A1102" s="7"/>
      <c r="B1102" s="7"/>
      <c r="C1102" s="7"/>
      <c r="D1102" s="7"/>
      <c r="E1102" s="116"/>
      <c r="F1102" s="116"/>
      <c r="G1102" s="8"/>
      <c r="H1102" s="8"/>
      <c r="I1102" s="7"/>
      <c r="J1102" s="8"/>
      <c r="K1102" s="8"/>
      <c r="L1102" s="8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>
      <c r="A1103" s="7"/>
      <c r="B1103" s="7"/>
      <c r="C1103" s="7"/>
      <c r="D1103" s="7"/>
      <c r="E1103" s="116"/>
      <c r="F1103" s="116"/>
      <c r="G1103" s="8"/>
      <c r="H1103" s="8"/>
      <c r="I1103" s="7"/>
      <c r="J1103" s="8"/>
      <c r="K1103" s="8"/>
      <c r="L1103" s="8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>
      <c r="A1104" s="7"/>
      <c r="B1104" s="7"/>
      <c r="C1104" s="7"/>
      <c r="D1104" s="7"/>
      <c r="E1104" s="116"/>
      <c r="F1104" s="116"/>
      <c r="G1104" s="8"/>
      <c r="H1104" s="8"/>
      <c r="I1104" s="7"/>
      <c r="J1104" s="8"/>
      <c r="K1104" s="8"/>
      <c r="L1104" s="8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>
      <c r="A1105" s="7"/>
      <c r="B1105" s="7"/>
      <c r="C1105" s="7"/>
      <c r="D1105" s="7"/>
      <c r="E1105" s="116"/>
      <c r="F1105" s="116"/>
      <c r="G1105" s="8"/>
      <c r="H1105" s="8"/>
      <c r="I1105" s="7"/>
      <c r="J1105" s="8"/>
      <c r="K1105" s="8"/>
      <c r="L1105" s="8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>
      <c r="A1106" s="7"/>
      <c r="B1106" s="7"/>
      <c r="C1106" s="7"/>
      <c r="D1106" s="7"/>
      <c r="E1106" s="116"/>
      <c r="F1106" s="116"/>
      <c r="G1106" s="8"/>
      <c r="H1106" s="8"/>
      <c r="I1106" s="7"/>
      <c r="J1106" s="8"/>
      <c r="K1106" s="8"/>
      <c r="L1106" s="8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>
      <c r="A1107" s="7"/>
      <c r="B1107" s="7"/>
      <c r="C1107" s="7"/>
      <c r="D1107" s="7"/>
      <c r="E1107" s="116"/>
      <c r="F1107" s="116"/>
      <c r="G1107" s="8"/>
      <c r="H1107" s="8"/>
      <c r="I1107" s="7"/>
      <c r="J1107" s="8"/>
      <c r="K1107" s="8"/>
      <c r="L1107" s="8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>
      <c r="A1108" s="7"/>
      <c r="B1108" s="7"/>
      <c r="C1108" s="7"/>
      <c r="D1108" s="7"/>
      <c r="E1108" s="116"/>
      <c r="F1108" s="116"/>
      <c r="G1108" s="8"/>
      <c r="H1108" s="8"/>
      <c r="I1108" s="7"/>
      <c r="J1108" s="8"/>
      <c r="K1108" s="8"/>
      <c r="L1108" s="8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>
      <c r="A1109" s="7"/>
      <c r="B1109" s="7"/>
      <c r="C1109" s="7"/>
      <c r="D1109" s="7"/>
      <c r="E1109" s="116"/>
      <c r="F1109" s="116"/>
      <c r="G1109" s="8"/>
      <c r="H1109" s="8"/>
      <c r="I1109" s="7"/>
      <c r="J1109" s="8"/>
      <c r="K1109" s="8"/>
      <c r="L1109" s="8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>
      <c r="A1110" s="7"/>
      <c r="B1110" s="7"/>
      <c r="C1110" s="7"/>
      <c r="D1110" s="7"/>
      <c r="E1110" s="116"/>
      <c r="F1110" s="116"/>
      <c r="G1110" s="8"/>
      <c r="H1110" s="8"/>
      <c r="I1110" s="7"/>
      <c r="J1110" s="8"/>
      <c r="K1110" s="8"/>
      <c r="L1110" s="8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>
      <c r="A1111" s="7"/>
      <c r="B1111" s="7"/>
      <c r="C1111" s="7"/>
      <c r="D1111" s="7"/>
      <c r="E1111" s="116"/>
      <c r="F1111" s="116"/>
      <c r="G1111" s="8"/>
      <c r="H1111" s="8"/>
      <c r="I1111" s="7"/>
      <c r="J1111" s="8"/>
      <c r="K1111" s="8"/>
      <c r="L1111" s="8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>
      <c r="A1112" s="7"/>
      <c r="B1112" s="7"/>
      <c r="C1112" s="7"/>
      <c r="D1112" s="7"/>
      <c r="E1112" s="116"/>
      <c r="F1112" s="116"/>
      <c r="G1112" s="8"/>
      <c r="H1112" s="8"/>
      <c r="I1112" s="7"/>
      <c r="J1112" s="8"/>
      <c r="K1112" s="8"/>
      <c r="L1112" s="8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>
      <c r="A1113" s="7"/>
      <c r="B1113" s="7"/>
      <c r="C1113" s="7"/>
      <c r="D1113" s="7"/>
      <c r="E1113" s="116"/>
      <c r="F1113" s="116"/>
      <c r="G1113" s="8"/>
      <c r="H1113" s="8"/>
      <c r="I1113" s="7"/>
      <c r="J1113" s="8"/>
      <c r="K1113" s="8"/>
      <c r="L1113" s="8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>
      <c r="A1114" s="7"/>
      <c r="B1114" s="7"/>
      <c r="C1114" s="7"/>
      <c r="D1114" s="7"/>
      <c r="E1114" s="116"/>
      <c r="F1114" s="116"/>
      <c r="G1114" s="8"/>
      <c r="H1114" s="8"/>
      <c r="I1114" s="7"/>
      <c r="J1114" s="8"/>
      <c r="K1114" s="8"/>
      <c r="L1114" s="8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>
      <c r="A1115" s="7"/>
      <c r="B1115" s="7"/>
      <c r="C1115" s="7"/>
      <c r="D1115" s="7"/>
      <c r="E1115" s="116"/>
      <c r="F1115" s="116"/>
      <c r="G1115" s="8"/>
      <c r="H1115" s="8"/>
      <c r="I1115" s="7"/>
      <c r="J1115" s="8"/>
      <c r="K1115" s="8"/>
      <c r="L1115" s="8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>
      <c r="A1116" s="7"/>
      <c r="B1116" s="7"/>
      <c r="C1116" s="7"/>
      <c r="D1116" s="7"/>
      <c r="E1116" s="116"/>
      <c r="F1116" s="116"/>
      <c r="G1116" s="8"/>
      <c r="H1116" s="8"/>
      <c r="I1116" s="7"/>
      <c r="J1116" s="8"/>
      <c r="K1116" s="8"/>
      <c r="L1116" s="8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>
      <c r="A1117" s="7"/>
      <c r="B1117" s="7"/>
      <c r="C1117" s="7"/>
      <c r="D1117" s="7"/>
      <c r="E1117" s="116"/>
      <c r="F1117" s="116"/>
      <c r="G1117" s="8"/>
      <c r="H1117" s="8"/>
      <c r="I1117" s="7"/>
      <c r="J1117" s="8"/>
      <c r="K1117" s="8"/>
      <c r="L1117" s="8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>
      <c r="A1118" s="7"/>
      <c r="B1118" s="7"/>
      <c r="C1118" s="7"/>
      <c r="D1118" s="7"/>
      <c r="E1118" s="116"/>
      <c r="F1118" s="116"/>
      <c r="G1118" s="8"/>
      <c r="H1118" s="8"/>
      <c r="I1118" s="7"/>
      <c r="J1118" s="8"/>
      <c r="K1118" s="8"/>
      <c r="L1118" s="8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>
      <c r="A1119" s="7"/>
      <c r="B1119" s="7"/>
      <c r="C1119" s="7"/>
      <c r="D1119" s="7"/>
      <c r="E1119" s="116"/>
      <c r="F1119" s="116"/>
      <c r="G1119" s="8"/>
      <c r="H1119" s="8"/>
      <c r="I1119" s="7"/>
      <c r="J1119" s="8"/>
      <c r="K1119" s="8"/>
      <c r="L1119" s="8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>
      <c r="A1120" s="7"/>
      <c r="B1120" s="7"/>
      <c r="C1120" s="7"/>
      <c r="D1120" s="7"/>
      <c r="E1120" s="116"/>
      <c r="F1120" s="116"/>
      <c r="G1120" s="8"/>
      <c r="H1120" s="8"/>
      <c r="I1120" s="7"/>
      <c r="J1120" s="8"/>
      <c r="K1120" s="8"/>
      <c r="L1120" s="8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>
      <c r="A1121" s="7"/>
      <c r="B1121" s="7"/>
      <c r="C1121" s="7"/>
      <c r="D1121" s="7"/>
      <c r="E1121" s="116"/>
      <c r="F1121" s="116"/>
      <c r="G1121" s="8"/>
      <c r="H1121" s="8"/>
      <c r="I1121" s="7"/>
      <c r="J1121" s="8"/>
      <c r="K1121" s="8"/>
      <c r="L1121" s="8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>
      <c r="A1122" s="7"/>
      <c r="B1122" s="7"/>
      <c r="C1122" s="7"/>
      <c r="D1122" s="7"/>
      <c r="E1122" s="116"/>
      <c r="F1122" s="116"/>
      <c r="G1122" s="8"/>
      <c r="H1122" s="8"/>
      <c r="I1122" s="7"/>
      <c r="J1122" s="8"/>
      <c r="K1122" s="8"/>
      <c r="L1122" s="8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>
      <c r="A1123" s="7"/>
      <c r="B1123" s="7"/>
      <c r="C1123" s="7"/>
      <c r="D1123" s="7"/>
      <c r="E1123" s="116"/>
      <c r="F1123" s="116"/>
      <c r="G1123" s="8"/>
      <c r="H1123" s="8"/>
      <c r="I1123" s="7"/>
      <c r="J1123" s="8"/>
      <c r="K1123" s="8"/>
      <c r="L1123" s="8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>
      <c r="A1124" s="7"/>
      <c r="B1124" s="7"/>
      <c r="C1124" s="7"/>
      <c r="D1124" s="7"/>
      <c r="E1124" s="116"/>
      <c r="F1124" s="116"/>
      <c r="G1124" s="8"/>
      <c r="H1124" s="8"/>
      <c r="I1124" s="7"/>
      <c r="J1124" s="8"/>
      <c r="K1124" s="8"/>
      <c r="L1124" s="8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>
      <c r="A1125" s="7"/>
      <c r="B1125" s="7"/>
      <c r="C1125" s="7"/>
      <c r="D1125" s="7"/>
      <c r="E1125" s="116"/>
      <c r="F1125" s="116"/>
      <c r="G1125" s="8"/>
      <c r="H1125" s="8"/>
      <c r="I1125" s="7"/>
      <c r="J1125" s="8"/>
      <c r="K1125" s="8"/>
      <c r="L1125" s="8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>
      <c r="A1126" s="7"/>
      <c r="B1126" s="7"/>
      <c r="C1126" s="7"/>
      <c r="D1126" s="7"/>
      <c r="E1126" s="116"/>
      <c r="F1126" s="116"/>
      <c r="G1126" s="8"/>
      <c r="H1126" s="8"/>
      <c r="I1126" s="7"/>
      <c r="J1126" s="8"/>
      <c r="K1126" s="8"/>
      <c r="L1126" s="8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>
      <c r="A1127" s="7"/>
      <c r="B1127" s="7"/>
      <c r="C1127" s="7"/>
      <c r="D1127" s="7"/>
      <c r="E1127" s="116"/>
      <c r="F1127" s="116"/>
      <c r="G1127" s="8"/>
      <c r="H1127" s="8"/>
      <c r="I1127" s="7"/>
      <c r="J1127" s="8"/>
      <c r="K1127" s="8"/>
      <c r="L1127" s="8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>
      <c r="A1128" s="7"/>
      <c r="B1128" s="7"/>
      <c r="C1128" s="7"/>
      <c r="D1128" s="7"/>
      <c r="E1128" s="116"/>
      <c r="F1128" s="116"/>
      <c r="G1128" s="8"/>
      <c r="H1128" s="8"/>
      <c r="I1128" s="7"/>
      <c r="J1128" s="8"/>
      <c r="K1128" s="8"/>
      <c r="L1128" s="8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>
      <c r="A1129" s="7"/>
      <c r="B1129" s="7"/>
      <c r="C1129" s="7"/>
      <c r="D1129" s="7"/>
      <c r="E1129" s="116"/>
      <c r="F1129" s="116"/>
      <c r="G1129" s="8"/>
      <c r="H1129" s="8"/>
      <c r="I1129" s="7"/>
      <c r="J1129" s="8"/>
      <c r="K1129" s="8"/>
      <c r="L1129" s="8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>
      <c r="A1130" s="7"/>
      <c r="B1130" s="7"/>
      <c r="C1130" s="7"/>
      <c r="D1130" s="7"/>
      <c r="E1130" s="116"/>
      <c r="F1130" s="116"/>
      <c r="G1130" s="8"/>
      <c r="H1130" s="8"/>
      <c r="I1130" s="7"/>
      <c r="J1130" s="8"/>
      <c r="K1130" s="8"/>
      <c r="L1130" s="8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>
      <c r="A1131" s="7"/>
      <c r="B1131" s="7"/>
      <c r="C1131" s="7"/>
      <c r="D1131" s="7"/>
      <c r="E1131" s="116"/>
      <c r="F1131" s="116"/>
      <c r="G1131" s="8"/>
      <c r="H1131" s="8"/>
      <c r="I1131" s="7"/>
      <c r="J1131" s="8"/>
      <c r="K1131" s="8"/>
      <c r="L1131" s="8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>
      <c r="A1132" s="7"/>
      <c r="B1132" s="7"/>
      <c r="C1132" s="7"/>
      <c r="D1132" s="7"/>
      <c r="E1132" s="116"/>
      <c r="F1132" s="116"/>
      <c r="G1132" s="8"/>
      <c r="H1132" s="8"/>
      <c r="I1132" s="7"/>
      <c r="J1132" s="8"/>
      <c r="K1132" s="8"/>
      <c r="L1132" s="8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>
      <c r="A1133" s="7"/>
      <c r="B1133" s="7"/>
      <c r="C1133" s="7"/>
      <c r="D1133" s="7"/>
      <c r="E1133" s="116"/>
      <c r="F1133" s="116"/>
      <c r="G1133" s="8"/>
      <c r="H1133" s="8"/>
      <c r="I1133" s="7"/>
      <c r="J1133" s="8"/>
      <c r="K1133" s="8"/>
      <c r="L1133" s="8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>
      <c r="A1134" s="7"/>
      <c r="B1134" s="7"/>
      <c r="C1134" s="7"/>
      <c r="D1134" s="7"/>
      <c r="E1134" s="116"/>
      <c r="F1134" s="116"/>
      <c r="G1134" s="8"/>
      <c r="H1134" s="8"/>
      <c r="I1134" s="7"/>
      <c r="J1134" s="8"/>
      <c r="K1134" s="8"/>
      <c r="L1134" s="8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>
      <c r="A1135" s="7"/>
      <c r="B1135" s="7"/>
      <c r="C1135" s="7"/>
      <c r="D1135" s="7"/>
      <c r="E1135" s="116"/>
      <c r="F1135" s="116"/>
      <c r="G1135" s="8"/>
      <c r="H1135" s="8"/>
      <c r="I1135" s="7"/>
      <c r="J1135" s="8"/>
      <c r="K1135" s="8"/>
      <c r="L1135" s="8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>
      <c r="A1136" s="7"/>
      <c r="B1136" s="7"/>
      <c r="C1136" s="7"/>
      <c r="D1136" s="7"/>
      <c r="E1136" s="116"/>
      <c r="F1136" s="116"/>
      <c r="G1136" s="8"/>
      <c r="H1136" s="8"/>
      <c r="I1136" s="7"/>
      <c r="J1136" s="8"/>
      <c r="K1136" s="8"/>
      <c r="L1136" s="8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>
      <c r="A1137" s="7"/>
      <c r="B1137" s="7"/>
      <c r="C1137" s="7"/>
      <c r="D1137" s="7"/>
      <c r="E1137" s="116"/>
      <c r="F1137" s="116"/>
      <c r="G1137" s="8"/>
      <c r="H1137" s="8"/>
      <c r="I1137" s="7"/>
      <c r="J1137" s="8"/>
      <c r="K1137" s="8"/>
      <c r="L1137" s="8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>
      <c r="A1138" s="7"/>
      <c r="B1138" s="7"/>
      <c r="C1138" s="7"/>
      <c r="D1138" s="7"/>
      <c r="E1138" s="116"/>
      <c r="F1138" s="116"/>
      <c r="G1138" s="8"/>
      <c r="H1138" s="8"/>
      <c r="I1138" s="7"/>
      <c r="J1138" s="8"/>
      <c r="K1138" s="8"/>
      <c r="L1138" s="8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>
      <c r="A1139" s="7"/>
      <c r="B1139" s="7"/>
      <c r="C1139" s="7"/>
      <c r="D1139" s="7"/>
      <c r="E1139" s="116"/>
      <c r="F1139" s="116"/>
      <c r="G1139" s="8"/>
      <c r="H1139" s="8"/>
      <c r="I1139" s="7"/>
      <c r="J1139" s="8"/>
      <c r="K1139" s="8"/>
      <c r="L1139" s="8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>
      <c r="A1140" s="7"/>
      <c r="B1140" s="7"/>
      <c r="C1140" s="7"/>
      <c r="D1140" s="7"/>
      <c r="E1140" s="116"/>
      <c r="F1140" s="116"/>
      <c r="G1140" s="8"/>
      <c r="H1140" s="8"/>
      <c r="I1140" s="7"/>
      <c r="J1140" s="8"/>
      <c r="K1140" s="8"/>
      <c r="L1140" s="8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>
      <c r="A1141" s="7"/>
      <c r="B1141" s="7"/>
      <c r="C1141" s="7"/>
      <c r="D1141" s="7"/>
      <c r="E1141" s="116"/>
      <c r="F1141" s="116"/>
      <c r="G1141" s="8"/>
      <c r="H1141" s="8"/>
      <c r="I1141" s="7"/>
      <c r="J1141" s="8"/>
      <c r="K1141" s="8"/>
      <c r="L1141" s="8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>
      <c r="A1142" s="7"/>
      <c r="B1142" s="7"/>
      <c r="C1142" s="7"/>
      <c r="D1142" s="7"/>
      <c r="E1142" s="116"/>
      <c r="F1142" s="116"/>
      <c r="G1142" s="8"/>
      <c r="H1142" s="8"/>
      <c r="I1142" s="7"/>
      <c r="J1142" s="8"/>
      <c r="K1142" s="8"/>
      <c r="L1142" s="8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>
      <c r="A1143" s="7"/>
      <c r="B1143" s="7"/>
      <c r="C1143" s="7"/>
      <c r="D1143" s="7"/>
      <c r="E1143" s="116"/>
      <c r="F1143" s="116"/>
      <c r="G1143" s="8"/>
      <c r="H1143" s="8"/>
      <c r="I1143" s="7"/>
      <c r="J1143" s="8"/>
      <c r="K1143" s="8"/>
      <c r="L1143" s="8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>
      <c r="A1144" s="7"/>
      <c r="B1144" s="7"/>
      <c r="C1144" s="7"/>
      <c r="D1144" s="7"/>
      <c r="E1144" s="116"/>
      <c r="F1144" s="116"/>
      <c r="G1144" s="8"/>
      <c r="H1144" s="8"/>
      <c r="I1144" s="7"/>
      <c r="J1144" s="8"/>
      <c r="K1144" s="8"/>
      <c r="L1144" s="8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>
      <c r="A1145" s="7"/>
      <c r="B1145" s="7"/>
      <c r="C1145" s="7"/>
      <c r="D1145" s="7"/>
      <c r="E1145" s="116"/>
      <c r="F1145" s="116"/>
      <c r="G1145" s="8"/>
      <c r="H1145" s="8"/>
      <c r="I1145" s="7"/>
      <c r="J1145" s="8"/>
      <c r="K1145" s="8"/>
      <c r="L1145" s="8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>
      <c r="A1146" s="7"/>
      <c r="B1146" s="7"/>
      <c r="C1146" s="7"/>
      <c r="D1146" s="7"/>
      <c r="E1146" s="116"/>
      <c r="F1146" s="116"/>
      <c r="G1146" s="8"/>
      <c r="H1146" s="8"/>
      <c r="I1146" s="7"/>
      <c r="J1146" s="8"/>
      <c r="K1146" s="8"/>
      <c r="L1146" s="8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>
      <c r="A1147" s="7"/>
      <c r="B1147" s="7"/>
      <c r="C1147" s="7"/>
      <c r="D1147" s="7"/>
      <c r="E1147" s="116"/>
      <c r="F1147" s="116"/>
      <c r="G1147" s="8"/>
      <c r="H1147" s="8"/>
      <c r="I1147" s="7"/>
      <c r="J1147" s="8"/>
      <c r="K1147" s="8"/>
      <c r="L1147" s="8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>
      <c r="A1148" s="7"/>
      <c r="B1148" s="7"/>
      <c r="C1148" s="7"/>
      <c r="D1148" s="7"/>
      <c r="E1148" s="116"/>
      <c r="F1148" s="116"/>
      <c r="G1148" s="8"/>
      <c r="H1148" s="8"/>
      <c r="I1148" s="7"/>
      <c r="J1148" s="8"/>
      <c r="K1148" s="8"/>
      <c r="L1148" s="8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>
      <c r="A1149" s="7"/>
      <c r="B1149" s="7"/>
      <c r="C1149" s="7"/>
      <c r="D1149" s="7"/>
      <c r="E1149" s="116"/>
      <c r="F1149" s="116"/>
      <c r="G1149" s="8"/>
      <c r="H1149" s="8"/>
      <c r="I1149" s="7"/>
      <c r="J1149" s="8"/>
      <c r="K1149" s="8"/>
      <c r="L1149" s="8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>
      <c r="A1150" s="7"/>
      <c r="B1150" s="7"/>
      <c r="C1150" s="7"/>
      <c r="D1150" s="7"/>
      <c r="E1150" s="116"/>
      <c r="F1150" s="116"/>
      <c r="G1150" s="8"/>
      <c r="H1150" s="8"/>
      <c r="I1150" s="7"/>
      <c r="J1150" s="8"/>
      <c r="K1150" s="8"/>
      <c r="L1150" s="8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>
      <c r="A1151" s="7"/>
      <c r="B1151" s="7"/>
      <c r="C1151" s="7"/>
      <c r="D1151" s="7"/>
      <c r="E1151" s="116"/>
      <c r="F1151" s="116"/>
      <c r="G1151" s="8"/>
      <c r="H1151" s="8"/>
      <c r="I1151" s="7"/>
      <c r="J1151" s="8"/>
      <c r="K1151" s="8"/>
      <c r="L1151" s="8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>
      <c r="A1152" s="7"/>
      <c r="B1152" s="7"/>
      <c r="C1152" s="7"/>
      <c r="D1152" s="7"/>
      <c r="E1152" s="116"/>
      <c r="F1152" s="116"/>
      <c r="G1152" s="8"/>
      <c r="H1152" s="8"/>
      <c r="I1152" s="7"/>
      <c r="J1152" s="8"/>
      <c r="K1152" s="8"/>
      <c r="L1152" s="8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>
      <c r="A1153" s="7"/>
      <c r="B1153" s="7"/>
      <c r="C1153" s="7"/>
      <c r="D1153" s="7"/>
      <c r="E1153" s="116"/>
      <c r="F1153" s="116"/>
      <c r="G1153" s="8"/>
      <c r="H1153" s="8"/>
      <c r="I1153" s="7"/>
      <c r="J1153" s="8"/>
      <c r="K1153" s="8"/>
      <c r="L1153" s="8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>
      <c r="A1154" s="7"/>
      <c r="B1154" s="7"/>
      <c r="C1154" s="7"/>
      <c r="D1154" s="7"/>
      <c r="E1154" s="116"/>
      <c r="F1154" s="116"/>
      <c r="G1154" s="8"/>
      <c r="H1154" s="8"/>
      <c r="I1154" s="7"/>
      <c r="J1154" s="8"/>
      <c r="K1154" s="8"/>
      <c r="L1154" s="8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>
      <c r="A1155" s="7"/>
      <c r="B1155" s="7"/>
      <c r="C1155" s="7"/>
      <c r="D1155" s="7"/>
      <c r="E1155" s="116"/>
      <c r="F1155" s="116"/>
      <c r="G1155" s="8"/>
      <c r="H1155" s="8"/>
      <c r="I1155" s="7"/>
      <c r="J1155" s="8"/>
      <c r="K1155" s="8"/>
      <c r="L1155" s="8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>
      <c r="A1156" s="7"/>
      <c r="B1156" s="7"/>
      <c r="C1156" s="7"/>
      <c r="D1156" s="7"/>
      <c r="E1156" s="116"/>
      <c r="F1156" s="116"/>
      <c r="G1156" s="8"/>
      <c r="H1156" s="8"/>
      <c r="I1156" s="7"/>
      <c r="J1156" s="8"/>
      <c r="K1156" s="8"/>
      <c r="L1156" s="8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>
      <c r="A1157" s="7"/>
      <c r="B1157" s="7"/>
      <c r="C1157" s="7"/>
      <c r="D1157" s="7"/>
      <c r="E1157" s="116"/>
      <c r="F1157" s="116"/>
      <c r="G1157" s="8"/>
      <c r="H1157" s="8"/>
      <c r="I1157" s="7"/>
      <c r="J1157" s="8"/>
      <c r="K1157" s="8"/>
      <c r="L1157" s="8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>
      <c r="A1158" s="7"/>
      <c r="B1158" s="7"/>
      <c r="C1158" s="7"/>
      <c r="D1158" s="7"/>
      <c r="E1158" s="116"/>
      <c r="F1158" s="116"/>
      <c r="G1158" s="8"/>
      <c r="H1158" s="8"/>
      <c r="I1158" s="7"/>
      <c r="J1158" s="8"/>
      <c r="K1158" s="8"/>
      <c r="L1158" s="8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>
      <c r="A1159" s="7"/>
      <c r="B1159" s="7"/>
      <c r="C1159" s="7"/>
      <c r="D1159" s="7"/>
      <c r="E1159" s="116"/>
      <c r="F1159" s="116"/>
      <c r="G1159" s="8"/>
      <c r="H1159" s="8"/>
      <c r="I1159" s="7"/>
      <c r="J1159" s="8"/>
      <c r="K1159" s="8"/>
      <c r="L1159" s="8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>
      <c r="A1160" s="7"/>
      <c r="B1160" s="7"/>
      <c r="C1160" s="7"/>
      <c r="D1160" s="7"/>
      <c r="E1160" s="116"/>
      <c r="F1160" s="116"/>
      <c r="G1160" s="8"/>
      <c r="H1160" s="8"/>
      <c r="I1160" s="7"/>
      <c r="J1160" s="8"/>
      <c r="K1160" s="8"/>
      <c r="L1160" s="8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>
      <c r="A1161" s="7"/>
      <c r="B1161" s="7"/>
      <c r="C1161" s="7"/>
      <c r="D1161" s="7"/>
      <c r="E1161" s="116"/>
      <c r="F1161" s="116"/>
      <c r="G1161" s="8"/>
      <c r="H1161" s="8"/>
      <c r="I1161" s="7"/>
      <c r="J1161" s="8"/>
      <c r="K1161" s="8"/>
      <c r="L1161" s="8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>
      <c r="A1162" s="7"/>
      <c r="B1162" s="7"/>
      <c r="C1162" s="7"/>
      <c r="D1162" s="7"/>
      <c r="E1162" s="116"/>
      <c r="F1162" s="116"/>
      <c r="G1162" s="8"/>
      <c r="H1162" s="8"/>
      <c r="I1162" s="7"/>
      <c r="J1162" s="8"/>
      <c r="K1162" s="8"/>
      <c r="L1162" s="8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>
      <c r="A1163" s="7"/>
      <c r="B1163" s="7"/>
      <c r="C1163" s="7"/>
      <c r="D1163" s="7"/>
      <c r="E1163" s="116"/>
      <c r="F1163" s="116"/>
      <c r="G1163" s="8"/>
      <c r="H1163" s="8"/>
      <c r="I1163" s="7"/>
      <c r="J1163" s="8"/>
      <c r="K1163" s="8"/>
      <c r="L1163" s="8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>
      <c r="A1164" s="7"/>
      <c r="B1164" s="7"/>
      <c r="C1164" s="7"/>
      <c r="D1164" s="7"/>
      <c r="E1164" s="116"/>
      <c r="F1164" s="116"/>
      <c r="G1164" s="8"/>
      <c r="H1164" s="8"/>
      <c r="I1164" s="7"/>
      <c r="J1164" s="8"/>
      <c r="K1164" s="8"/>
      <c r="L1164" s="8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>
      <c r="A1165" s="7"/>
      <c r="B1165" s="7"/>
      <c r="C1165" s="7"/>
      <c r="D1165" s="7"/>
      <c r="E1165" s="116"/>
      <c r="F1165" s="116"/>
      <c r="G1165" s="8"/>
      <c r="H1165" s="8"/>
      <c r="I1165" s="7"/>
      <c r="J1165" s="8"/>
      <c r="K1165" s="8"/>
      <c r="L1165" s="8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>
      <c r="A1166" s="7"/>
      <c r="B1166" s="7"/>
      <c r="C1166" s="7"/>
      <c r="D1166" s="7"/>
      <c r="E1166" s="116"/>
      <c r="F1166" s="116"/>
      <c r="G1166" s="8"/>
      <c r="H1166" s="8"/>
      <c r="I1166" s="7"/>
      <c r="J1166" s="8"/>
      <c r="K1166" s="8"/>
      <c r="L1166" s="8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>
      <c r="A1167" s="7"/>
      <c r="B1167" s="7"/>
      <c r="C1167" s="7"/>
      <c r="D1167" s="7"/>
      <c r="E1167" s="116"/>
      <c r="F1167" s="116"/>
      <c r="G1167" s="8"/>
      <c r="H1167" s="8"/>
      <c r="I1167" s="7"/>
      <c r="J1167" s="8"/>
      <c r="K1167" s="8"/>
      <c r="L1167" s="8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>
      <c r="A1168" s="7"/>
      <c r="B1168" s="7"/>
      <c r="C1168" s="7"/>
      <c r="D1168" s="7"/>
      <c r="E1168" s="116"/>
      <c r="F1168" s="116"/>
      <c r="G1168" s="8"/>
      <c r="H1168" s="8"/>
      <c r="I1168" s="7"/>
      <c r="J1168" s="8"/>
      <c r="K1168" s="8"/>
      <c r="L1168" s="8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>
      <c r="A1169" s="7"/>
      <c r="B1169" s="7"/>
      <c r="C1169" s="7"/>
      <c r="D1169" s="7"/>
      <c r="E1169" s="116"/>
      <c r="F1169" s="116"/>
      <c r="G1169" s="8"/>
      <c r="H1169" s="8"/>
      <c r="I1169" s="7"/>
      <c r="J1169" s="8"/>
      <c r="K1169" s="8"/>
      <c r="L1169" s="8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>
      <c r="A1170" s="7"/>
      <c r="B1170" s="7"/>
      <c r="C1170" s="7"/>
      <c r="D1170" s="7"/>
      <c r="E1170" s="116"/>
      <c r="F1170" s="116"/>
      <c r="G1170" s="8"/>
      <c r="H1170" s="8"/>
      <c r="I1170" s="7"/>
      <c r="J1170" s="8"/>
      <c r="K1170" s="8"/>
      <c r="L1170" s="8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>
      <c r="A1171" s="7"/>
      <c r="B1171" s="7"/>
      <c r="C1171" s="7"/>
      <c r="D1171" s="7"/>
      <c r="E1171" s="116"/>
      <c r="F1171" s="116"/>
      <c r="G1171" s="8"/>
      <c r="H1171" s="8"/>
      <c r="I1171" s="7"/>
      <c r="J1171" s="8"/>
      <c r="K1171" s="8"/>
      <c r="L1171" s="8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>
      <c r="A1172" s="7"/>
      <c r="B1172" s="7"/>
      <c r="C1172" s="7"/>
      <c r="D1172" s="7"/>
      <c r="E1172" s="116"/>
      <c r="F1172" s="116"/>
      <c r="G1172" s="8"/>
      <c r="H1172" s="8"/>
      <c r="I1172" s="7"/>
      <c r="J1172" s="8"/>
      <c r="K1172" s="8"/>
      <c r="L1172" s="8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>
      <c r="A1173" s="7"/>
      <c r="B1173" s="7"/>
      <c r="C1173" s="7"/>
      <c r="D1173" s="7"/>
      <c r="E1173" s="116"/>
      <c r="F1173" s="116"/>
      <c r="G1173" s="8"/>
      <c r="H1173" s="8"/>
      <c r="I1173" s="7"/>
      <c r="J1173" s="8"/>
      <c r="K1173" s="8"/>
      <c r="L1173" s="8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>
      <c r="A1174" s="7"/>
      <c r="B1174" s="7"/>
      <c r="C1174" s="7"/>
      <c r="D1174" s="7"/>
      <c r="E1174" s="116"/>
      <c r="F1174" s="116"/>
      <c r="G1174" s="8"/>
      <c r="H1174" s="8"/>
      <c r="I1174" s="7"/>
      <c r="J1174" s="8"/>
      <c r="K1174" s="8"/>
      <c r="L1174" s="8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>
      <c r="A1175" s="7"/>
      <c r="B1175" s="7"/>
      <c r="C1175" s="7"/>
      <c r="D1175" s="7"/>
      <c r="E1175" s="116"/>
      <c r="F1175" s="116"/>
      <c r="G1175" s="8"/>
      <c r="H1175" s="8"/>
      <c r="I1175" s="7"/>
      <c r="J1175" s="8"/>
      <c r="K1175" s="8"/>
      <c r="L1175" s="8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>
      <c r="A1176" s="7"/>
      <c r="B1176" s="7"/>
      <c r="C1176" s="7"/>
      <c r="D1176" s="7"/>
      <c r="E1176" s="116"/>
      <c r="F1176" s="116"/>
      <c r="G1176" s="8"/>
      <c r="H1176" s="8"/>
      <c r="I1176" s="7"/>
      <c r="J1176" s="8"/>
      <c r="K1176" s="8"/>
      <c r="L1176" s="8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>
      <c r="A1177" s="7"/>
      <c r="B1177" s="7"/>
      <c r="C1177" s="7"/>
      <c r="D1177" s="7"/>
      <c r="E1177" s="116"/>
      <c r="F1177" s="116"/>
      <c r="G1177" s="8"/>
      <c r="H1177" s="8"/>
      <c r="I1177" s="7"/>
      <c r="J1177" s="8"/>
      <c r="K1177" s="8"/>
      <c r="L1177" s="8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>
      <c r="A1178" s="7"/>
      <c r="B1178" s="7"/>
      <c r="C1178" s="7"/>
      <c r="D1178" s="7"/>
      <c r="E1178" s="116"/>
      <c r="F1178" s="116"/>
      <c r="G1178" s="8"/>
      <c r="H1178" s="8"/>
      <c r="I1178" s="7"/>
      <c r="J1178" s="8"/>
      <c r="K1178" s="8"/>
      <c r="L1178" s="8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>
      <c r="A1179" s="7"/>
      <c r="B1179" s="7"/>
      <c r="C1179" s="7"/>
      <c r="D1179" s="7"/>
      <c r="E1179" s="116"/>
      <c r="F1179" s="116"/>
      <c r="G1179" s="8"/>
      <c r="H1179" s="8"/>
      <c r="I1179" s="7"/>
      <c r="J1179" s="8"/>
      <c r="K1179" s="8"/>
      <c r="L1179" s="8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>
      <c r="A1180" s="7"/>
      <c r="B1180" s="7"/>
      <c r="C1180" s="7"/>
      <c r="D1180" s="7"/>
      <c r="E1180" s="116"/>
      <c r="F1180" s="116"/>
      <c r="G1180" s="8"/>
      <c r="H1180" s="8"/>
      <c r="I1180" s="7"/>
      <c r="J1180" s="8"/>
      <c r="K1180" s="8"/>
      <c r="L1180" s="8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>
      <c r="A1181" s="7"/>
      <c r="B1181" s="7"/>
      <c r="C1181" s="7"/>
      <c r="D1181" s="7"/>
      <c r="E1181" s="116"/>
      <c r="F1181" s="116"/>
      <c r="G1181" s="8"/>
      <c r="H1181" s="8"/>
      <c r="I1181" s="7"/>
      <c r="J1181" s="8"/>
      <c r="K1181" s="8"/>
      <c r="L1181" s="8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>
      <c r="A1182" s="7"/>
      <c r="B1182" s="7"/>
      <c r="C1182" s="7"/>
      <c r="D1182" s="7"/>
      <c r="E1182" s="116"/>
      <c r="F1182" s="116"/>
      <c r="G1182" s="8"/>
      <c r="H1182" s="8"/>
      <c r="I1182" s="7"/>
      <c r="J1182" s="8"/>
      <c r="K1182" s="8"/>
      <c r="L1182" s="8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>
      <c r="A1183" s="7"/>
      <c r="B1183" s="7"/>
      <c r="C1183" s="7"/>
      <c r="D1183" s="7"/>
      <c r="E1183" s="116"/>
      <c r="F1183" s="116"/>
      <c r="G1183" s="8"/>
      <c r="H1183" s="8"/>
      <c r="I1183" s="7"/>
      <c r="J1183" s="8"/>
      <c r="K1183" s="8"/>
      <c r="L1183" s="8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>
      <c r="A1184" s="7"/>
      <c r="B1184" s="7"/>
      <c r="C1184" s="7"/>
      <c r="D1184" s="7"/>
      <c r="E1184" s="116"/>
      <c r="F1184" s="116"/>
      <c r="G1184" s="8"/>
      <c r="H1184" s="8"/>
      <c r="I1184" s="7"/>
      <c r="J1184" s="8"/>
      <c r="K1184" s="8"/>
      <c r="L1184" s="8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>
      <c r="A1185" s="7"/>
      <c r="B1185" s="7"/>
      <c r="C1185" s="7"/>
      <c r="D1185" s="7"/>
      <c r="E1185" s="116"/>
      <c r="F1185" s="116"/>
      <c r="G1185" s="8"/>
      <c r="H1185" s="8"/>
      <c r="I1185" s="7"/>
      <c r="J1185" s="8"/>
      <c r="K1185" s="8"/>
      <c r="L1185" s="8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>
      <c r="A1186" s="7"/>
      <c r="B1186" s="7"/>
      <c r="C1186" s="7"/>
      <c r="D1186" s="7"/>
      <c r="E1186" s="116"/>
      <c r="F1186" s="116"/>
      <c r="G1186" s="8"/>
      <c r="H1186" s="8"/>
      <c r="I1186" s="7"/>
      <c r="J1186" s="8"/>
      <c r="K1186" s="8"/>
      <c r="L1186" s="8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>
      <c r="A1187" s="7"/>
      <c r="B1187" s="7"/>
      <c r="C1187" s="7"/>
      <c r="D1187" s="7"/>
      <c r="E1187" s="116"/>
      <c r="F1187" s="116"/>
      <c r="G1187" s="8"/>
      <c r="H1187" s="8"/>
      <c r="I1187" s="7"/>
      <c r="J1187" s="8"/>
      <c r="K1187" s="8"/>
      <c r="L1187" s="8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>
      <c r="A1188" s="7"/>
      <c r="B1188" s="7"/>
      <c r="C1188" s="7"/>
      <c r="D1188" s="7"/>
      <c r="E1188" s="116"/>
      <c r="F1188" s="116"/>
      <c r="G1188" s="8"/>
      <c r="H1188" s="8"/>
      <c r="I1188" s="7"/>
      <c r="J1188" s="8"/>
      <c r="K1188" s="8"/>
      <c r="L1188" s="8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>
      <c r="A1189" s="7"/>
      <c r="B1189" s="7"/>
      <c r="C1189" s="7"/>
      <c r="D1189" s="7"/>
      <c r="E1189" s="116"/>
      <c r="F1189" s="116"/>
      <c r="G1189" s="8"/>
      <c r="H1189" s="8"/>
      <c r="I1189" s="7"/>
      <c r="J1189" s="8"/>
      <c r="K1189" s="8"/>
      <c r="L1189" s="8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>
      <c r="A1190" s="7"/>
      <c r="B1190" s="7"/>
      <c r="C1190" s="7"/>
      <c r="D1190" s="7"/>
      <c r="E1190" s="116"/>
      <c r="F1190" s="116"/>
      <c r="G1190" s="8"/>
      <c r="H1190" s="8"/>
      <c r="I1190" s="7"/>
      <c r="J1190" s="8"/>
      <c r="K1190" s="8"/>
      <c r="L1190" s="8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>
      <c r="A1191" s="7"/>
      <c r="B1191" s="7"/>
      <c r="C1191" s="7"/>
      <c r="D1191" s="7"/>
      <c r="E1191" s="116"/>
      <c r="F1191" s="116"/>
      <c r="G1191" s="8"/>
      <c r="H1191" s="8"/>
      <c r="I1191" s="7"/>
      <c r="J1191" s="8"/>
      <c r="K1191" s="8"/>
      <c r="L1191" s="8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>
      <c r="A1192" s="7"/>
      <c r="B1192" s="7"/>
      <c r="C1192" s="7"/>
      <c r="D1192" s="7"/>
      <c r="E1192" s="116"/>
      <c r="F1192" s="116"/>
      <c r="G1192" s="8"/>
      <c r="H1192" s="8"/>
      <c r="I1192" s="7"/>
      <c r="J1192" s="8"/>
      <c r="K1192" s="8"/>
      <c r="L1192" s="8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>
      <c r="A1193" s="7"/>
      <c r="B1193" s="7"/>
      <c r="C1193" s="7"/>
      <c r="D1193" s="7"/>
      <c r="E1193" s="116"/>
      <c r="F1193" s="116"/>
      <c r="G1193" s="8"/>
      <c r="H1193" s="8"/>
      <c r="I1193" s="7"/>
      <c r="J1193" s="8"/>
      <c r="K1193" s="8"/>
      <c r="L1193" s="8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>
      <c r="A1194" s="7"/>
      <c r="B1194" s="7"/>
      <c r="C1194" s="7"/>
      <c r="D1194" s="7"/>
      <c r="E1194" s="116"/>
      <c r="F1194" s="116"/>
      <c r="G1194" s="8"/>
      <c r="H1194" s="8"/>
      <c r="I1194" s="7"/>
      <c r="J1194" s="8"/>
      <c r="K1194" s="8"/>
      <c r="L1194" s="8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>
      <c r="A1195" s="7"/>
      <c r="B1195" s="7"/>
      <c r="C1195" s="7"/>
      <c r="D1195" s="7"/>
      <c r="E1195" s="116"/>
      <c r="F1195" s="116"/>
      <c r="G1195" s="8"/>
      <c r="H1195" s="8"/>
      <c r="I1195" s="7"/>
      <c r="J1195" s="8"/>
      <c r="K1195" s="8"/>
      <c r="L1195" s="8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>
      <c r="A1196" s="7"/>
      <c r="B1196" s="7"/>
      <c r="C1196" s="7"/>
      <c r="D1196" s="7"/>
      <c r="E1196" s="116"/>
      <c r="F1196" s="116"/>
      <c r="G1196" s="8"/>
      <c r="H1196" s="8"/>
      <c r="I1196" s="7"/>
      <c r="J1196" s="8"/>
      <c r="K1196" s="8"/>
      <c r="L1196" s="8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>
      <c r="A1197" s="7"/>
      <c r="B1197" s="7"/>
      <c r="C1197" s="7"/>
      <c r="D1197" s="7"/>
      <c r="E1197" s="116"/>
      <c r="F1197" s="116"/>
      <c r="G1197" s="8"/>
      <c r="H1197" s="8"/>
      <c r="I1197" s="7"/>
      <c r="J1197" s="8"/>
      <c r="K1197" s="8"/>
      <c r="L1197" s="8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>
      <c r="A1198" s="7"/>
      <c r="B1198" s="7"/>
      <c r="C1198" s="7"/>
      <c r="D1198" s="7"/>
      <c r="E1198" s="116"/>
      <c r="F1198" s="116"/>
      <c r="G1198" s="8"/>
      <c r="H1198" s="8"/>
      <c r="I1198" s="7"/>
      <c r="J1198" s="8"/>
      <c r="K1198" s="8"/>
      <c r="L1198" s="8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>
      <c r="A1199" s="7"/>
      <c r="B1199" s="7"/>
      <c r="C1199" s="7"/>
      <c r="D1199" s="7"/>
      <c r="E1199" s="116"/>
      <c r="F1199" s="116"/>
      <c r="G1199" s="8"/>
      <c r="H1199" s="8"/>
      <c r="I1199" s="7"/>
      <c r="J1199" s="8"/>
      <c r="K1199" s="8"/>
      <c r="L1199" s="8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>
      <c r="A1200" s="7"/>
      <c r="B1200" s="7"/>
      <c r="C1200" s="7"/>
      <c r="D1200" s="7"/>
      <c r="E1200" s="116"/>
      <c r="F1200" s="116"/>
      <c r="G1200" s="8"/>
      <c r="H1200" s="8"/>
      <c r="I1200" s="7"/>
      <c r="J1200" s="8"/>
      <c r="K1200" s="8"/>
      <c r="L1200" s="8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>
      <c r="A1201" s="7"/>
      <c r="B1201" s="7"/>
      <c r="C1201" s="7"/>
      <c r="D1201" s="7"/>
      <c r="E1201" s="116"/>
      <c r="F1201" s="116"/>
      <c r="G1201" s="8"/>
      <c r="H1201" s="8"/>
      <c r="I1201" s="7"/>
      <c r="J1201" s="8"/>
      <c r="K1201" s="8"/>
      <c r="L1201" s="8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>
      <c r="A1202" s="7"/>
      <c r="B1202" s="7"/>
      <c r="C1202" s="7"/>
      <c r="D1202" s="7"/>
      <c r="E1202" s="116"/>
      <c r="F1202" s="116"/>
      <c r="G1202" s="8"/>
      <c r="H1202" s="8"/>
      <c r="I1202" s="7"/>
      <c r="J1202" s="8"/>
      <c r="K1202" s="8"/>
      <c r="L1202" s="8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>
      <c r="A1203" s="7"/>
      <c r="B1203" s="7"/>
      <c r="C1203" s="7"/>
      <c r="D1203" s="7"/>
      <c r="E1203" s="116"/>
      <c r="F1203" s="116"/>
      <c r="G1203" s="8"/>
      <c r="H1203" s="8"/>
      <c r="I1203" s="7"/>
      <c r="J1203" s="8"/>
      <c r="K1203" s="8"/>
      <c r="L1203" s="8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>
      <c r="A1204" s="7"/>
      <c r="B1204" s="7"/>
      <c r="C1204" s="7"/>
      <c r="D1204" s="7"/>
      <c r="E1204" s="116"/>
      <c r="F1204" s="116"/>
      <c r="G1204" s="8"/>
      <c r="H1204" s="8"/>
      <c r="I1204" s="7"/>
      <c r="J1204" s="8"/>
      <c r="K1204" s="8"/>
      <c r="L1204" s="8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>
      <c r="A1205" s="7"/>
      <c r="B1205" s="7"/>
      <c r="C1205" s="7"/>
      <c r="D1205" s="7"/>
      <c r="E1205" s="116"/>
      <c r="F1205" s="116"/>
      <c r="G1205" s="8"/>
      <c r="H1205" s="8"/>
      <c r="I1205" s="7"/>
      <c r="J1205" s="8"/>
      <c r="K1205" s="8"/>
      <c r="L1205" s="8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>
      <c r="A1206" s="7"/>
      <c r="B1206" s="7"/>
      <c r="C1206" s="7"/>
      <c r="D1206" s="7"/>
      <c r="E1206" s="116"/>
      <c r="F1206" s="116"/>
      <c r="G1206" s="8"/>
      <c r="H1206" s="8"/>
      <c r="I1206" s="7"/>
      <c r="J1206" s="8"/>
      <c r="K1206" s="8"/>
      <c r="L1206" s="8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>
      <c r="A1207" s="7"/>
      <c r="B1207" s="7"/>
      <c r="C1207" s="7"/>
      <c r="D1207" s="7"/>
      <c r="E1207" s="116"/>
      <c r="F1207" s="116"/>
      <c r="G1207" s="8"/>
      <c r="H1207" s="8"/>
      <c r="I1207" s="7"/>
      <c r="J1207" s="8"/>
      <c r="K1207" s="8"/>
      <c r="L1207" s="8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>
      <c r="A1208" s="7"/>
      <c r="B1208" s="7"/>
      <c r="C1208" s="7"/>
      <c r="D1208" s="7"/>
      <c r="E1208" s="116"/>
      <c r="F1208" s="116"/>
      <c r="G1208" s="8"/>
      <c r="H1208" s="8"/>
      <c r="I1208" s="7"/>
      <c r="J1208" s="8"/>
      <c r="K1208" s="8"/>
      <c r="L1208" s="8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>
      <c r="A1209" s="7"/>
      <c r="B1209" s="7"/>
      <c r="C1209" s="7"/>
      <c r="D1209" s="7"/>
      <c r="E1209" s="116"/>
      <c r="F1209" s="116"/>
      <c r="G1209" s="8"/>
      <c r="H1209" s="8"/>
      <c r="I1209" s="7"/>
      <c r="J1209" s="8"/>
      <c r="K1209" s="8"/>
      <c r="L1209" s="8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>
      <c r="A1210" s="7"/>
      <c r="B1210" s="7"/>
      <c r="C1210" s="7"/>
      <c r="D1210" s="7"/>
      <c r="E1210" s="116"/>
      <c r="F1210" s="116"/>
      <c r="G1210" s="8"/>
      <c r="H1210" s="8"/>
      <c r="I1210" s="7"/>
      <c r="J1210" s="8"/>
      <c r="K1210" s="8"/>
      <c r="L1210" s="8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>
      <c r="A1211" s="7"/>
      <c r="B1211" s="7"/>
      <c r="C1211" s="7"/>
      <c r="D1211" s="7"/>
      <c r="E1211" s="116"/>
      <c r="F1211" s="116"/>
      <c r="G1211" s="8"/>
      <c r="H1211" s="8"/>
      <c r="I1211" s="7"/>
      <c r="J1211" s="8"/>
      <c r="K1211" s="8"/>
      <c r="L1211" s="8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>
      <c r="A1212" s="7"/>
      <c r="B1212" s="7"/>
      <c r="C1212" s="7"/>
      <c r="D1212" s="7"/>
      <c r="E1212" s="116"/>
      <c r="F1212" s="116"/>
      <c r="G1212" s="8"/>
      <c r="H1212" s="8"/>
      <c r="I1212" s="7"/>
      <c r="J1212" s="8"/>
      <c r="K1212" s="8"/>
      <c r="L1212" s="8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>
      <c r="A1213" s="7"/>
      <c r="B1213" s="7"/>
      <c r="C1213" s="7"/>
      <c r="D1213" s="7"/>
      <c r="E1213" s="116"/>
      <c r="F1213" s="116"/>
      <c r="G1213" s="8"/>
      <c r="H1213" s="8"/>
      <c r="I1213" s="7"/>
      <c r="J1213" s="8"/>
      <c r="K1213" s="8"/>
      <c r="L1213" s="8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>
      <c r="A1214" s="7"/>
      <c r="B1214" s="7"/>
      <c r="C1214" s="7"/>
      <c r="D1214" s="7"/>
      <c r="E1214" s="116"/>
      <c r="F1214" s="116"/>
      <c r="G1214" s="8"/>
      <c r="H1214" s="8"/>
      <c r="I1214" s="7"/>
      <c r="J1214" s="8"/>
      <c r="K1214" s="8"/>
      <c r="L1214" s="8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>
      <c r="A1215" s="7"/>
      <c r="B1215" s="7"/>
      <c r="C1215" s="7"/>
      <c r="D1215" s="7"/>
      <c r="E1215" s="116"/>
      <c r="F1215" s="116"/>
      <c r="G1215" s="8"/>
      <c r="H1215" s="8"/>
      <c r="I1215" s="7"/>
      <c r="J1215" s="8"/>
      <c r="K1215" s="8"/>
      <c r="L1215" s="8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>
      <c r="A1216" s="7"/>
      <c r="B1216" s="7"/>
      <c r="C1216" s="7"/>
      <c r="D1216" s="7"/>
      <c r="E1216" s="116"/>
      <c r="F1216" s="116"/>
      <c r="G1216" s="8"/>
      <c r="H1216" s="8"/>
      <c r="I1216" s="7"/>
      <c r="J1216" s="8"/>
      <c r="K1216" s="8"/>
      <c r="L1216" s="8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>
      <c r="A1217" s="7"/>
      <c r="B1217" s="7"/>
      <c r="C1217" s="7"/>
      <c r="D1217" s="7"/>
      <c r="E1217" s="116"/>
      <c r="F1217" s="116"/>
      <c r="G1217" s="8"/>
      <c r="H1217" s="8"/>
      <c r="I1217" s="7"/>
      <c r="J1217" s="8"/>
      <c r="K1217" s="8"/>
      <c r="L1217" s="8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>
      <c r="A1218" s="7"/>
      <c r="B1218" s="7"/>
      <c r="C1218" s="7"/>
      <c r="D1218" s="7"/>
      <c r="E1218" s="116"/>
      <c r="F1218" s="116"/>
      <c r="G1218" s="8"/>
      <c r="H1218" s="8"/>
      <c r="I1218" s="7"/>
      <c r="J1218" s="8"/>
      <c r="K1218" s="8"/>
      <c r="L1218" s="8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>
      <c r="A1219" s="7"/>
      <c r="B1219" s="7"/>
      <c r="C1219" s="7"/>
      <c r="D1219" s="7"/>
      <c r="E1219" s="116"/>
      <c r="F1219" s="116"/>
      <c r="G1219" s="8"/>
      <c r="H1219" s="8"/>
      <c r="I1219" s="7"/>
      <c r="J1219" s="8"/>
      <c r="K1219" s="8"/>
      <c r="L1219" s="8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>
      <c r="A1220" s="7"/>
      <c r="B1220" s="7"/>
      <c r="C1220" s="7"/>
      <c r="D1220" s="7"/>
      <c r="E1220" s="116"/>
      <c r="F1220" s="116"/>
      <c r="G1220" s="8"/>
      <c r="H1220" s="8"/>
      <c r="I1220" s="7"/>
      <c r="J1220" s="8"/>
      <c r="K1220" s="8"/>
      <c r="L1220" s="8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>
      <c r="A1221" s="7"/>
      <c r="B1221" s="7"/>
      <c r="C1221" s="7"/>
      <c r="D1221" s="7"/>
      <c r="E1221" s="116"/>
      <c r="F1221" s="116"/>
      <c r="G1221" s="8"/>
      <c r="H1221" s="8"/>
      <c r="I1221" s="7"/>
      <c r="J1221" s="8"/>
      <c r="K1221" s="8"/>
      <c r="L1221" s="8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>
      <c r="A1222" s="7"/>
      <c r="B1222" s="7"/>
      <c r="C1222" s="7"/>
      <c r="D1222" s="7"/>
      <c r="E1222" s="116"/>
      <c r="F1222" s="116"/>
      <c r="G1222" s="8"/>
      <c r="H1222" s="8"/>
      <c r="I1222" s="7"/>
      <c r="J1222" s="8"/>
      <c r="K1222" s="8"/>
      <c r="L1222" s="8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>
      <c r="A1223" s="7"/>
      <c r="B1223" s="7"/>
      <c r="C1223" s="7"/>
      <c r="D1223" s="7"/>
      <c r="E1223" s="116"/>
      <c r="F1223" s="116"/>
      <c r="G1223" s="8"/>
      <c r="H1223" s="8"/>
      <c r="I1223" s="7"/>
      <c r="J1223" s="8"/>
      <c r="K1223" s="8"/>
      <c r="L1223" s="8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>
      <c r="A1224" s="7"/>
      <c r="B1224" s="7"/>
      <c r="C1224" s="7"/>
      <c r="D1224" s="7"/>
      <c r="E1224" s="116"/>
      <c r="F1224" s="116"/>
      <c r="G1224" s="8"/>
      <c r="H1224" s="8"/>
      <c r="I1224" s="7"/>
      <c r="J1224" s="8"/>
      <c r="K1224" s="8"/>
      <c r="L1224" s="8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>
      <c r="A1225" s="7"/>
      <c r="B1225" s="7"/>
      <c r="C1225" s="7"/>
      <c r="D1225" s="7"/>
      <c r="E1225" s="116"/>
      <c r="F1225" s="116"/>
      <c r="G1225" s="8"/>
      <c r="H1225" s="8"/>
      <c r="I1225" s="7"/>
      <c r="J1225" s="8"/>
      <c r="K1225" s="8"/>
      <c r="L1225" s="8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>
      <c r="A1226" s="7"/>
      <c r="B1226" s="7"/>
      <c r="C1226" s="7"/>
      <c r="D1226" s="7"/>
      <c r="E1226" s="116"/>
      <c r="F1226" s="116"/>
      <c r="G1226" s="8"/>
      <c r="H1226" s="8"/>
      <c r="I1226" s="7"/>
      <c r="J1226" s="8"/>
      <c r="K1226" s="8"/>
      <c r="L1226" s="8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>
      <c r="A1227" s="7"/>
      <c r="B1227" s="7"/>
      <c r="C1227" s="7"/>
      <c r="D1227" s="7"/>
      <c r="E1227" s="116"/>
      <c r="F1227" s="116"/>
      <c r="G1227" s="8"/>
      <c r="H1227" s="8"/>
      <c r="I1227" s="7"/>
      <c r="J1227" s="8"/>
      <c r="K1227" s="8"/>
      <c r="L1227" s="8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>
      <c r="A1228" s="7"/>
      <c r="B1228" s="7"/>
      <c r="C1228" s="7"/>
      <c r="D1228" s="7"/>
      <c r="E1228" s="116"/>
      <c r="F1228" s="116"/>
      <c r="G1228" s="8"/>
      <c r="H1228" s="8"/>
      <c r="I1228" s="7"/>
      <c r="J1228" s="8"/>
      <c r="K1228" s="8"/>
      <c r="L1228" s="8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>
      <c r="A1229" s="7"/>
      <c r="B1229" s="7"/>
      <c r="C1229" s="7"/>
      <c r="D1229" s="7"/>
      <c r="E1229" s="116"/>
      <c r="F1229" s="116"/>
      <c r="G1229" s="8"/>
      <c r="H1229" s="8"/>
      <c r="I1229" s="7"/>
      <c r="J1229" s="8"/>
      <c r="K1229" s="8"/>
      <c r="L1229" s="8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>
      <c r="A1230" s="7"/>
      <c r="B1230" s="7"/>
      <c r="C1230" s="7"/>
      <c r="D1230" s="7"/>
      <c r="E1230" s="116"/>
      <c r="F1230" s="116"/>
      <c r="G1230" s="8"/>
      <c r="H1230" s="8"/>
      <c r="I1230" s="7"/>
      <c r="J1230" s="8"/>
      <c r="K1230" s="8"/>
      <c r="L1230" s="8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>
      <c r="A1231" s="7"/>
      <c r="B1231" s="7"/>
      <c r="C1231" s="7"/>
      <c r="D1231" s="7"/>
      <c r="E1231" s="116"/>
      <c r="F1231" s="116"/>
      <c r="G1231" s="8"/>
      <c r="H1231" s="8"/>
      <c r="I1231" s="7"/>
      <c r="J1231" s="8"/>
      <c r="K1231" s="8"/>
      <c r="L1231" s="8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>
      <c r="A1232" s="7"/>
      <c r="B1232" s="7"/>
      <c r="C1232" s="7"/>
      <c r="D1232" s="7"/>
      <c r="E1232" s="116"/>
      <c r="F1232" s="116"/>
      <c r="G1232" s="8"/>
      <c r="H1232" s="8"/>
      <c r="I1232" s="7"/>
      <c r="J1232" s="8"/>
      <c r="K1232" s="8"/>
      <c r="L1232" s="8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>
      <c r="A1233" s="7"/>
      <c r="B1233" s="7"/>
      <c r="C1233" s="7"/>
      <c r="D1233" s="7"/>
      <c r="E1233" s="116"/>
      <c r="F1233" s="116"/>
      <c r="G1233" s="8"/>
      <c r="H1233" s="8"/>
      <c r="I1233" s="7"/>
      <c r="J1233" s="8"/>
      <c r="K1233" s="8"/>
      <c r="L1233" s="8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>
      <c r="A1234" s="7"/>
      <c r="B1234" s="7"/>
      <c r="C1234" s="7"/>
      <c r="D1234" s="7"/>
      <c r="E1234" s="116"/>
      <c r="F1234" s="116"/>
      <c r="G1234" s="8"/>
      <c r="H1234" s="8"/>
      <c r="I1234" s="7"/>
      <c r="J1234" s="8"/>
      <c r="K1234" s="8"/>
      <c r="L1234" s="8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>
      <c r="A1235" s="7"/>
      <c r="B1235" s="7"/>
      <c r="C1235" s="7"/>
      <c r="D1235" s="7"/>
      <c r="E1235" s="116"/>
      <c r="F1235" s="116"/>
      <c r="G1235" s="8"/>
      <c r="H1235" s="8"/>
      <c r="I1235" s="7"/>
      <c r="J1235" s="8"/>
      <c r="K1235" s="8"/>
      <c r="L1235" s="8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>
      <c r="A1236" s="7"/>
      <c r="B1236" s="7"/>
      <c r="C1236" s="7"/>
      <c r="D1236" s="7"/>
      <c r="E1236" s="116"/>
      <c r="F1236" s="116"/>
      <c r="G1236" s="8"/>
      <c r="H1236" s="8"/>
      <c r="I1236" s="7"/>
      <c r="J1236" s="8"/>
      <c r="K1236" s="8"/>
      <c r="L1236" s="8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>
      <c r="A1237" s="7"/>
      <c r="B1237" s="7"/>
      <c r="C1237" s="7"/>
      <c r="D1237" s="7"/>
      <c r="E1237" s="116"/>
      <c r="F1237" s="116"/>
      <c r="G1237" s="8"/>
      <c r="H1237" s="8"/>
      <c r="I1237" s="7"/>
      <c r="J1237" s="8"/>
      <c r="K1237" s="8"/>
      <c r="L1237" s="8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>
      <c r="A1238" s="7"/>
      <c r="B1238" s="7"/>
      <c r="C1238" s="7"/>
      <c r="D1238" s="7"/>
      <c r="E1238" s="116"/>
      <c r="F1238" s="116"/>
      <c r="G1238" s="8"/>
      <c r="H1238" s="8"/>
      <c r="I1238" s="7"/>
      <c r="J1238" s="8"/>
      <c r="K1238" s="8"/>
      <c r="L1238" s="8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>
      <c r="A1239" s="7"/>
      <c r="B1239" s="7"/>
      <c r="C1239" s="7"/>
      <c r="D1239" s="7"/>
      <c r="E1239" s="116"/>
      <c r="F1239" s="116"/>
      <c r="G1239" s="8"/>
      <c r="H1239" s="8"/>
      <c r="I1239" s="7"/>
      <c r="J1239" s="8"/>
      <c r="K1239" s="8"/>
      <c r="L1239" s="8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>
      <c r="A1240" s="7"/>
      <c r="B1240" s="7"/>
      <c r="C1240" s="7"/>
      <c r="D1240" s="7"/>
      <c r="E1240" s="116"/>
      <c r="F1240" s="116"/>
      <c r="G1240" s="8"/>
      <c r="H1240" s="8"/>
      <c r="I1240" s="7"/>
      <c r="J1240" s="8"/>
      <c r="K1240" s="8"/>
      <c r="L1240" s="8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>
      <c r="A1241" s="7"/>
      <c r="B1241" s="7"/>
      <c r="C1241" s="7"/>
      <c r="D1241" s="7"/>
      <c r="E1241" s="116"/>
      <c r="F1241" s="116"/>
      <c r="G1241" s="8"/>
      <c r="H1241" s="8"/>
      <c r="I1241" s="7"/>
      <c r="J1241" s="8"/>
      <c r="K1241" s="8"/>
      <c r="L1241" s="8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>
      <c r="A1242" s="7"/>
      <c r="B1242" s="7"/>
      <c r="C1242" s="7"/>
      <c r="D1242" s="7"/>
      <c r="E1242" s="116"/>
      <c r="F1242" s="116"/>
      <c r="G1242" s="8"/>
      <c r="H1242" s="8"/>
      <c r="I1242" s="7"/>
      <c r="J1242" s="8"/>
      <c r="K1242" s="8"/>
      <c r="L1242" s="8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>
      <c r="A1243" s="7"/>
      <c r="B1243" s="7"/>
      <c r="C1243" s="7"/>
      <c r="D1243" s="7"/>
      <c r="E1243" s="116"/>
      <c r="F1243" s="116"/>
      <c r="G1243" s="8"/>
      <c r="H1243" s="8"/>
      <c r="I1243" s="7"/>
      <c r="J1243" s="8"/>
      <c r="K1243" s="8"/>
      <c r="L1243" s="8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>
      <c r="A1244" s="7"/>
      <c r="B1244" s="7"/>
      <c r="C1244" s="7"/>
      <c r="D1244" s="7"/>
      <c r="E1244" s="116"/>
      <c r="F1244" s="116"/>
      <c r="G1244" s="8"/>
      <c r="H1244" s="8"/>
      <c r="I1244" s="7"/>
      <c r="J1244" s="8"/>
      <c r="K1244" s="8"/>
      <c r="L1244" s="8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>
      <c r="A1245" s="7"/>
      <c r="B1245" s="7"/>
      <c r="C1245" s="7"/>
      <c r="D1245" s="7"/>
      <c r="E1245" s="116"/>
      <c r="F1245" s="116"/>
      <c r="G1245" s="8"/>
      <c r="H1245" s="8"/>
      <c r="I1245" s="7"/>
      <c r="J1245" s="8"/>
      <c r="K1245" s="8"/>
      <c r="L1245" s="8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>
      <c r="A1246" s="7"/>
      <c r="B1246" s="7"/>
      <c r="C1246" s="7"/>
      <c r="D1246" s="7"/>
      <c r="E1246" s="116"/>
      <c r="F1246" s="116"/>
      <c r="G1246" s="8"/>
      <c r="H1246" s="8"/>
      <c r="I1246" s="7"/>
      <c r="J1246" s="8"/>
      <c r="K1246" s="8"/>
      <c r="L1246" s="8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>
      <c r="A1247" s="7"/>
      <c r="B1247" s="7"/>
      <c r="C1247" s="7"/>
      <c r="D1247" s="7"/>
      <c r="E1247" s="116"/>
      <c r="F1247" s="116"/>
      <c r="G1247" s="8"/>
      <c r="H1247" s="8"/>
      <c r="I1247" s="7"/>
      <c r="J1247" s="8"/>
      <c r="K1247" s="8"/>
      <c r="L1247" s="8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>
      <c r="A1248" s="7"/>
      <c r="B1248" s="7"/>
      <c r="C1248" s="7"/>
      <c r="D1248" s="7"/>
      <c r="E1248" s="116"/>
      <c r="F1248" s="116"/>
      <c r="G1248" s="8"/>
      <c r="H1248" s="8"/>
      <c r="I1248" s="7"/>
      <c r="J1248" s="8"/>
      <c r="K1248" s="8"/>
      <c r="L1248" s="8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>
      <c r="A1249" s="7"/>
      <c r="B1249" s="7"/>
      <c r="C1249" s="7"/>
      <c r="D1249" s="7"/>
      <c r="E1249" s="116"/>
      <c r="F1249" s="116"/>
      <c r="G1249" s="8"/>
      <c r="H1249" s="8"/>
      <c r="I1249" s="7"/>
      <c r="J1249" s="8"/>
      <c r="K1249" s="8"/>
      <c r="L1249" s="8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>
      <c r="A1250" s="7"/>
      <c r="B1250" s="7"/>
      <c r="C1250" s="7"/>
      <c r="D1250" s="7"/>
      <c r="E1250" s="116"/>
      <c r="F1250" s="116"/>
      <c r="G1250" s="8"/>
      <c r="H1250" s="8"/>
      <c r="I1250" s="7"/>
      <c r="J1250" s="8"/>
      <c r="K1250" s="8"/>
      <c r="L1250" s="8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>
      <c r="A1251" s="7"/>
      <c r="B1251" s="7"/>
      <c r="C1251" s="7"/>
      <c r="D1251" s="7"/>
      <c r="E1251" s="116"/>
      <c r="F1251" s="116"/>
      <c r="G1251" s="8"/>
      <c r="H1251" s="8"/>
      <c r="I1251" s="7"/>
      <c r="J1251" s="8"/>
      <c r="K1251" s="8"/>
      <c r="L1251" s="8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>
      <c r="A1252" s="7"/>
      <c r="B1252" s="7"/>
      <c r="C1252" s="7"/>
      <c r="D1252" s="7"/>
      <c r="E1252" s="116"/>
      <c r="F1252" s="116"/>
      <c r="G1252" s="8"/>
      <c r="H1252" s="8"/>
      <c r="I1252" s="7"/>
      <c r="J1252" s="8"/>
      <c r="K1252" s="8"/>
      <c r="L1252" s="8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>
      <c r="A1253" s="7"/>
      <c r="B1253" s="7"/>
      <c r="C1253" s="7"/>
      <c r="D1253" s="7"/>
      <c r="E1253" s="116"/>
      <c r="F1253" s="116"/>
      <c r="G1253" s="8"/>
      <c r="H1253" s="8"/>
      <c r="I1253" s="7"/>
      <c r="J1253" s="8"/>
      <c r="K1253" s="8"/>
      <c r="L1253" s="8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>
      <c r="A1254" s="7"/>
      <c r="B1254" s="7"/>
      <c r="C1254" s="7"/>
      <c r="D1254" s="7"/>
      <c r="E1254" s="116"/>
      <c r="F1254" s="116"/>
      <c r="G1254" s="8"/>
      <c r="H1254" s="8"/>
      <c r="I1254" s="7"/>
      <c r="J1254" s="8"/>
      <c r="K1254" s="8"/>
      <c r="L1254" s="8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>
      <c r="A1255" s="7"/>
      <c r="B1255" s="7"/>
      <c r="C1255" s="7"/>
      <c r="D1255" s="7"/>
      <c r="E1255" s="116"/>
      <c r="F1255" s="116"/>
      <c r="G1255" s="8"/>
      <c r="H1255" s="8"/>
      <c r="I1255" s="7"/>
      <c r="J1255" s="8"/>
      <c r="K1255" s="8"/>
      <c r="L1255" s="8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>
      <c r="A1256" s="7"/>
      <c r="B1256" s="7"/>
      <c r="C1256" s="7"/>
      <c r="D1256" s="7"/>
      <c r="E1256" s="116"/>
      <c r="F1256" s="116"/>
      <c r="G1256" s="8"/>
      <c r="H1256" s="8"/>
      <c r="I1256" s="7"/>
      <c r="J1256" s="8"/>
      <c r="K1256" s="8"/>
      <c r="L1256" s="8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>
      <c r="A1257" s="7"/>
      <c r="B1257" s="7"/>
      <c r="C1257" s="7"/>
      <c r="D1257" s="7"/>
      <c r="E1257" s="116"/>
      <c r="F1257" s="116"/>
      <c r="G1257" s="8"/>
      <c r="H1257" s="8"/>
      <c r="I1257" s="7"/>
      <c r="J1257" s="8"/>
      <c r="K1257" s="8"/>
      <c r="L1257" s="8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>
      <c r="A1258" s="7"/>
      <c r="B1258" s="7"/>
      <c r="C1258" s="7"/>
      <c r="D1258" s="7"/>
      <c r="E1258" s="116"/>
      <c r="F1258" s="116"/>
      <c r="G1258" s="8"/>
      <c r="H1258" s="8"/>
      <c r="I1258" s="7"/>
      <c r="J1258" s="8"/>
      <c r="K1258" s="8"/>
      <c r="L1258" s="8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>
      <c r="A1259" s="7"/>
      <c r="B1259" s="7"/>
      <c r="C1259" s="7"/>
      <c r="D1259" s="7"/>
      <c r="E1259" s="116"/>
      <c r="F1259" s="116"/>
      <c r="G1259" s="8"/>
      <c r="H1259" s="8"/>
      <c r="I1259" s="7"/>
      <c r="J1259" s="8"/>
      <c r="K1259" s="8"/>
      <c r="L1259" s="8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>
      <c r="A1260" s="7"/>
      <c r="B1260" s="7"/>
      <c r="C1260" s="7"/>
      <c r="D1260" s="7"/>
      <c r="E1260" s="116"/>
      <c r="F1260" s="116"/>
      <c r="G1260" s="8"/>
      <c r="H1260" s="8"/>
      <c r="I1260" s="7"/>
      <c r="J1260" s="8"/>
      <c r="K1260" s="8"/>
      <c r="L1260" s="8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>
      <c r="A1261" s="7"/>
      <c r="B1261" s="7"/>
      <c r="C1261" s="7"/>
      <c r="D1261" s="7"/>
      <c r="E1261" s="116"/>
      <c r="F1261" s="116"/>
      <c r="G1261" s="8"/>
      <c r="H1261" s="8"/>
      <c r="I1261" s="7"/>
      <c r="J1261" s="8"/>
      <c r="K1261" s="8"/>
      <c r="L1261" s="8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>
      <c r="A1262" s="7"/>
      <c r="B1262" s="7"/>
      <c r="C1262" s="7"/>
      <c r="D1262" s="7"/>
      <c r="E1262" s="116"/>
      <c r="F1262" s="116"/>
      <c r="G1262" s="8"/>
      <c r="H1262" s="8"/>
      <c r="I1262" s="7"/>
      <c r="J1262" s="8"/>
      <c r="K1262" s="8"/>
      <c r="L1262" s="8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>
      <c r="A1263" s="7"/>
      <c r="B1263" s="7"/>
      <c r="C1263" s="7"/>
      <c r="D1263" s="7"/>
      <c r="E1263" s="116"/>
      <c r="F1263" s="116"/>
      <c r="G1263" s="8"/>
      <c r="H1263" s="8"/>
      <c r="I1263" s="7"/>
      <c r="J1263" s="8"/>
      <c r="K1263" s="8"/>
      <c r="L1263" s="8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>
      <c r="A1264" s="7"/>
      <c r="B1264" s="7"/>
      <c r="C1264" s="7"/>
      <c r="D1264" s="7"/>
      <c r="E1264" s="116"/>
      <c r="F1264" s="116"/>
      <c r="G1264" s="8"/>
      <c r="H1264" s="8"/>
      <c r="I1264" s="7"/>
      <c r="J1264" s="8"/>
      <c r="K1264" s="8"/>
      <c r="L1264" s="8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>
      <c r="A1265" s="7"/>
      <c r="B1265" s="7"/>
      <c r="C1265" s="7"/>
      <c r="D1265" s="7"/>
      <c r="E1265" s="116"/>
      <c r="F1265" s="116"/>
      <c r="G1265" s="8"/>
      <c r="H1265" s="8"/>
      <c r="I1265" s="7"/>
      <c r="J1265" s="8"/>
      <c r="K1265" s="8"/>
      <c r="L1265" s="8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>
      <c r="A1266" s="7"/>
      <c r="B1266" s="7"/>
      <c r="C1266" s="7"/>
      <c r="D1266" s="7"/>
      <c r="E1266" s="116"/>
      <c r="F1266" s="116"/>
      <c r="G1266" s="8"/>
      <c r="H1266" s="8"/>
      <c r="I1266" s="7"/>
      <c r="J1266" s="8"/>
      <c r="K1266" s="8"/>
      <c r="L1266" s="8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>
      <c r="A1267" s="7"/>
      <c r="B1267" s="7"/>
      <c r="C1267" s="7"/>
      <c r="D1267" s="7"/>
      <c r="E1267" s="116"/>
      <c r="F1267" s="116"/>
      <c r="G1267" s="8"/>
      <c r="H1267" s="8"/>
      <c r="I1267" s="7"/>
      <c r="J1267" s="8"/>
      <c r="K1267" s="8"/>
      <c r="L1267" s="8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>
      <c r="A1268" s="7"/>
      <c r="B1268" s="7"/>
      <c r="C1268" s="7"/>
      <c r="D1268" s="7"/>
      <c r="E1268" s="116"/>
      <c r="F1268" s="116"/>
      <c r="G1268" s="8"/>
      <c r="H1268" s="8"/>
      <c r="I1268" s="7"/>
      <c r="J1268" s="8"/>
      <c r="K1268" s="8"/>
      <c r="L1268" s="8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>
      <c r="A1269" s="7"/>
      <c r="B1269" s="7"/>
      <c r="C1269" s="7"/>
      <c r="D1269" s="7"/>
      <c r="E1269" s="116"/>
      <c r="F1269" s="116"/>
      <c r="G1269" s="8"/>
      <c r="H1269" s="8"/>
      <c r="I1269" s="7"/>
      <c r="J1269" s="8"/>
      <c r="K1269" s="8"/>
      <c r="L1269" s="8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>
      <c r="A1270" s="7"/>
      <c r="B1270" s="7"/>
      <c r="C1270" s="7"/>
      <c r="D1270" s="7"/>
      <c r="E1270" s="116"/>
      <c r="F1270" s="116"/>
      <c r="G1270" s="8"/>
      <c r="H1270" s="8"/>
      <c r="I1270" s="7"/>
      <c r="J1270" s="8"/>
      <c r="K1270" s="8"/>
      <c r="L1270" s="8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>
      <c r="A1271" s="7"/>
      <c r="B1271" s="7"/>
      <c r="C1271" s="7"/>
      <c r="D1271" s="7"/>
      <c r="E1271" s="116"/>
      <c r="F1271" s="116"/>
      <c r="G1271" s="8"/>
      <c r="H1271" s="8"/>
      <c r="I1271" s="7"/>
      <c r="J1271" s="8"/>
      <c r="K1271" s="8"/>
      <c r="L1271" s="8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>
      <c r="A1272" s="7"/>
      <c r="B1272" s="7"/>
      <c r="C1272" s="7"/>
      <c r="D1272" s="7"/>
      <c r="E1272" s="116"/>
      <c r="F1272" s="116"/>
      <c r="G1272" s="8"/>
      <c r="H1272" s="8"/>
      <c r="I1272" s="7"/>
      <c r="J1272" s="8"/>
      <c r="K1272" s="8"/>
      <c r="L1272" s="8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>
      <c r="A1273" s="7"/>
      <c r="B1273" s="7"/>
      <c r="C1273" s="7"/>
      <c r="D1273" s="7"/>
      <c r="E1273" s="116"/>
      <c r="F1273" s="116"/>
      <c r="G1273" s="8"/>
      <c r="H1273" s="8"/>
      <c r="I1273" s="7"/>
      <c r="J1273" s="8"/>
      <c r="K1273" s="8"/>
      <c r="L1273" s="8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>
      <c r="A1274" s="7"/>
      <c r="B1274" s="7"/>
      <c r="C1274" s="7"/>
      <c r="D1274" s="7"/>
      <c r="E1274" s="116"/>
      <c r="F1274" s="116"/>
      <c r="G1274" s="8"/>
      <c r="H1274" s="8"/>
      <c r="I1274" s="7"/>
      <c r="J1274" s="8"/>
      <c r="K1274" s="8"/>
      <c r="L1274" s="8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>
      <c r="A1275" s="7"/>
      <c r="B1275" s="7"/>
      <c r="C1275" s="7"/>
      <c r="D1275" s="7"/>
      <c r="E1275" s="116"/>
      <c r="F1275" s="116"/>
      <c r="G1275" s="8"/>
      <c r="H1275" s="8"/>
      <c r="I1275" s="7"/>
      <c r="J1275" s="8"/>
      <c r="K1275" s="8"/>
      <c r="L1275" s="8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>
      <c r="A1276" s="7"/>
      <c r="B1276" s="7"/>
      <c r="C1276" s="7"/>
      <c r="D1276" s="7"/>
      <c r="E1276" s="116"/>
      <c r="F1276" s="116"/>
      <c r="G1276" s="8"/>
      <c r="H1276" s="8"/>
      <c r="I1276" s="7"/>
      <c r="J1276" s="8"/>
      <c r="K1276" s="8"/>
      <c r="L1276" s="8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>
      <c r="A1277" s="7"/>
      <c r="B1277" s="7"/>
      <c r="C1277" s="7"/>
      <c r="D1277" s="7"/>
      <c r="E1277" s="116"/>
      <c r="F1277" s="116"/>
      <c r="G1277" s="8"/>
      <c r="H1277" s="8"/>
      <c r="I1277" s="7"/>
      <c r="J1277" s="8"/>
      <c r="K1277" s="8"/>
      <c r="L1277" s="8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>
      <c r="A1278" s="7"/>
      <c r="B1278" s="7"/>
      <c r="C1278" s="7"/>
      <c r="D1278" s="7"/>
      <c r="E1278" s="116"/>
      <c r="F1278" s="116"/>
      <c r="G1278" s="8"/>
      <c r="H1278" s="8"/>
      <c r="I1278" s="7"/>
      <c r="J1278" s="8"/>
      <c r="K1278" s="8"/>
      <c r="L1278" s="8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>
      <c r="A1279" s="7"/>
      <c r="B1279" s="7"/>
      <c r="C1279" s="7"/>
      <c r="D1279" s="7"/>
      <c r="E1279" s="116"/>
      <c r="F1279" s="116"/>
      <c r="G1279" s="8"/>
      <c r="H1279" s="8"/>
      <c r="I1279" s="7"/>
      <c r="J1279" s="8"/>
      <c r="K1279" s="8"/>
      <c r="L1279" s="8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>
      <c r="A1280" s="7"/>
      <c r="B1280" s="7"/>
      <c r="C1280" s="7"/>
      <c r="D1280" s="7"/>
      <c r="E1280" s="116"/>
      <c r="F1280" s="116"/>
      <c r="G1280" s="8"/>
      <c r="H1280" s="8"/>
      <c r="I1280" s="7"/>
      <c r="J1280" s="8"/>
      <c r="K1280" s="8"/>
      <c r="L1280" s="8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>
      <c r="A1281" s="7"/>
      <c r="B1281" s="7"/>
      <c r="C1281" s="7"/>
      <c r="D1281" s="7"/>
      <c r="E1281" s="116"/>
      <c r="F1281" s="116"/>
      <c r="G1281" s="8"/>
      <c r="H1281" s="8"/>
      <c r="I1281" s="7"/>
      <c r="J1281" s="8"/>
      <c r="K1281" s="8"/>
      <c r="L1281" s="8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>
      <c r="A1282" s="7"/>
      <c r="B1282" s="7"/>
      <c r="C1282" s="7"/>
      <c r="D1282" s="7"/>
      <c r="E1282" s="116"/>
      <c r="F1282" s="116"/>
      <c r="G1282" s="8"/>
      <c r="H1282" s="8"/>
      <c r="I1282" s="7"/>
      <c r="J1282" s="8"/>
      <c r="K1282" s="8"/>
      <c r="L1282" s="8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>
      <c r="A1283" s="7"/>
      <c r="B1283" s="7"/>
      <c r="C1283" s="7"/>
      <c r="D1283" s="7"/>
      <c r="E1283" s="116"/>
      <c r="F1283" s="116"/>
      <c r="G1283" s="8"/>
      <c r="H1283" s="8"/>
      <c r="I1283" s="7"/>
      <c r="J1283" s="8"/>
      <c r="K1283" s="8"/>
      <c r="L1283" s="8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>
      <c r="A1284" s="7"/>
      <c r="B1284" s="7"/>
      <c r="C1284" s="7"/>
      <c r="D1284" s="7"/>
      <c r="E1284" s="116"/>
      <c r="F1284" s="116"/>
      <c r="G1284" s="8"/>
      <c r="H1284" s="8"/>
      <c r="I1284" s="7"/>
      <c r="J1284" s="8"/>
      <c r="K1284" s="8"/>
      <c r="L1284" s="8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>
      <c r="A1285" s="7"/>
      <c r="B1285" s="7"/>
      <c r="C1285" s="7"/>
      <c r="D1285" s="7"/>
      <c r="E1285" s="116"/>
      <c r="F1285" s="116"/>
      <c r="G1285" s="8"/>
      <c r="H1285" s="8"/>
      <c r="I1285" s="7"/>
      <c r="J1285" s="8"/>
      <c r="K1285" s="8"/>
      <c r="L1285" s="8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>
      <c r="A1286" s="7"/>
      <c r="B1286" s="7"/>
      <c r="C1286" s="7"/>
      <c r="D1286" s="7"/>
      <c r="E1286" s="116"/>
      <c r="F1286" s="116"/>
      <c r="G1286" s="8"/>
      <c r="H1286" s="8"/>
      <c r="I1286" s="7"/>
      <c r="J1286" s="8"/>
      <c r="K1286" s="8"/>
      <c r="L1286" s="8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>
      <c r="A1287" s="7"/>
      <c r="B1287" s="7"/>
      <c r="C1287" s="7"/>
      <c r="D1287" s="7"/>
      <c r="E1287" s="116"/>
      <c r="F1287" s="116"/>
      <c r="G1287" s="8"/>
      <c r="H1287" s="8"/>
      <c r="I1287" s="7"/>
      <c r="J1287" s="8"/>
      <c r="K1287" s="8"/>
      <c r="L1287" s="8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>
      <c r="A1288" s="7"/>
      <c r="B1288" s="7"/>
      <c r="C1288" s="7"/>
      <c r="D1288" s="7"/>
      <c r="E1288" s="116"/>
      <c r="F1288" s="116"/>
      <c r="G1288" s="8"/>
      <c r="H1288" s="8"/>
      <c r="I1288" s="7"/>
      <c r="J1288" s="8"/>
      <c r="K1288" s="8"/>
      <c r="L1288" s="8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>
      <c r="A1289" s="7"/>
      <c r="B1289" s="7"/>
      <c r="C1289" s="7"/>
      <c r="D1289" s="7"/>
      <c r="E1289" s="116"/>
      <c r="F1289" s="116"/>
      <c r="G1289" s="8"/>
      <c r="H1289" s="8"/>
      <c r="I1289" s="7"/>
      <c r="J1289" s="8"/>
      <c r="K1289" s="8"/>
      <c r="L1289" s="8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>
      <c r="A1290" s="7"/>
      <c r="B1290" s="7"/>
      <c r="C1290" s="7"/>
      <c r="D1290" s="7"/>
      <c r="E1290" s="116"/>
      <c r="F1290" s="116"/>
      <c r="G1290" s="8"/>
      <c r="H1290" s="8"/>
      <c r="I1290" s="7"/>
      <c r="J1290" s="8"/>
      <c r="K1290" s="8"/>
      <c r="L1290" s="8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>
      <c r="A1291" s="7"/>
      <c r="B1291" s="7"/>
      <c r="C1291" s="7"/>
      <c r="D1291" s="7"/>
      <c r="E1291" s="116"/>
      <c r="F1291" s="116"/>
      <c r="G1291" s="8"/>
      <c r="H1291" s="8"/>
      <c r="I1291" s="7"/>
      <c r="J1291" s="8"/>
      <c r="K1291" s="8"/>
      <c r="L1291" s="8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>
      <c r="A1292" s="7"/>
      <c r="B1292" s="7"/>
      <c r="C1292" s="7"/>
      <c r="D1292" s="7"/>
      <c r="E1292" s="116"/>
      <c r="F1292" s="116"/>
      <c r="G1292" s="8"/>
      <c r="H1292" s="8"/>
      <c r="I1292" s="7"/>
      <c r="J1292" s="8"/>
      <c r="K1292" s="8"/>
      <c r="L1292" s="8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>
      <c r="A1293" s="7"/>
      <c r="B1293" s="7"/>
      <c r="C1293" s="7"/>
      <c r="D1293" s="7"/>
      <c r="E1293" s="116"/>
      <c r="F1293" s="116"/>
      <c r="G1293" s="8"/>
      <c r="H1293" s="8"/>
      <c r="I1293" s="7"/>
      <c r="J1293" s="8"/>
      <c r="K1293" s="8"/>
      <c r="L1293" s="8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>
      <c r="A1294" s="7"/>
      <c r="B1294" s="7"/>
      <c r="C1294" s="7"/>
      <c r="D1294" s="7"/>
      <c r="E1294" s="116"/>
      <c r="F1294" s="116"/>
      <c r="G1294" s="8"/>
      <c r="H1294" s="8"/>
      <c r="I1294" s="7"/>
      <c r="J1294" s="8"/>
      <c r="K1294" s="8"/>
      <c r="L1294" s="8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>
      <c r="A1295" s="7"/>
      <c r="B1295" s="7"/>
      <c r="C1295" s="7"/>
      <c r="D1295" s="7"/>
      <c r="E1295" s="116"/>
      <c r="F1295" s="116"/>
      <c r="G1295" s="8"/>
      <c r="H1295" s="8"/>
      <c r="I1295" s="7"/>
      <c r="J1295" s="8"/>
      <c r="K1295" s="8"/>
      <c r="L1295" s="8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>
      <c r="A1296" s="7"/>
      <c r="B1296" s="7"/>
      <c r="C1296" s="7"/>
      <c r="D1296" s="7"/>
      <c r="E1296" s="116"/>
      <c r="F1296" s="116"/>
      <c r="G1296" s="8"/>
      <c r="H1296" s="8"/>
      <c r="I1296" s="7"/>
      <c r="J1296" s="8"/>
      <c r="K1296" s="8"/>
      <c r="L1296" s="8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>
      <c r="A1297" s="7"/>
      <c r="B1297" s="7"/>
      <c r="C1297" s="7"/>
      <c r="D1297" s="7"/>
      <c r="E1297" s="116"/>
      <c r="F1297" s="116"/>
      <c r="G1297" s="8"/>
      <c r="H1297" s="8"/>
      <c r="I1297" s="7"/>
      <c r="J1297" s="8"/>
      <c r="K1297" s="8"/>
      <c r="L1297" s="8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>
      <c r="A1298" s="7"/>
      <c r="B1298" s="7"/>
      <c r="C1298" s="7"/>
      <c r="D1298" s="7"/>
      <c r="E1298" s="116"/>
      <c r="F1298" s="116"/>
      <c r="G1298" s="8"/>
      <c r="H1298" s="8"/>
      <c r="I1298" s="7"/>
      <c r="J1298" s="8"/>
      <c r="K1298" s="8"/>
      <c r="L1298" s="8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>
      <c r="A1299" s="7"/>
      <c r="B1299" s="7"/>
      <c r="C1299" s="7"/>
      <c r="D1299" s="7"/>
      <c r="E1299" s="116"/>
      <c r="F1299" s="116"/>
      <c r="G1299" s="8"/>
      <c r="H1299" s="8"/>
      <c r="I1299" s="7"/>
      <c r="J1299" s="8"/>
      <c r="K1299" s="8"/>
      <c r="L1299" s="8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>
      <c r="A1300" s="7"/>
      <c r="B1300" s="7"/>
      <c r="C1300" s="7"/>
      <c r="D1300" s="7"/>
      <c r="E1300" s="116"/>
      <c r="F1300" s="116"/>
      <c r="G1300" s="8"/>
      <c r="H1300" s="8"/>
      <c r="I1300" s="7"/>
      <c r="J1300" s="8"/>
      <c r="K1300" s="8"/>
      <c r="L1300" s="8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>
      <c r="A1301" s="7"/>
      <c r="B1301" s="7"/>
      <c r="C1301" s="7"/>
      <c r="D1301" s="7"/>
      <c r="E1301" s="116"/>
      <c r="F1301" s="116"/>
      <c r="G1301" s="8"/>
      <c r="H1301" s="8"/>
      <c r="I1301" s="7"/>
      <c r="J1301" s="8"/>
      <c r="K1301" s="8"/>
      <c r="L1301" s="8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>
      <c r="A1302" s="7"/>
      <c r="B1302" s="7"/>
      <c r="C1302" s="7"/>
      <c r="D1302" s="7"/>
      <c r="E1302" s="116"/>
      <c r="F1302" s="116"/>
      <c r="G1302" s="8"/>
      <c r="H1302" s="8"/>
      <c r="I1302" s="7"/>
      <c r="J1302" s="8"/>
      <c r="K1302" s="8"/>
      <c r="L1302" s="8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>
      <c r="A1303" s="7"/>
      <c r="B1303" s="7"/>
      <c r="C1303" s="7"/>
      <c r="D1303" s="7"/>
      <c r="E1303" s="116"/>
      <c r="F1303" s="116"/>
      <c r="G1303" s="8"/>
      <c r="H1303" s="8"/>
      <c r="I1303" s="7"/>
      <c r="J1303" s="8"/>
      <c r="K1303" s="8"/>
      <c r="L1303" s="8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>
      <c r="A1304" s="7"/>
      <c r="B1304" s="7"/>
      <c r="C1304" s="7"/>
      <c r="D1304" s="7"/>
      <c r="E1304" s="116"/>
      <c r="F1304" s="116"/>
      <c r="G1304" s="8"/>
      <c r="H1304" s="8"/>
      <c r="I1304" s="7"/>
      <c r="J1304" s="8"/>
      <c r="K1304" s="8"/>
      <c r="L1304" s="8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>
      <c r="A1305" s="7"/>
      <c r="B1305" s="7"/>
      <c r="C1305" s="7"/>
      <c r="D1305" s="7"/>
      <c r="E1305" s="116"/>
      <c r="F1305" s="116"/>
      <c r="G1305" s="8"/>
      <c r="H1305" s="8"/>
      <c r="I1305" s="7"/>
      <c r="J1305" s="8"/>
      <c r="K1305" s="8"/>
      <c r="L1305" s="8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>
      <c r="A1306" s="7"/>
      <c r="B1306" s="7"/>
      <c r="C1306" s="7"/>
      <c r="D1306" s="7"/>
      <c r="E1306" s="116"/>
      <c r="F1306" s="116"/>
      <c r="G1306" s="8"/>
      <c r="H1306" s="8"/>
      <c r="I1306" s="7"/>
      <c r="J1306" s="8"/>
      <c r="K1306" s="8"/>
      <c r="L1306" s="8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>
      <c r="A1307" s="7"/>
      <c r="B1307" s="7"/>
      <c r="C1307" s="7"/>
      <c r="D1307" s="7"/>
      <c r="E1307" s="116"/>
      <c r="F1307" s="116"/>
      <c r="G1307" s="8"/>
      <c r="H1307" s="8"/>
      <c r="I1307" s="7"/>
      <c r="J1307" s="8"/>
      <c r="K1307" s="8"/>
      <c r="L1307" s="8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>
      <c r="A1308" s="7"/>
      <c r="B1308" s="7"/>
      <c r="C1308" s="7"/>
      <c r="D1308" s="7"/>
      <c r="E1308" s="116"/>
      <c r="F1308" s="116"/>
      <c r="G1308" s="8"/>
      <c r="H1308" s="8"/>
      <c r="I1308" s="7"/>
      <c r="J1308" s="8"/>
      <c r="K1308" s="8"/>
      <c r="L1308" s="8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>
      <c r="A1309" s="7"/>
      <c r="B1309" s="7"/>
      <c r="C1309" s="7"/>
      <c r="D1309" s="7"/>
      <c r="E1309" s="116"/>
      <c r="F1309" s="116"/>
      <c r="G1309" s="8"/>
      <c r="H1309" s="8"/>
      <c r="I1309" s="7"/>
      <c r="J1309" s="8"/>
      <c r="K1309" s="8"/>
      <c r="L1309" s="8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>
      <c r="A1310" s="7"/>
      <c r="B1310" s="7"/>
      <c r="C1310" s="7"/>
      <c r="D1310" s="7"/>
      <c r="E1310" s="116"/>
      <c r="F1310" s="116"/>
      <c r="G1310" s="8"/>
      <c r="H1310" s="8"/>
      <c r="I1310" s="7"/>
      <c r="J1310" s="8"/>
      <c r="K1310" s="8"/>
      <c r="L1310" s="8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>
      <c r="A1311" s="7"/>
      <c r="B1311" s="7"/>
      <c r="C1311" s="7"/>
      <c r="D1311" s="7"/>
      <c r="E1311" s="116"/>
      <c r="F1311" s="116"/>
      <c r="G1311" s="8"/>
      <c r="H1311" s="8"/>
      <c r="I1311" s="7"/>
      <c r="J1311" s="8"/>
      <c r="K1311" s="8"/>
      <c r="L1311" s="8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>
      <c r="A1312" s="7"/>
      <c r="B1312" s="7"/>
      <c r="C1312" s="7"/>
      <c r="D1312" s="7"/>
      <c r="E1312" s="116"/>
      <c r="F1312" s="116"/>
      <c r="G1312" s="8"/>
      <c r="H1312" s="8"/>
      <c r="I1312" s="7"/>
      <c r="J1312" s="8"/>
      <c r="K1312" s="8"/>
      <c r="L1312" s="8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>
      <c r="A1313" s="7"/>
      <c r="B1313" s="7"/>
      <c r="C1313" s="7"/>
      <c r="D1313" s="7"/>
      <c r="E1313" s="116"/>
      <c r="F1313" s="116"/>
      <c r="G1313" s="8"/>
      <c r="H1313" s="8"/>
      <c r="I1313" s="7"/>
      <c r="J1313" s="8"/>
      <c r="K1313" s="8"/>
      <c r="L1313" s="8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>
      <c r="A1314" s="7"/>
      <c r="B1314" s="7"/>
      <c r="C1314" s="7"/>
      <c r="D1314" s="7"/>
      <c r="E1314" s="116"/>
      <c r="F1314" s="116"/>
      <c r="G1314" s="8"/>
      <c r="H1314" s="8"/>
      <c r="I1314" s="7"/>
      <c r="J1314" s="8"/>
      <c r="K1314" s="8"/>
      <c r="L1314" s="8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>
      <c r="A1315" s="7"/>
      <c r="B1315" s="7"/>
      <c r="C1315" s="7"/>
      <c r="D1315" s="7"/>
      <c r="E1315" s="116"/>
      <c r="F1315" s="116"/>
      <c r="G1315" s="8"/>
      <c r="H1315" s="8"/>
      <c r="I1315" s="7"/>
      <c r="J1315" s="8"/>
      <c r="K1315" s="8"/>
      <c r="L1315" s="8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>
      <c r="A1316" s="7"/>
      <c r="B1316" s="7"/>
      <c r="C1316" s="7"/>
      <c r="D1316" s="7"/>
      <c r="E1316" s="116"/>
      <c r="F1316" s="116"/>
      <c r="G1316" s="8"/>
      <c r="H1316" s="8"/>
      <c r="I1316" s="7"/>
      <c r="J1316" s="8"/>
      <c r="K1316" s="8"/>
      <c r="L1316" s="8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>
      <c r="A1317" s="7"/>
      <c r="B1317" s="7"/>
      <c r="C1317" s="7"/>
      <c r="D1317" s="7"/>
      <c r="E1317" s="116"/>
      <c r="F1317" s="116"/>
      <c r="G1317" s="8"/>
      <c r="H1317" s="8"/>
      <c r="I1317" s="7"/>
      <c r="J1317" s="8"/>
      <c r="K1317" s="8"/>
      <c r="L1317" s="8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>
      <c r="A1318" s="7"/>
      <c r="B1318" s="7"/>
      <c r="C1318" s="7"/>
      <c r="D1318" s="7"/>
      <c r="E1318" s="116"/>
      <c r="F1318" s="116"/>
      <c r="G1318" s="8"/>
      <c r="H1318" s="8"/>
      <c r="I1318" s="7"/>
      <c r="J1318" s="8"/>
      <c r="K1318" s="8"/>
      <c r="L1318" s="8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>
      <c r="A1319" s="7"/>
      <c r="B1319" s="7"/>
      <c r="C1319" s="7"/>
      <c r="D1319" s="7"/>
      <c r="E1319" s="116"/>
      <c r="F1319" s="116"/>
      <c r="G1319" s="8"/>
      <c r="H1319" s="8"/>
      <c r="I1319" s="7"/>
      <c r="J1319" s="8"/>
      <c r="K1319" s="8"/>
      <c r="L1319" s="8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>
      <c r="A1320" s="7"/>
      <c r="B1320" s="7"/>
      <c r="C1320" s="7"/>
      <c r="D1320" s="7"/>
      <c r="E1320" s="116"/>
      <c r="F1320" s="116"/>
      <c r="G1320" s="8"/>
      <c r="H1320" s="8"/>
      <c r="I1320" s="7"/>
      <c r="J1320" s="8"/>
      <c r="K1320" s="8"/>
      <c r="L1320" s="8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>
      <c r="A1321" s="7"/>
      <c r="B1321" s="7"/>
      <c r="C1321" s="7"/>
      <c r="D1321" s="7"/>
      <c r="E1321" s="116"/>
      <c r="F1321" s="116"/>
      <c r="G1321" s="8"/>
      <c r="H1321" s="8"/>
      <c r="I1321" s="7"/>
      <c r="J1321" s="8"/>
      <c r="K1321" s="8"/>
      <c r="L1321" s="8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>
      <c r="A1322" s="7"/>
      <c r="B1322" s="7"/>
      <c r="C1322" s="7"/>
      <c r="D1322" s="7"/>
      <c r="E1322" s="116"/>
      <c r="F1322" s="116"/>
      <c r="G1322" s="8"/>
      <c r="H1322" s="8"/>
      <c r="I1322" s="7"/>
      <c r="J1322" s="8"/>
      <c r="K1322" s="8"/>
      <c r="L1322" s="8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>
      <c r="A1323" s="7"/>
      <c r="B1323" s="7"/>
      <c r="C1323" s="7"/>
      <c r="D1323" s="7"/>
      <c r="E1323" s="116"/>
      <c r="F1323" s="116"/>
      <c r="G1323" s="8"/>
      <c r="H1323" s="8"/>
      <c r="I1323" s="7"/>
      <c r="J1323" s="8"/>
      <c r="K1323" s="8"/>
      <c r="L1323" s="8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>
      <c r="A1324" s="7"/>
      <c r="B1324" s="7"/>
      <c r="C1324" s="7"/>
      <c r="D1324" s="7"/>
      <c r="E1324" s="116"/>
      <c r="F1324" s="116"/>
      <c r="G1324" s="8"/>
      <c r="H1324" s="8"/>
      <c r="I1324" s="7"/>
      <c r="J1324" s="8"/>
      <c r="K1324" s="8"/>
      <c r="L1324" s="8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>
      <c r="A1325" s="7"/>
      <c r="B1325" s="7"/>
      <c r="C1325" s="7"/>
      <c r="D1325" s="7"/>
      <c r="E1325" s="116"/>
      <c r="F1325" s="116"/>
      <c r="G1325" s="8"/>
      <c r="H1325" s="8"/>
      <c r="I1325" s="7"/>
      <c r="J1325" s="8"/>
      <c r="K1325" s="8"/>
      <c r="L1325" s="8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>
      <c r="A1326" s="7"/>
      <c r="B1326" s="7"/>
      <c r="C1326" s="7"/>
      <c r="D1326" s="7"/>
      <c r="E1326" s="116"/>
      <c r="F1326" s="116"/>
      <c r="G1326" s="8"/>
      <c r="H1326" s="8"/>
      <c r="I1326" s="7"/>
      <c r="J1326" s="8"/>
      <c r="K1326" s="8"/>
      <c r="L1326" s="8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>
      <c r="A1327" s="7"/>
      <c r="B1327" s="7"/>
      <c r="C1327" s="7"/>
      <c r="D1327" s="7"/>
      <c r="E1327" s="116"/>
      <c r="F1327" s="116"/>
      <c r="G1327" s="8"/>
      <c r="H1327" s="8"/>
      <c r="I1327" s="7"/>
      <c r="J1327" s="8"/>
      <c r="K1327" s="8"/>
      <c r="L1327" s="8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>
      <c r="A1328" s="7"/>
      <c r="B1328" s="7"/>
      <c r="C1328" s="7"/>
      <c r="D1328" s="7"/>
      <c r="E1328" s="116"/>
      <c r="F1328" s="116"/>
      <c r="G1328" s="8"/>
      <c r="H1328" s="8"/>
      <c r="I1328" s="7"/>
      <c r="J1328" s="8"/>
      <c r="K1328" s="8"/>
      <c r="L1328" s="8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>
      <c r="A1329" s="7"/>
      <c r="B1329" s="7"/>
      <c r="C1329" s="7"/>
      <c r="D1329" s="7"/>
      <c r="E1329" s="116"/>
      <c r="F1329" s="116"/>
      <c r="G1329" s="8"/>
      <c r="H1329" s="8"/>
      <c r="I1329" s="7"/>
      <c r="J1329" s="8"/>
      <c r="K1329" s="8"/>
      <c r="L1329" s="8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>
      <c r="A1330" s="7"/>
      <c r="B1330" s="7"/>
      <c r="C1330" s="7"/>
      <c r="D1330" s="7"/>
      <c r="E1330" s="116"/>
      <c r="F1330" s="116"/>
      <c r="G1330" s="8"/>
      <c r="H1330" s="8"/>
      <c r="I1330" s="7"/>
      <c r="J1330" s="8"/>
      <c r="K1330" s="8"/>
      <c r="L1330" s="8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>
      <c r="A1331" s="7"/>
      <c r="B1331" s="7"/>
      <c r="C1331" s="7"/>
      <c r="D1331" s="7"/>
      <c r="E1331" s="116"/>
      <c r="F1331" s="116"/>
      <c r="G1331" s="8"/>
      <c r="H1331" s="8"/>
      <c r="I1331" s="7"/>
      <c r="J1331" s="8"/>
      <c r="K1331" s="8"/>
      <c r="L1331" s="8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>
      <c r="A1332" s="7"/>
      <c r="B1332" s="7"/>
      <c r="C1332" s="7"/>
      <c r="D1332" s="7"/>
      <c r="E1332" s="116"/>
      <c r="F1332" s="116"/>
      <c r="G1332" s="8"/>
      <c r="H1332" s="8"/>
      <c r="I1332" s="7"/>
      <c r="J1332" s="8"/>
      <c r="K1332" s="8"/>
      <c r="L1332" s="8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>
      <c r="A1333" s="7"/>
      <c r="B1333" s="7"/>
      <c r="C1333" s="7"/>
      <c r="D1333" s="7"/>
      <c r="E1333" s="116"/>
      <c r="F1333" s="116"/>
      <c r="G1333" s="8"/>
      <c r="H1333" s="8"/>
      <c r="I1333" s="7"/>
      <c r="J1333" s="8"/>
      <c r="K1333" s="8"/>
      <c r="L1333" s="8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>
      <c r="A1334" s="7"/>
      <c r="B1334" s="7"/>
      <c r="C1334" s="7"/>
      <c r="D1334" s="7"/>
      <c r="E1334" s="116"/>
      <c r="F1334" s="116"/>
      <c r="G1334" s="8"/>
      <c r="H1334" s="8"/>
      <c r="I1334" s="7"/>
      <c r="J1334" s="8"/>
      <c r="K1334" s="8"/>
      <c r="L1334" s="8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>
      <c r="A1335" s="7"/>
      <c r="B1335" s="7"/>
      <c r="C1335" s="7"/>
      <c r="D1335" s="7"/>
      <c r="E1335" s="116"/>
      <c r="F1335" s="116"/>
      <c r="G1335" s="8"/>
      <c r="H1335" s="8"/>
      <c r="I1335" s="7"/>
      <c r="J1335" s="8"/>
      <c r="K1335" s="8"/>
      <c r="L1335" s="8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>
      <c r="A1336" s="7"/>
      <c r="B1336" s="7"/>
      <c r="C1336" s="7"/>
      <c r="D1336" s="7"/>
      <c r="E1336" s="116"/>
      <c r="F1336" s="116"/>
      <c r="G1336" s="8"/>
      <c r="H1336" s="8"/>
      <c r="I1336" s="7"/>
      <c r="J1336" s="8"/>
      <c r="K1336" s="8"/>
      <c r="L1336" s="8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>
      <c r="A1337" s="7"/>
      <c r="B1337" s="7"/>
      <c r="C1337" s="7"/>
      <c r="D1337" s="7"/>
      <c r="E1337" s="116"/>
      <c r="F1337" s="116"/>
      <c r="G1337" s="8"/>
      <c r="H1337" s="8"/>
      <c r="I1337" s="7"/>
      <c r="J1337" s="8"/>
      <c r="K1337" s="8"/>
      <c r="L1337" s="8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>
      <c r="A1338" s="7"/>
      <c r="B1338" s="7"/>
      <c r="C1338" s="7"/>
      <c r="D1338" s="7"/>
      <c r="E1338" s="116"/>
      <c r="F1338" s="116"/>
      <c r="G1338" s="8"/>
      <c r="H1338" s="8"/>
      <c r="I1338" s="7"/>
      <c r="J1338" s="8"/>
      <c r="K1338" s="8"/>
      <c r="L1338" s="8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>
      <c r="A1339" s="7"/>
      <c r="B1339" s="7"/>
      <c r="C1339" s="7"/>
      <c r="D1339" s="7"/>
      <c r="E1339" s="116"/>
      <c r="F1339" s="116"/>
      <c r="G1339" s="8"/>
      <c r="H1339" s="8"/>
      <c r="I1339" s="7"/>
      <c r="J1339" s="8"/>
      <c r="K1339" s="8"/>
      <c r="L1339" s="8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>
      <c r="A1340" s="7"/>
      <c r="B1340" s="7"/>
      <c r="C1340" s="7"/>
      <c r="D1340" s="7"/>
      <c r="E1340" s="116"/>
      <c r="F1340" s="116"/>
      <c r="G1340" s="8"/>
      <c r="H1340" s="8"/>
      <c r="I1340" s="7"/>
      <c r="J1340" s="8"/>
      <c r="K1340" s="8"/>
      <c r="L1340" s="8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>
      <c r="A1341" s="7"/>
      <c r="B1341" s="7"/>
      <c r="C1341" s="7"/>
      <c r="D1341" s="7"/>
      <c r="E1341" s="116"/>
      <c r="F1341" s="116"/>
      <c r="G1341" s="8"/>
      <c r="H1341" s="8"/>
      <c r="I1341" s="7"/>
      <c r="J1341" s="8"/>
      <c r="K1341" s="8"/>
      <c r="L1341" s="8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>
      <c r="A1342" s="7"/>
      <c r="B1342" s="7"/>
      <c r="C1342" s="7"/>
      <c r="D1342" s="7"/>
      <c r="E1342" s="116"/>
      <c r="F1342" s="116"/>
      <c r="G1342" s="8"/>
      <c r="H1342" s="8"/>
      <c r="I1342" s="7"/>
      <c r="J1342" s="8"/>
      <c r="K1342" s="8"/>
      <c r="L1342" s="8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>
      <c r="A1343" s="7"/>
      <c r="B1343" s="7"/>
      <c r="C1343" s="7"/>
      <c r="D1343" s="7"/>
      <c r="E1343" s="116"/>
      <c r="F1343" s="116"/>
      <c r="G1343" s="8"/>
      <c r="H1343" s="8"/>
      <c r="I1343" s="7"/>
      <c r="J1343" s="8"/>
      <c r="K1343" s="8"/>
      <c r="L1343" s="8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>
      <c r="A1344" s="7"/>
      <c r="B1344" s="7"/>
      <c r="C1344" s="7"/>
      <c r="D1344" s="7"/>
      <c r="E1344" s="116"/>
      <c r="F1344" s="116"/>
      <c r="G1344" s="8"/>
      <c r="H1344" s="8"/>
      <c r="I1344" s="7"/>
      <c r="J1344" s="8"/>
      <c r="K1344" s="8"/>
      <c r="L1344" s="8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>
      <c r="A1345" s="7"/>
      <c r="B1345" s="7"/>
      <c r="C1345" s="7"/>
      <c r="D1345" s="7"/>
      <c r="E1345" s="116"/>
      <c r="F1345" s="116"/>
      <c r="G1345" s="8"/>
      <c r="H1345" s="8"/>
      <c r="I1345" s="7"/>
      <c r="J1345" s="8"/>
      <c r="K1345" s="8"/>
      <c r="L1345" s="8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>
      <c r="A1346" s="7"/>
      <c r="B1346" s="7"/>
      <c r="C1346" s="7"/>
      <c r="D1346" s="7"/>
      <c r="E1346" s="116"/>
      <c r="F1346" s="116"/>
      <c r="G1346" s="8"/>
      <c r="H1346" s="8"/>
      <c r="I1346" s="7"/>
      <c r="J1346" s="8"/>
      <c r="K1346" s="8"/>
      <c r="L1346" s="8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>
      <c r="A1347" s="7"/>
      <c r="B1347" s="7"/>
      <c r="C1347" s="7"/>
      <c r="D1347" s="7"/>
      <c r="E1347" s="116"/>
      <c r="F1347" s="116"/>
      <c r="G1347" s="8"/>
      <c r="H1347" s="8"/>
      <c r="I1347" s="7"/>
      <c r="J1347" s="8"/>
      <c r="K1347" s="8"/>
      <c r="L1347" s="8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>
      <c r="A1348" s="7"/>
      <c r="B1348" s="7"/>
      <c r="C1348" s="7"/>
      <c r="D1348" s="7"/>
      <c r="E1348" s="116"/>
      <c r="F1348" s="116"/>
      <c r="G1348" s="8"/>
      <c r="H1348" s="8"/>
      <c r="I1348" s="7"/>
      <c r="J1348" s="8"/>
      <c r="K1348" s="8"/>
      <c r="L1348" s="8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>
      <c r="A1349" s="7"/>
      <c r="B1349" s="7"/>
      <c r="C1349" s="7"/>
      <c r="D1349" s="7"/>
      <c r="E1349" s="116"/>
      <c r="F1349" s="116"/>
      <c r="G1349" s="8"/>
      <c r="H1349" s="8"/>
      <c r="I1349" s="7"/>
      <c r="J1349" s="8"/>
      <c r="K1349" s="8"/>
      <c r="L1349" s="8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>
      <c r="A1350" s="7"/>
      <c r="B1350" s="7"/>
      <c r="C1350" s="7"/>
      <c r="D1350" s="7"/>
      <c r="E1350" s="116"/>
      <c r="F1350" s="116"/>
      <c r="G1350" s="8"/>
      <c r="H1350" s="8"/>
      <c r="I1350" s="7"/>
      <c r="J1350" s="8"/>
      <c r="K1350" s="8"/>
      <c r="L1350" s="8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>
      <c r="A1351" s="7"/>
      <c r="B1351" s="7"/>
      <c r="C1351" s="7"/>
      <c r="D1351" s="7"/>
      <c r="E1351" s="116"/>
      <c r="F1351" s="116"/>
      <c r="G1351" s="8"/>
      <c r="H1351" s="8"/>
      <c r="I1351" s="7"/>
      <c r="J1351" s="8"/>
      <c r="K1351" s="8"/>
      <c r="L1351" s="8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>
      <c r="A1352" s="7"/>
      <c r="B1352" s="7"/>
      <c r="C1352" s="7"/>
      <c r="D1352" s="7"/>
      <c r="E1352" s="116"/>
      <c r="F1352" s="116"/>
      <c r="G1352" s="8"/>
      <c r="H1352" s="8"/>
      <c r="I1352" s="7"/>
      <c r="J1352" s="8"/>
      <c r="K1352" s="8"/>
      <c r="L1352" s="8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>
      <c r="A1353" s="7"/>
      <c r="B1353" s="7"/>
      <c r="C1353" s="7"/>
      <c r="D1353" s="7"/>
      <c r="E1353" s="116"/>
      <c r="F1353" s="116"/>
      <c r="G1353" s="8"/>
      <c r="H1353" s="8"/>
      <c r="I1353" s="7"/>
      <c r="J1353" s="8"/>
      <c r="K1353" s="8"/>
      <c r="L1353" s="8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>
      <c r="A1354" s="7"/>
      <c r="B1354" s="7"/>
      <c r="C1354" s="7"/>
      <c r="D1354" s="7"/>
      <c r="E1354" s="116"/>
      <c r="F1354" s="116"/>
      <c r="G1354" s="8"/>
      <c r="H1354" s="8"/>
      <c r="I1354" s="7"/>
      <c r="J1354" s="8"/>
      <c r="K1354" s="8"/>
      <c r="L1354" s="8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>
      <c r="A1355" s="7"/>
      <c r="B1355" s="7"/>
      <c r="C1355" s="7"/>
      <c r="D1355" s="7"/>
      <c r="E1355" s="116"/>
      <c r="F1355" s="116"/>
      <c r="G1355" s="8"/>
      <c r="H1355" s="8"/>
      <c r="I1355" s="7"/>
      <c r="J1355" s="8"/>
      <c r="K1355" s="8"/>
      <c r="L1355" s="8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>
      <c r="A1356" s="7"/>
      <c r="B1356" s="7"/>
      <c r="C1356" s="7"/>
      <c r="D1356" s="7"/>
      <c r="E1356" s="116"/>
      <c r="F1356" s="116"/>
      <c r="G1356" s="8"/>
      <c r="H1356" s="8"/>
      <c r="I1356" s="7"/>
      <c r="J1356" s="8"/>
      <c r="K1356" s="8"/>
      <c r="L1356" s="8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>
      <c r="A1357" s="7"/>
      <c r="B1357" s="7"/>
      <c r="C1357" s="7"/>
      <c r="D1357" s="7"/>
      <c r="E1357" s="116"/>
      <c r="F1357" s="116"/>
      <c r="G1357" s="8"/>
      <c r="H1357" s="8"/>
      <c r="I1357" s="7"/>
      <c r="J1357" s="8"/>
      <c r="K1357" s="8"/>
      <c r="L1357" s="8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>
      <c r="A1358" s="7"/>
      <c r="B1358" s="7"/>
      <c r="C1358" s="7"/>
      <c r="D1358" s="7"/>
      <c r="E1358" s="116"/>
      <c r="F1358" s="116"/>
      <c r="G1358" s="8"/>
      <c r="H1358" s="8"/>
      <c r="I1358" s="7"/>
      <c r="J1358" s="8"/>
      <c r="K1358" s="8"/>
      <c r="L1358" s="8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>
      <c r="A1359" s="7"/>
      <c r="B1359" s="7"/>
      <c r="C1359" s="7"/>
      <c r="D1359" s="7"/>
      <c r="E1359" s="116"/>
      <c r="F1359" s="116"/>
      <c r="G1359" s="8"/>
      <c r="H1359" s="8"/>
      <c r="I1359" s="7"/>
      <c r="J1359" s="8"/>
      <c r="K1359" s="8"/>
      <c r="L1359" s="8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>
      <c r="A1360" s="7"/>
      <c r="B1360" s="7"/>
      <c r="C1360" s="7"/>
      <c r="D1360" s="7"/>
      <c r="E1360" s="116"/>
      <c r="F1360" s="116"/>
      <c r="G1360" s="8"/>
      <c r="H1360" s="8"/>
      <c r="I1360" s="7"/>
      <c r="J1360" s="8"/>
      <c r="K1360" s="8"/>
      <c r="L1360" s="8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>
      <c r="A1361" s="7"/>
      <c r="B1361" s="7"/>
      <c r="C1361" s="7"/>
      <c r="D1361" s="7"/>
      <c r="E1361" s="116"/>
      <c r="F1361" s="116"/>
      <c r="G1361" s="8"/>
      <c r="H1361" s="8"/>
      <c r="I1361" s="7"/>
      <c r="J1361" s="8"/>
      <c r="K1361" s="8"/>
      <c r="L1361" s="8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>
      <c r="A1362" s="7"/>
      <c r="B1362" s="7"/>
      <c r="C1362" s="7"/>
      <c r="D1362" s="7"/>
      <c r="E1362" s="116"/>
      <c r="F1362" s="116"/>
      <c r="G1362" s="8"/>
      <c r="H1362" s="8"/>
      <c r="I1362" s="7"/>
      <c r="J1362" s="8"/>
      <c r="K1362" s="8"/>
      <c r="L1362" s="8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>
      <c r="A1363" s="7"/>
      <c r="B1363" s="7"/>
      <c r="C1363" s="7"/>
      <c r="D1363" s="7"/>
      <c r="E1363" s="116"/>
      <c r="F1363" s="116"/>
      <c r="G1363" s="8"/>
      <c r="H1363" s="8"/>
      <c r="I1363" s="7"/>
      <c r="J1363" s="8"/>
      <c r="K1363" s="8"/>
      <c r="L1363" s="8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>
      <c r="A1364" s="7"/>
      <c r="B1364" s="7"/>
      <c r="C1364" s="7"/>
      <c r="D1364" s="7"/>
      <c r="E1364" s="116"/>
      <c r="F1364" s="116"/>
      <c r="G1364" s="8"/>
      <c r="H1364" s="8"/>
      <c r="I1364" s="7"/>
      <c r="J1364" s="8"/>
      <c r="K1364" s="8"/>
      <c r="L1364" s="8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>
      <c r="A1365" s="7"/>
      <c r="B1365" s="7"/>
      <c r="C1365" s="7"/>
      <c r="D1365" s="7"/>
      <c r="E1365" s="116"/>
      <c r="F1365" s="116"/>
      <c r="G1365" s="8"/>
      <c r="H1365" s="8"/>
      <c r="I1365" s="7"/>
      <c r="J1365" s="8"/>
      <c r="K1365" s="8"/>
      <c r="L1365" s="8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>
      <c r="A1366" s="7"/>
      <c r="B1366" s="7"/>
      <c r="C1366" s="7"/>
      <c r="D1366" s="7"/>
      <c r="E1366" s="116"/>
      <c r="F1366" s="116"/>
      <c r="G1366" s="8"/>
      <c r="H1366" s="8"/>
      <c r="I1366" s="7"/>
      <c r="J1366" s="8"/>
      <c r="K1366" s="8"/>
      <c r="L1366" s="8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>
      <c r="A1367" s="7"/>
      <c r="B1367" s="7"/>
      <c r="C1367" s="7"/>
      <c r="D1367" s="7"/>
      <c r="E1367" s="116"/>
      <c r="F1367" s="116"/>
      <c r="G1367" s="8"/>
      <c r="H1367" s="8"/>
      <c r="I1367" s="7"/>
      <c r="J1367" s="8"/>
      <c r="K1367" s="8"/>
      <c r="L1367" s="8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>
      <c r="A1368" s="7"/>
      <c r="B1368" s="7"/>
      <c r="C1368" s="7"/>
      <c r="D1368" s="7"/>
      <c r="E1368" s="116"/>
      <c r="F1368" s="116"/>
      <c r="G1368" s="8"/>
      <c r="H1368" s="8"/>
      <c r="I1368" s="7"/>
      <c r="J1368" s="8"/>
      <c r="K1368" s="8"/>
      <c r="L1368" s="8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35.38"/>
    <col customWidth="1" min="3" max="3" width="66.5"/>
    <col customWidth="1" min="4" max="4" width="15.25"/>
    <col customWidth="1" min="5" max="5" width="18.88"/>
    <col hidden="1" min="15" max="20" width="12.63"/>
  </cols>
  <sheetData>
    <row r="1">
      <c r="A1" s="111" t="s">
        <v>29</v>
      </c>
      <c r="B1" s="111" t="s">
        <v>87</v>
      </c>
      <c r="C1" s="111" t="s">
        <v>88</v>
      </c>
      <c r="D1" s="61" t="s">
        <v>89</v>
      </c>
      <c r="E1" s="61" t="s">
        <v>90</v>
      </c>
      <c r="F1" s="60" t="s">
        <v>30</v>
      </c>
      <c r="G1" s="60" t="s">
        <v>91</v>
      </c>
      <c r="H1" s="111" t="s">
        <v>92</v>
      </c>
      <c r="I1" s="60" t="s">
        <v>93</v>
      </c>
      <c r="J1" s="60" t="s">
        <v>39</v>
      </c>
      <c r="K1" s="111" t="s">
        <v>40</v>
      </c>
      <c r="L1" s="111" t="s">
        <v>41</v>
      </c>
      <c r="M1" s="111" t="s">
        <v>42</v>
      </c>
      <c r="N1" s="111" t="s">
        <v>43</v>
      </c>
      <c r="O1" s="111" t="s">
        <v>485</v>
      </c>
      <c r="P1" s="111" t="s">
        <v>486</v>
      </c>
      <c r="Q1" s="111" t="s">
        <v>487</v>
      </c>
      <c r="R1" s="111" t="s">
        <v>488</v>
      </c>
      <c r="S1" s="111" t="s">
        <v>489</v>
      </c>
      <c r="T1" s="111" t="s">
        <v>45</v>
      </c>
      <c r="U1" s="7"/>
      <c r="V1" s="7"/>
    </row>
    <row r="2">
      <c r="A2" s="45">
        <v>45870.167175925926</v>
      </c>
      <c r="B2" s="7" t="s">
        <v>730</v>
      </c>
      <c r="C2" s="7" t="s">
        <v>63</v>
      </c>
      <c r="D2" s="74">
        <v>1.0</v>
      </c>
      <c r="E2" s="46"/>
      <c r="F2" s="47">
        <v>24.99</v>
      </c>
      <c r="G2" s="47">
        <v>0.0</v>
      </c>
      <c r="H2" s="7"/>
      <c r="I2" s="47">
        <v>1.02</v>
      </c>
      <c r="J2" s="8"/>
      <c r="K2" s="7"/>
      <c r="L2" s="7"/>
      <c r="M2" s="7"/>
      <c r="N2" s="7"/>
      <c r="O2" s="7" t="s">
        <v>490</v>
      </c>
      <c r="P2" s="7" t="s">
        <v>731</v>
      </c>
      <c r="Q2" s="7"/>
      <c r="R2" s="7" t="s">
        <v>732</v>
      </c>
      <c r="S2" s="7" t="s">
        <v>493</v>
      </c>
      <c r="T2" s="65">
        <v>2434.0</v>
      </c>
      <c r="U2" s="7"/>
      <c r="V2" s="7"/>
    </row>
    <row r="3">
      <c r="A3" s="45">
        <v>45870.090682870374</v>
      </c>
      <c r="B3" s="7" t="s">
        <v>866</v>
      </c>
      <c r="C3" s="7" t="s">
        <v>63</v>
      </c>
      <c r="D3" s="74">
        <v>1.0</v>
      </c>
      <c r="E3" s="46"/>
      <c r="F3" s="47">
        <v>24.99</v>
      </c>
      <c r="G3" s="47">
        <v>0.0</v>
      </c>
      <c r="H3" s="7"/>
      <c r="I3" s="47">
        <v>1.4</v>
      </c>
      <c r="J3" s="8"/>
      <c r="K3" s="7"/>
      <c r="L3" s="7"/>
      <c r="M3" s="7"/>
      <c r="N3" s="7"/>
      <c r="O3" s="7" t="s">
        <v>490</v>
      </c>
      <c r="P3" s="7" t="s">
        <v>867</v>
      </c>
      <c r="Q3" s="7"/>
      <c r="R3" s="7" t="s">
        <v>868</v>
      </c>
      <c r="S3" s="7" t="s">
        <v>545</v>
      </c>
      <c r="T3" s="65">
        <v>2433.0</v>
      </c>
      <c r="U3" s="7"/>
      <c r="V3" s="7"/>
    </row>
    <row r="4">
      <c r="A4" s="45">
        <v>45870.03575231481</v>
      </c>
      <c r="B4" s="7" t="s">
        <v>1473</v>
      </c>
      <c r="C4" s="7" t="s">
        <v>63</v>
      </c>
      <c r="D4" s="74">
        <v>1.0</v>
      </c>
      <c r="E4" s="46"/>
      <c r="F4" s="47">
        <v>34.46</v>
      </c>
      <c r="G4" s="47">
        <v>0.0</v>
      </c>
      <c r="H4" s="7"/>
      <c r="I4" s="47">
        <v>1.3</v>
      </c>
      <c r="J4" s="8"/>
      <c r="K4" s="7"/>
      <c r="L4" s="7"/>
      <c r="M4" s="7"/>
      <c r="N4" s="7"/>
      <c r="O4" s="7" t="s">
        <v>490</v>
      </c>
      <c r="P4" s="7" t="s">
        <v>1474</v>
      </c>
      <c r="Q4" s="7"/>
      <c r="R4" s="7" t="s">
        <v>1475</v>
      </c>
      <c r="S4" s="7" t="s">
        <v>493</v>
      </c>
      <c r="T4" s="65">
        <v>2432.0</v>
      </c>
      <c r="U4" s="7"/>
      <c r="V4" s="7"/>
    </row>
    <row r="5">
      <c r="A5" s="45">
        <v>45869.98548611111</v>
      </c>
      <c r="B5" s="7" t="s">
        <v>1476</v>
      </c>
      <c r="C5" s="7" t="s">
        <v>63</v>
      </c>
      <c r="D5" s="74">
        <v>1.0</v>
      </c>
      <c r="E5" s="46"/>
      <c r="F5" s="47">
        <v>24.99</v>
      </c>
      <c r="G5" s="47">
        <v>0.0</v>
      </c>
      <c r="H5" s="7"/>
      <c r="I5" s="47">
        <v>1.4</v>
      </c>
      <c r="J5" s="8"/>
      <c r="K5" s="7"/>
      <c r="L5" s="7"/>
      <c r="M5" s="7"/>
      <c r="N5" s="7"/>
      <c r="O5" s="7" t="s">
        <v>490</v>
      </c>
      <c r="P5" s="7" t="s">
        <v>643</v>
      </c>
      <c r="Q5" s="7" t="s">
        <v>1477</v>
      </c>
      <c r="R5" s="7" t="s">
        <v>645</v>
      </c>
      <c r="S5" s="7" t="s">
        <v>622</v>
      </c>
      <c r="T5" s="65">
        <v>2429.0</v>
      </c>
      <c r="U5" s="7"/>
      <c r="V5" s="7"/>
    </row>
    <row r="6">
      <c r="A6" s="45">
        <v>45869.96596064815</v>
      </c>
      <c r="B6" s="7" t="s">
        <v>1478</v>
      </c>
      <c r="C6" s="7" t="s">
        <v>63</v>
      </c>
      <c r="D6" s="74">
        <v>1.0</v>
      </c>
      <c r="E6" s="46"/>
      <c r="F6" s="47">
        <v>34.46</v>
      </c>
      <c r="G6" s="47">
        <v>0.0</v>
      </c>
      <c r="H6" s="7"/>
      <c r="I6" s="47">
        <v>1.82</v>
      </c>
      <c r="J6" s="8"/>
      <c r="K6" s="7"/>
      <c r="L6" s="7"/>
      <c r="M6" s="7"/>
      <c r="N6" s="7"/>
      <c r="O6" s="7" t="s">
        <v>490</v>
      </c>
      <c r="P6" s="7" t="s">
        <v>1479</v>
      </c>
      <c r="Q6" s="7" t="s">
        <v>1480</v>
      </c>
      <c r="R6" s="7" t="s">
        <v>572</v>
      </c>
      <c r="S6" s="7" t="s">
        <v>1012</v>
      </c>
      <c r="T6" s="65">
        <v>2428.0</v>
      </c>
      <c r="U6" s="7"/>
      <c r="V6" s="7"/>
    </row>
    <row r="7">
      <c r="A7" s="45">
        <v>45869.95956018518</v>
      </c>
      <c r="B7" s="7" t="s">
        <v>136</v>
      </c>
      <c r="C7" s="7" t="s">
        <v>63</v>
      </c>
      <c r="D7" s="74">
        <v>1.0</v>
      </c>
      <c r="E7" s="46"/>
      <c r="F7" s="47">
        <v>24.99</v>
      </c>
      <c r="G7" s="47">
        <v>0.0</v>
      </c>
      <c r="H7" s="7"/>
      <c r="I7" s="47">
        <v>1.02</v>
      </c>
      <c r="J7" s="8"/>
      <c r="K7" s="7"/>
      <c r="L7" s="7"/>
      <c r="M7" s="7"/>
      <c r="N7" s="7"/>
      <c r="O7" s="7" t="s">
        <v>490</v>
      </c>
      <c r="P7" s="7" t="s">
        <v>652</v>
      </c>
      <c r="Q7" s="7"/>
      <c r="R7" s="7" t="s">
        <v>653</v>
      </c>
      <c r="S7" s="7" t="s">
        <v>493</v>
      </c>
      <c r="T7" s="65">
        <v>2427.0</v>
      </c>
      <c r="U7" s="7"/>
      <c r="V7" s="7"/>
    </row>
    <row r="8">
      <c r="A8" s="45">
        <v>45869.91412037037</v>
      </c>
      <c r="B8" s="7" t="s">
        <v>1204</v>
      </c>
      <c r="C8" s="7" t="s">
        <v>63</v>
      </c>
      <c r="D8" s="74">
        <v>1.0</v>
      </c>
      <c r="E8" s="46"/>
      <c r="F8" s="47">
        <v>24.99</v>
      </c>
      <c r="G8" s="47">
        <v>0.0</v>
      </c>
      <c r="H8" s="7"/>
      <c r="I8" s="47">
        <v>1.4</v>
      </c>
      <c r="J8" s="8"/>
      <c r="K8" s="7"/>
      <c r="L8" s="7"/>
      <c r="M8" s="7"/>
      <c r="N8" s="7"/>
      <c r="O8" s="7" t="s">
        <v>490</v>
      </c>
      <c r="P8" s="7" t="s">
        <v>1481</v>
      </c>
      <c r="Q8" s="65">
        <v>3.0</v>
      </c>
      <c r="R8" s="7" t="s">
        <v>1206</v>
      </c>
      <c r="S8" s="7" t="s">
        <v>726</v>
      </c>
      <c r="T8" s="65">
        <v>2425.0</v>
      </c>
      <c r="U8" s="7"/>
      <c r="V8" s="7"/>
    </row>
    <row r="9">
      <c r="A9" s="45">
        <v>45869.89855324074</v>
      </c>
      <c r="B9" s="7" t="s">
        <v>627</v>
      </c>
      <c r="C9" s="7" t="s">
        <v>63</v>
      </c>
      <c r="D9" s="74">
        <v>1.0</v>
      </c>
      <c r="E9" s="46"/>
      <c r="F9" s="47">
        <v>34.46</v>
      </c>
      <c r="G9" s="47">
        <v>0.0</v>
      </c>
      <c r="H9" s="7"/>
      <c r="I9" s="47">
        <v>1.3</v>
      </c>
      <c r="J9" s="8"/>
      <c r="K9" s="7"/>
      <c r="L9" s="7"/>
      <c r="M9" s="7"/>
      <c r="N9" s="7"/>
      <c r="O9" s="7" t="s">
        <v>490</v>
      </c>
      <c r="P9" s="7" t="s">
        <v>628</v>
      </c>
      <c r="Q9" s="7"/>
      <c r="R9" s="7" t="s">
        <v>629</v>
      </c>
      <c r="S9" s="7" t="s">
        <v>493</v>
      </c>
      <c r="T9" s="65">
        <v>2423.0</v>
      </c>
      <c r="U9" s="7"/>
      <c r="V9" s="7"/>
    </row>
    <row r="10">
      <c r="A10" s="45">
        <v>45869.87186342593</v>
      </c>
      <c r="B10" s="7" t="s">
        <v>1482</v>
      </c>
      <c r="C10" s="7" t="s">
        <v>63</v>
      </c>
      <c r="D10" s="74">
        <v>1.0</v>
      </c>
      <c r="E10" s="46"/>
      <c r="F10" s="47">
        <v>24.99</v>
      </c>
      <c r="G10" s="47">
        <v>0.0</v>
      </c>
      <c r="H10" s="7"/>
      <c r="I10" s="47">
        <v>1.02</v>
      </c>
      <c r="J10" s="8"/>
      <c r="K10" s="7"/>
      <c r="L10" s="7"/>
      <c r="M10" s="7"/>
      <c r="N10" s="7"/>
      <c r="O10" s="7" t="s">
        <v>490</v>
      </c>
      <c r="P10" s="7" t="s">
        <v>721</v>
      </c>
      <c r="Q10" s="7"/>
      <c r="R10" s="7" t="s">
        <v>1483</v>
      </c>
      <c r="S10" s="7" t="s">
        <v>493</v>
      </c>
      <c r="T10" s="65">
        <v>2422.0</v>
      </c>
      <c r="U10" s="7"/>
      <c r="V10" s="7"/>
    </row>
    <row r="11">
      <c r="A11" s="45">
        <v>45869.76068287037</v>
      </c>
      <c r="B11" s="7" t="s">
        <v>529</v>
      </c>
      <c r="C11" s="7" t="s">
        <v>63</v>
      </c>
      <c r="D11" s="74">
        <v>1.0</v>
      </c>
      <c r="E11" s="46"/>
      <c r="F11" s="47">
        <v>24.99</v>
      </c>
      <c r="G11" s="47">
        <v>0.0</v>
      </c>
      <c r="H11" s="7"/>
      <c r="I11" s="47">
        <v>1.02</v>
      </c>
      <c r="J11" s="8"/>
      <c r="K11" s="7"/>
      <c r="L11" s="7"/>
      <c r="M11" s="7"/>
      <c r="N11" s="7"/>
      <c r="O11" s="7" t="s">
        <v>490</v>
      </c>
      <c r="P11" s="7" t="s">
        <v>530</v>
      </c>
      <c r="Q11" s="7"/>
      <c r="R11" s="7" t="s">
        <v>531</v>
      </c>
      <c r="S11" s="7" t="s">
        <v>493</v>
      </c>
      <c r="T11" s="65">
        <v>2421.0</v>
      </c>
      <c r="U11" s="7"/>
      <c r="V11" s="7"/>
    </row>
    <row r="12">
      <c r="A12" s="45">
        <v>45869.682650462964</v>
      </c>
      <c r="B12" s="7" t="s">
        <v>1484</v>
      </c>
      <c r="C12" s="7" t="s">
        <v>63</v>
      </c>
      <c r="D12" s="74">
        <v>1.0</v>
      </c>
      <c r="E12" s="46"/>
      <c r="F12" s="47">
        <v>51.41</v>
      </c>
      <c r="G12" s="47">
        <v>0.0</v>
      </c>
      <c r="H12" s="7"/>
      <c r="I12" s="47">
        <v>2.56</v>
      </c>
      <c r="J12" s="8"/>
      <c r="K12" s="7"/>
      <c r="L12" s="7"/>
      <c r="M12" s="7"/>
      <c r="N12" s="7"/>
      <c r="O12" s="7" t="s">
        <v>490</v>
      </c>
      <c r="P12" s="7" t="s">
        <v>1485</v>
      </c>
      <c r="Q12" s="7" t="s">
        <v>1486</v>
      </c>
      <c r="R12" s="7" t="s">
        <v>1487</v>
      </c>
      <c r="S12" s="7" t="s">
        <v>497</v>
      </c>
      <c r="T12" s="65">
        <v>2420.0</v>
      </c>
      <c r="U12" s="7"/>
      <c r="V12" s="7"/>
    </row>
    <row r="13">
      <c r="A13" s="45">
        <v>45869.28925925926</v>
      </c>
      <c r="B13" s="7" t="s">
        <v>134</v>
      </c>
      <c r="C13" s="7" t="s">
        <v>63</v>
      </c>
      <c r="D13" s="74">
        <v>1.0</v>
      </c>
      <c r="E13" s="46"/>
      <c r="F13" s="47">
        <v>49.83</v>
      </c>
      <c r="G13" s="47">
        <v>0.0</v>
      </c>
      <c r="H13" s="7"/>
      <c r="I13" s="47">
        <v>2.49</v>
      </c>
      <c r="J13" s="8"/>
      <c r="K13" s="7"/>
      <c r="L13" s="7"/>
      <c r="M13" s="7"/>
      <c r="N13" s="7"/>
      <c r="O13" s="7" t="s">
        <v>490</v>
      </c>
      <c r="P13" s="7" t="s">
        <v>1488</v>
      </c>
      <c r="Q13" s="65">
        <v>11.0</v>
      </c>
      <c r="R13" s="7" t="s">
        <v>1489</v>
      </c>
      <c r="S13" s="7" t="s">
        <v>525</v>
      </c>
      <c r="T13" s="65">
        <v>2417.0</v>
      </c>
      <c r="U13" s="7"/>
      <c r="V13" s="7"/>
    </row>
    <row r="14">
      <c r="A14" s="45">
        <v>45869.17099537037</v>
      </c>
      <c r="B14" s="7" t="s">
        <v>1490</v>
      </c>
      <c r="C14" s="7" t="s">
        <v>63</v>
      </c>
      <c r="D14" s="74">
        <v>1.0</v>
      </c>
      <c r="E14" s="46"/>
      <c r="F14" s="47">
        <v>62.55</v>
      </c>
      <c r="G14" s="47">
        <v>0.0</v>
      </c>
      <c r="H14" s="7"/>
      <c r="I14" s="47">
        <v>3.05</v>
      </c>
      <c r="J14" s="8"/>
      <c r="K14" s="7"/>
      <c r="L14" s="7"/>
      <c r="M14" s="7"/>
      <c r="N14" s="7"/>
      <c r="O14" s="7" t="s">
        <v>490</v>
      </c>
      <c r="P14" s="7" t="s">
        <v>1491</v>
      </c>
      <c r="Q14" s="7" t="s">
        <v>1492</v>
      </c>
      <c r="R14" s="7" t="s">
        <v>1493</v>
      </c>
      <c r="S14" s="7" t="s">
        <v>882</v>
      </c>
      <c r="T14" s="65">
        <v>2415.0</v>
      </c>
      <c r="U14" s="7"/>
      <c r="V14" s="7"/>
    </row>
    <row r="15">
      <c r="A15" s="45">
        <v>45869.14826388889</v>
      </c>
      <c r="B15" s="7" t="s">
        <v>1494</v>
      </c>
      <c r="C15" s="7" t="s">
        <v>63</v>
      </c>
      <c r="D15" s="74">
        <v>1.0</v>
      </c>
      <c r="E15" s="46"/>
      <c r="F15" s="47">
        <v>34.46</v>
      </c>
      <c r="G15" s="47">
        <v>0.0</v>
      </c>
      <c r="H15" s="7"/>
      <c r="I15" s="47">
        <v>1.3</v>
      </c>
      <c r="J15" s="8"/>
      <c r="K15" s="7"/>
      <c r="L15" s="7"/>
      <c r="M15" s="7"/>
      <c r="N15" s="7"/>
      <c r="O15" s="7" t="s">
        <v>490</v>
      </c>
      <c r="P15" s="7"/>
      <c r="Q15" s="7"/>
      <c r="R15" s="7"/>
      <c r="S15" s="7" t="s">
        <v>493</v>
      </c>
      <c r="T15" s="65">
        <v>2414.0</v>
      </c>
      <c r="U15" s="7"/>
      <c r="V15" s="7"/>
    </row>
    <row r="16">
      <c r="A16" s="45">
        <v>45869.09162037037</v>
      </c>
      <c r="B16" s="7" t="s">
        <v>1495</v>
      </c>
      <c r="C16" s="7" t="s">
        <v>63</v>
      </c>
      <c r="D16" s="74">
        <v>1.0</v>
      </c>
      <c r="E16" s="46"/>
      <c r="F16" s="47">
        <v>34.46</v>
      </c>
      <c r="G16" s="47">
        <v>0.0</v>
      </c>
      <c r="H16" s="7"/>
      <c r="I16" s="47">
        <v>1.3</v>
      </c>
      <c r="J16" s="8"/>
      <c r="K16" s="7"/>
      <c r="L16" s="7"/>
      <c r="M16" s="7"/>
      <c r="N16" s="7"/>
      <c r="O16" s="7" t="s">
        <v>490</v>
      </c>
      <c r="P16" s="7" t="s">
        <v>1496</v>
      </c>
      <c r="Q16" s="7"/>
      <c r="R16" s="7" t="s">
        <v>1497</v>
      </c>
      <c r="S16" s="7" t="s">
        <v>493</v>
      </c>
      <c r="T16" s="65">
        <v>2411.0</v>
      </c>
      <c r="U16" s="7"/>
      <c r="V16" s="7"/>
    </row>
    <row r="17">
      <c r="A17" s="45">
        <v>45869.06454861111</v>
      </c>
      <c r="B17" s="7" t="s">
        <v>1498</v>
      </c>
      <c r="C17" s="7" t="s">
        <v>63</v>
      </c>
      <c r="D17" s="74">
        <v>1.0</v>
      </c>
      <c r="E17" s="46"/>
      <c r="F17" s="47">
        <v>34.46</v>
      </c>
      <c r="G17" s="47">
        <v>0.0</v>
      </c>
      <c r="H17" s="7"/>
      <c r="I17" s="47">
        <v>1.3</v>
      </c>
      <c r="J17" s="8"/>
      <c r="K17" s="7"/>
      <c r="L17" s="7"/>
      <c r="M17" s="7"/>
      <c r="N17" s="7"/>
      <c r="O17" s="7" t="s">
        <v>490</v>
      </c>
      <c r="P17" s="7"/>
      <c r="Q17" s="7"/>
      <c r="R17" s="7"/>
      <c r="S17" s="7" t="s">
        <v>493</v>
      </c>
      <c r="T17" s="65">
        <v>2410.0</v>
      </c>
      <c r="U17" s="7"/>
      <c r="V17" s="7"/>
    </row>
    <row r="18">
      <c r="A18" s="45">
        <v>45869.02211805555</v>
      </c>
      <c r="B18" s="7" t="s">
        <v>727</v>
      </c>
      <c r="C18" s="7" t="s">
        <v>63</v>
      </c>
      <c r="D18" s="74">
        <v>1.0</v>
      </c>
      <c r="E18" s="46"/>
      <c r="F18" s="47">
        <v>24.99</v>
      </c>
      <c r="G18" s="47">
        <v>0.0</v>
      </c>
      <c r="H18" s="7"/>
      <c r="I18" s="47">
        <v>1.02</v>
      </c>
      <c r="J18" s="8"/>
      <c r="K18" s="7"/>
      <c r="L18" s="7"/>
      <c r="M18" s="7"/>
      <c r="N18" s="7"/>
      <c r="O18" s="7" t="s">
        <v>490</v>
      </c>
      <c r="P18" s="7" t="s">
        <v>728</v>
      </c>
      <c r="Q18" s="7"/>
      <c r="R18" s="7" t="s">
        <v>729</v>
      </c>
      <c r="S18" s="7" t="s">
        <v>493</v>
      </c>
      <c r="T18" s="65">
        <v>2407.0</v>
      </c>
      <c r="U18" s="7"/>
      <c r="V18" s="7"/>
    </row>
    <row r="19">
      <c r="A19" s="45">
        <v>45869.006631944445</v>
      </c>
      <c r="B19" s="7" t="s">
        <v>221</v>
      </c>
      <c r="C19" s="7" t="s">
        <v>63</v>
      </c>
      <c r="D19" s="74">
        <v>1.0</v>
      </c>
      <c r="E19" s="46"/>
      <c r="F19" s="47">
        <v>24.99</v>
      </c>
      <c r="G19" s="47">
        <v>0.0</v>
      </c>
      <c r="H19" s="7"/>
      <c r="I19" s="47">
        <v>1.4</v>
      </c>
      <c r="J19" s="8"/>
      <c r="K19" s="7"/>
      <c r="L19" s="7"/>
      <c r="M19" s="7"/>
      <c r="N19" s="7"/>
      <c r="O19" s="7" t="s">
        <v>490</v>
      </c>
      <c r="P19" s="7" t="s">
        <v>770</v>
      </c>
      <c r="Q19" s="7"/>
      <c r="R19" s="7" t="s">
        <v>771</v>
      </c>
      <c r="S19" s="7" t="s">
        <v>545</v>
      </c>
      <c r="T19" s="65">
        <v>2406.0</v>
      </c>
      <c r="U19" s="7"/>
      <c r="V19" s="7"/>
    </row>
    <row r="20">
      <c r="A20" s="45">
        <v>45868.96092592592</v>
      </c>
      <c r="B20" s="7" t="s">
        <v>1255</v>
      </c>
      <c r="C20" s="7" t="s">
        <v>63</v>
      </c>
      <c r="D20" s="74">
        <v>1.0</v>
      </c>
      <c r="E20" s="46"/>
      <c r="F20" s="47">
        <v>24.99</v>
      </c>
      <c r="G20" s="47">
        <v>0.0</v>
      </c>
      <c r="H20" s="7"/>
      <c r="I20" s="47">
        <v>1.02</v>
      </c>
      <c r="J20" s="8"/>
      <c r="K20" s="7"/>
      <c r="L20" s="7"/>
      <c r="M20" s="7"/>
      <c r="N20" s="7"/>
      <c r="O20" s="7" t="s">
        <v>490</v>
      </c>
      <c r="P20" s="7" t="s">
        <v>1256</v>
      </c>
      <c r="Q20" s="7" t="s">
        <v>1257</v>
      </c>
      <c r="R20" s="7" t="s">
        <v>1258</v>
      </c>
      <c r="S20" s="7" t="s">
        <v>493</v>
      </c>
      <c r="T20" s="65">
        <v>2405.0</v>
      </c>
      <c r="U20" s="7"/>
      <c r="V20" s="7"/>
    </row>
    <row r="21">
      <c r="A21" s="45">
        <v>45868.95694444444</v>
      </c>
      <c r="B21" s="7" t="s">
        <v>518</v>
      </c>
      <c r="C21" s="7" t="s">
        <v>63</v>
      </c>
      <c r="D21" s="74">
        <v>1.0</v>
      </c>
      <c r="E21" s="46"/>
      <c r="F21" s="47">
        <v>24.99</v>
      </c>
      <c r="G21" s="47">
        <v>0.0</v>
      </c>
      <c r="H21" s="7"/>
      <c r="I21" s="47">
        <v>1.4</v>
      </c>
      <c r="J21" s="8"/>
      <c r="K21" s="7"/>
      <c r="L21" s="7"/>
      <c r="M21" s="7"/>
      <c r="N21" s="7"/>
      <c r="O21" s="7" t="s">
        <v>490</v>
      </c>
      <c r="P21" s="7" t="s">
        <v>1499</v>
      </c>
      <c r="Q21" s="7"/>
      <c r="R21" s="7" t="s">
        <v>520</v>
      </c>
      <c r="S21" s="7" t="s">
        <v>521</v>
      </c>
      <c r="T21" s="65">
        <v>2404.0</v>
      </c>
      <c r="U21" s="7"/>
      <c r="V21" s="7"/>
    </row>
    <row r="22">
      <c r="A22" s="45">
        <v>45868.93084490741</v>
      </c>
      <c r="B22" s="7" t="s">
        <v>1500</v>
      </c>
      <c r="C22" s="7" t="s">
        <v>63</v>
      </c>
      <c r="D22" s="74">
        <v>1.0</v>
      </c>
      <c r="E22" s="46"/>
      <c r="F22" s="47">
        <v>34.46</v>
      </c>
      <c r="G22" s="47">
        <v>0.0</v>
      </c>
      <c r="H22" s="7"/>
      <c r="I22" s="47">
        <v>1.3</v>
      </c>
      <c r="J22" s="8"/>
      <c r="K22" s="7"/>
      <c r="L22" s="7"/>
      <c r="M22" s="7"/>
      <c r="N22" s="7"/>
      <c r="O22" s="7" t="s">
        <v>490</v>
      </c>
      <c r="P22" s="7"/>
      <c r="Q22" s="7"/>
      <c r="R22" s="7"/>
      <c r="S22" s="7" t="s">
        <v>493</v>
      </c>
      <c r="T22" s="65">
        <v>2401.0</v>
      </c>
      <c r="U22" s="7"/>
      <c r="V22" s="7"/>
    </row>
    <row r="23">
      <c r="A23" s="45">
        <v>45868.88376157408</v>
      </c>
      <c r="B23" s="7" t="s">
        <v>403</v>
      </c>
      <c r="C23" s="7" t="s">
        <v>63</v>
      </c>
      <c r="D23" s="74">
        <v>1.0</v>
      </c>
      <c r="E23" s="46"/>
      <c r="F23" s="47">
        <v>24.99</v>
      </c>
      <c r="G23" s="47">
        <v>0.0</v>
      </c>
      <c r="H23" s="7"/>
      <c r="I23" s="47">
        <v>1.02</v>
      </c>
      <c r="J23" s="8"/>
      <c r="K23" s="7"/>
      <c r="L23" s="7"/>
      <c r="M23" s="7"/>
      <c r="N23" s="7"/>
      <c r="O23" s="7" t="s">
        <v>490</v>
      </c>
      <c r="P23" s="7" t="s">
        <v>602</v>
      </c>
      <c r="Q23" s="7"/>
      <c r="R23" s="7" t="s">
        <v>603</v>
      </c>
      <c r="S23" s="7" t="s">
        <v>493</v>
      </c>
      <c r="T23" s="65">
        <v>2400.0</v>
      </c>
      <c r="U23" s="7"/>
      <c r="V23" s="7"/>
    </row>
    <row r="24">
      <c r="A24" s="45">
        <v>45868.58210648148</v>
      </c>
      <c r="B24" s="7" t="s">
        <v>621</v>
      </c>
      <c r="C24" s="7" t="s">
        <v>63</v>
      </c>
      <c r="D24" s="74">
        <v>1.0</v>
      </c>
      <c r="E24" s="46"/>
      <c r="F24" s="47">
        <v>24.99</v>
      </c>
      <c r="G24" s="47">
        <v>0.0</v>
      </c>
      <c r="H24" s="7"/>
      <c r="I24" s="47">
        <v>1.4</v>
      </c>
      <c r="J24" s="8"/>
      <c r="K24" s="7"/>
      <c r="L24" s="7"/>
      <c r="M24" s="7"/>
      <c r="N24" s="7"/>
      <c r="O24" s="7" t="s">
        <v>490</v>
      </c>
      <c r="P24" s="7"/>
      <c r="Q24" s="7"/>
      <c r="R24" s="7"/>
      <c r="S24" s="7" t="s">
        <v>622</v>
      </c>
      <c r="T24" s="65">
        <v>2398.0</v>
      </c>
      <c r="U24" s="7"/>
      <c r="V24" s="7"/>
    </row>
    <row r="25">
      <c r="A25" s="45">
        <v>45868.515231481484</v>
      </c>
      <c r="B25" s="7" t="s">
        <v>1501</v>
      </c>
      <c r="C25" s="7" t="s">
        <v>63</v>
      </c>
      <c r="D25" s="74">
        <v>1.0</v>
      </c>
      <c r="E25" s="46"/>
      <c r="F25" s="47">
        <v>24.99</v>
      </c>
      <c r="G25" s="47">
        <v>0.0</v>
      </c>
      <c r="H25" s="7"/>
      <c r="I25" s="47">
        <v>1.4</v>
      </c>
      <c r="J25" s="8"/>
      <c r="K25" s="7"/>
      <c r="L25" s="7"/>
      <c r="M25" s="7"/>
      <c r="N25" s="7"/>
      <c r="O25" s="7" t="s">
        <v>490</v>
      </c>
      <c r="P25" s="7" t="s">
        <v>787</v>
      </c>
      <c r="Q25" s="7" t="s">
        <v>1502</v>
      </c>
      <c r="R25" s="7" t="s">
        <v>789</v>
      </c>
      <c r="S25" s="7" t="s">
        <v>617</v>
      </c>
      <c r="T25" s="65">
        <v>2397.0</v>
      </c>
      <c r="U25" s="7"/>
      <c r="V25" s="7"/>
    </row>
    <row r="26">
      <c r="A26" s="45">
        <v>45868.338854166665</v>
      </c>
      <c r="B26" s="7" t="s">
        <v>736</v>
      </c>
      <c r="C26" s="7" t="s">
        <v>63</v>
      </c>
      <c r="D26" s="74">
        <v>1.0</v>
      </c>
      <c r="E26" s="46"/>
      <c r="F26" s="47">
        <v>24.99</v>
      </c>
      <c r="G26" s="47">
        <v>0.0</v>
      </c>
      <c r="H26" s="7"/>
      <c r="I26" s="47">
        <v>1.4</v>
      </c>
      <c r="J26" s="8"/>
      <c r="K26" s="7"/>
      <c r="L26" s="7"/>
      <c r="M26" s="7"/>
      <c r="N26" s="7"/>
      <c r="O26" s="7" t="s">
        <v>490</v>
      </c>
      <c r="P26" s="7" t="s">
        <v>737</v>
      </c>
      <c r="Q26" s="65">
        <v>2.0</v>
      </c>
      <c r="R26" s="7" t="s">
        <v>738</v>
      </c>
      <c r="S26" s="7" t="s">
        <v>51</v>
      </c>
      <c r="T26" s="65">
        <v>2396.0</v>
      </c>
      <c r="U26" s="7"/>
      <c r="V26" s="7"/>
    </row>
    <row r="27">
      <c r="A27" s="45">
        <v>45868.20552083333</v>
      </c>
      <c r="B27" s="7" t="s">
        <v>177</v>
      </c>
      <c r="C27" s="7" t="s">
        <v>63</v>
      </c>
      <c r="D27" s="74">
        <v>1.0</v>
      </c>
      <c r="E27" s="46"/>
      <c r="F27" s="47">
        <v>24.99</v>
      </c>
      <c r="G27" s="47">
        <v>0.0</v>
      </c>
      <c r="H27" s="7"/>
      <c r="I27" s="47">
        <v>1.4</v>
      </c>
      <c r="J27" s="8"/>
      <c r="K27" s="7"/>
      <c r="L27" s="7"/>
      <c r="M27" s="7"/>
      <c r="N27" s="7"/>
      <c r="O27" s="7" t="s">
        <v>490</v>
      </c>
      <c r="P27" s="7" t="s">
        <v>494</v>
      </c>
      <c r="Q27" s="7" t="s">
        <v>1503</v>
      </c>
      <c r="R27" s="7" t="s">
        <v>1504</v>
      </c>
      <c r="S27" s="7" t="s">
        <v>497</v>
      </c>
      <c r="T27" s="65">
        <v>2394.0</v>
      </c>
      <c r="U27" s="7"/>
      <c r="V27" s="7"/>
    </row>
    <row r="28">
      <c r="A28" s="45">
        <v>45867.8533912037</v>
      </c>
      <c r="B28" s="7" t="s">
        <v>733</v>
      </c>
      <c r="C28" s="7" t="s">
        <v>63</v>
      </c>
      <c r="D28" s="74">
        <v>1.0</v>
      </c>
      <c r="E28" s="46"/>
      <c r="F28" s="47">
        <v>24.99</v>
      </c>
      <c r="G28" s="47">
        <v>0.0</v>
      </c>
      <c r="H28" s="7"/>
      <c r="I28" s="47">
        <v>1.4</v>
      </c>
      <c r="J28" s="8"/>
      <c r="K28" s="7"/>
      <c r="L28" s="7"/>
      <c r="M28" s="7"/>
      <c r="N28" s="7"/>
      <c r="O28" s="7" t="s">
        <v>490</v>
      </c>
      <c r="P28" s="7" t="s">
        <v>734</v>
      </c>
      <c r="Q28" s="7"/>
      <c r="R28" s="7" t="s">
        <v>735</v>
      </c>
      <c r="S28" s="7" t="s">
        <v>545</v>
      </c>
      <c r="T28" s="65">
        <v>2392.0</v>
      </c>
      <c r="U28" s="7"/>
      <c r="V28" s="7"/>
    </row>
    <row r="29">
      <c r="A29" s="45">
        <v>45867.706400462965</v>
      </c>
      <c r="B29" s="7" t="s">
        <v>930</v>
      </c>
      <c r="C29" s="7" t="s">
        <v>63</v>
      </c>
      <c r="D29" s="74">
        <v>1.0</v>
      </c>
      <c r="E29" s="46"/>
      <c r="F29" s="47">
        <v>24.99</v>
      </c>
      <c r="G29" s="47">
        <v>0.0</v>
      </c>
      <c r="H29" s="7"/>
      <c r="I29" s="47">
        <v>1.4</v>
      </c>
      <c r="J29" s="8"/>
      <c r="K29" s="7"/>
      <c r="L29" s="7"/>
      <c r="M29" s="7"/>
      <c r="N29" s="7"/>
      <c r="O29" s="7" t="s">
        <v>490</v>
      </c>
      <c r="P29" s="7" t="s">
        <v>931</v>
      </c>
      <c r="Q29" s="7"/>
      <c r="R29" s="7" t="s">
        <v>932</v>
      </c>
      <c r="S29" s="7" t="s">
        <v>1175</v>
      </c>
      <c r="T29" s="65">
        <v>2389.0</v>
      </c>
      <c r="U29" s="7"/>
      <c r="V29" s="7"/>
    </row>
    <row r="30">
      <c r="A30" s="45">
        <v>45867.695810185185</v>
      </c>
      <c r="B30" s="7" t="s">
        <v>592</v>
      </c>
      <c r="C30" s="7" t="s">
        <v>63</v>
      </c>
      <c r="D30" s="74">
        <v>1.0</v>
      </c>
      <c r="E30" s="46"/>
      <c r="F30" s="47">
        <v>27.61</v>
      </c>
      <c r="G30" s="47">
        <v>0.0</v>
      </c>
      <c r="H30" s="7"/>
      <c r="I30" s="47">
        <v>1.1</v>
      </c>
      <c r="J30" s="8"/>
      <c r="K30" s="7"/>
      <c r="L30" s="7"/>
      <c r="M30" s="7"/>
      <c r="N30" s="7"/>
      <c r="O30" s="7" t="s">
        <v>490</v>
      </c>
      <c r="P30" s="7" t="s">
        <v>593</v>
      </c>
      <c r="Q30" s="7"/>
      <c r="R30" s="7" t="s">
        <v>594</v>
      </c>
      <c r="S30" s="7" t="s">
        <v>493</v>
      </c>
      <c r="T30" s="65">
        <v>2388.0</v>
      </c>
      <c r="U30" s="7"/>
      <c r="V30" s="7"/>
    </row>
    <row r="31">
      <c r="A31" s="45">
        <v>45867.54462962963</v>
      </c>
      <c r="B31" s="7" t="s">
        <v>1053</v>
      </c>
      <c r="C31" s="7" t="s">
        <v>63</v>
      </c>
      <c r="D31" s="74">
        <v>1.0</v>
      </c>
      <c r="E31" s="46"/>
      <c r="F31" s="47">
        <v>26.49</v>
      </c>
      <c r="G31" s="47">
        <v>0.0</v>
      </c>
      <c r="H31" s="7"/>
      <c r="I31" s="47">
        <v>1.07</v>
      </c>
      <c r="J31" s="8"/>
      <c r="K31" s="7"/>
      <c r="L31" s="7"/>
      <c r="M31" s="7"/>
      <c r="N31" s="7"/>
      <c r="O31" s="7" t="s">
        <v>490</v>
      </c>
      <c r="P31" s="7" t="s">
        <v>1054</v>
      </c>
      <c r="Q31" s="7"/>
      <c r="R31" s="7" t="s">
        <v>1055</v>
      </c>
      <c r="S31" s="7" t="s">
        <v>493</v>
      </c>
      <c r="T31" s="65">
        <v>2386.0</v>
      </c>
      <c r="U31" s="7"/>
      <c r="V31" s="7"/>
    </row>
    <row r="32">
      <c r="A32" s="45">
        <v>45867.52782407407</v>
      </c>
      <c r="B32" s="7" t="s">
        <v>223</v>
      </c>
      <c r="C32" s="7" t="s">
        <v>63</v>
      </c>
      <c r="D32" s="74">
        <v>1.0</v>
      </c>
      <c r="E32" s="46"/>
      <c r="F32" s="47">
        <v>24.99</v>
      </c>
      <c r="G32" s="47">
        <v>0.0</v>
      </c>
      <c r="H32" s="7"/>
      <c r="I32" s="47">
        <v>1.02</v>
      </c>
      <c r="J32" s="8"/>
      <c r="K32" s="7"/>
      <c r="L32" s="7"/>
      <c r="M32" s="7"/>
      <c r="N32" s="7"/>
      <c r="O32" s="7" t="s">
        <v>490</v>
      </c>
      <c r="P32" s="7" t="s">
        <v>940</v>
      </c>
      <c r="Q32" s="7"/>
      <c r="R32" s="7" t="s">
        <v>941</v>
      </c>
      <c r="S32" s="7" t="s">
        <v>493</v>
      </c>
      <c r="T32" s="65">
        <v>2385.0</v>
      </c>
      <c r="U32" s="7"/>
      <c r="V32" s="7"/>
    </row>
    <row r="33">
      <c r="A33" s="45">
        <v>45867.32341435185</v>
      </c>
      <c r="B33" s="7" t="s">
        <v>697</v>
      </c>
      <c r="C33" s="7" t="s">
        <v>63</v>
      </c>
      <c r="D33" s="74">
        <v>1.0</v>
      </c>
      <c r="E33" s="46"/>
      <c r="F33" s="47">
        <v>24.99</v>
      </c>
      <c r="G33" s="47">
        <v>0.0</v>
      </c>
      <c r="H33" s="7"/>
      <c r="I33" s="47">
        <v>1.4</v>
      </c>
      <c r="J33" s="8"/>
      <c r="K33" s="7"/>
      <c r="L33" s="7"/>
      <c r="M33" s="7"/>
      <c r="N33" s="7"/>
      <c r="O33" s="7" t="s">
        <v>490</v>
      </c>
      <c r="P33" s="7" t="s">
        <v>698</v>
      </c>
      <c r="Q33" s="7"/>
      <c r="R33" s="7" t="s">
        <v>699</v>
      </c>
      <c r="S33" s="7" t="s">
        <v>542</v>
      </c>
      <c r="T33" s="65">
        <v>2383.0</v>
      </c>
      <c r="U33" s="7"/>
      <c r="V33" s="7"/>
    </row>
    <row r="34">
      <c r="A34" s="45">
        <v>45867.093935185185</v>
      </c>
      <c r="B34" s="7" t="s">
        <v>305</v>
      </c>
      <c r="C34" s="7" t="s">
        <v>63</v>
      </c>
      <c r="D34" s="74">
        <v>1.0</v>
      </c>
      <c r="E34" s="46"/>
      <c r="F34" s="47">
        <v>24.99</v>
      </c>
      <c r="G34" s="47">
        <v>0.0</v>
      </c>
      <c r="H34" s="7"/>
      <c r="I34" s="47">
        <v>1.4</v>
      </c>
      <c r="J34" s="8"/>
      <c r="K34" s="7"/>
      <c r="L34" s="7"/>
      <c r="M34" s="7"/>
      <c r="N34" s="7"/>
      <c r="O34" s="7" t="s">
        <v>490</v>
      </c>
      <c r="P34" s="7" t="s">
        <v>1505</v>
      </c>
      <c r="Q34" s="7"/>
      <c r="R34" s="7" t="s">
        <v>1506</v>
      </c>
      <c r="S34" s="7" t="s">
        <v>1012</v>
      </c>
      <c r="T34" s="65">
        <v>2381.0</v>
      </c>
      <c r="U34" s="7"/>
      <c r="V34" s="7"/>
    </row>
    <row r="35">
      <c r="A35" s="45">
        <v>45867.091458333336</v>
      </c>
      <c r="B35" s="7" t="s">
        <v>1507</v>
      </c>
      <c r="C35" s="7" t="s">
        <v>63</v>
      </c>
      <c r="D35" s="74">
        <v>1.0</v>
      </c>
      <c r="E35" s="46"/>
      <c r="F35" s="47">
        <v>24.99</v>
      </c>
      <c r="G35" s="47">
        <v>0.0</v>
      </c>
      <c r="H35" s="7"/>
      <c r="I35" s="47">
        <v>1.02</v>
      </c>
      <c r="J35" s="8"/>
      <c r="K35" s="7"/>
      <c r="L35" s="7"/>
      <c r="M35" s="7"/>
      <c r="N35" s="7"/>
      <c r="O35" s="7" t="s">
        <v>490</v>
      </c>
      <c r="P35" s="7" t="s">
        <v>1253</v>
      </c>
      <c r="Q35" s="7"/>
      <c r="R35" s="7" t="s">
        <v>1254</v>
      </c>
      <c r="S35" s="7" t="s">
        <v>493</v>
      </c>
      <c r="T35" s="65">
        <v>2382.0</v>
      </c>
      <c r="U35" s="7"/>
      <c r="V35" s="7"/>
    </row>
    <row r="36">
      <c r="A36" s="45">
        <v>45867.07277777778</v>
      </c>
      <c r="B36" s="7" t="s">
        <v>1508</v>
      </c>
      <c r="C36" s="7" t="s">
        <v>63</v>
      </c>
      <c r="D36" s="74">
        <v>1.0</v>
      </c>
      <c r="E36" s="46"/>
      <c r="F36" s="47">
        <v>34.46</v>
      </c>
      <c r="G36" s="47">
        <v>0.0</v>
      </c>
      <c r="H36" s="7"/>
      <c r="I36" s="47">
        <v>1.3</v>
      </c>
      <c r="J36" s="8"/>
      <c r="K36" s="7"/>
      <c r="L36" s="7"/>
      <c r="M36" s="7"/>
      <c r="N36" s="7"/>
      <c r="O36" s="7" t="s">
        <v>490</v>
      </c>
      <c r="P36" s="7" t="s">
        <v>1509</v>
      </c>
      <c r="Q36" s="7"/>
      <c r="R36" s="7" t="s">
        <v>1510</v>
      </c>
      <c r="S36" s="7" t="s">
        <v>493</v>
      </c>
      <c r="T36" s="65">
        <v>2380.0</v>
      </c>
      <c r="U36" s="7"/>
      <c r="V36" s="7"/>
    </row>
    <row r="37">
      <c r="A37" s="45">
        <v>45867.06</v>
      </c>
      <c r="B37" s="7" t="s">
        <v>1511</v>
      </c>
      <c r="C37" s="7" t="s">
        <v>63</v>
      </c>
      <c r="D37" s="74">
        <v>1.0</v>
      </c>
      <c r="E37" s="46"/>
      <c r="F37" s="47">
        <v>24.99</v>
      </c>
      <c r="G37" s="47">
        <v>0.0</v>
      </c>
      <c r="H37" s="7"/>
      <c r="I37" s="47">
        <v>1.4</v>
      </c>
      <c r="J37" s="8"/>
      <c r="K37" s="7"/>
      <c r="L37" s="7"/>
      <c r="M37" s="7"/>
      <c r="N37" s="7"/>
      <c r="O37" s="7" t="s">
        <v>490</v>
      </c>
      <c r="P37" s="7" t="s">
        <v>681</v>
      </c>
      <c r="Q37" s="7" t="s">
        <v>682</v>
      </c>
      <c r="R37" s="7" t="s">
        <v>683</v>
      </c>
      <c r="S37" s="7" t="s">
        <v>684</v>
      </c>
      <c r="T37" s="65">
        <v>2379.0</v>
      </c>
      <c r="U37" s="7"/>
      <c r="V37" s="7"/>
    </row>
    <row r="38">
      <c r="A38" s="45">
        <v>45867.03635416667</v>
      </c>
      <c r="B38" s="7" t="s">
        <v>242</v>
      </c>
      <c r="C38" s="7" t="s">
        <v>63</v>
      </c>
      <c r="D38" s="74">
        <v>1.0</v>
      </c>
      <c r="E38" s="46"/>
      <c r="F38" s="47">
        <v>24.99</v>
      </c>
      <c r="G38" s="47">
        <v>0.0</v>
      </c>
      <c r="H38" s="7"/>
      <c r="I38" s="47">
        <v>1.4</v>
      </c>
      <c r="J38" s="8"/>
      <c r="K38" s="7"/>
      <c r="L38" s="7"/>
      <c r="M38" s="7"/>
      <c r="N38" s="7"/>
      <c r="O38" s="7" t="s">
        <v>490</v>
      </c>
      <c r="P38" s="7" t="s">
        <v>618</v>
      </c>
      <c r="Q38" s="7" t="s">
        <v>1512</v>
      </c>
      <c r="R38" s="7" t="s">
        <v>620</v>
      </c>
      <c r="S38" s="7" t="s">
        <v>545</v>
      </c>
      <c r="T38" s="65">
        <v>2377.0</v>
      </c>
      <c r="U38" s="7"/>
      <c r="V38" s="7"/>
    </row>
    <row r="39">
      <c r="A39" s="45">
        <v>45867.004270833335</v>
      </c>
      <c r="B39" s="7" t="s">
        <v>1513</v>
      </c>
      <c r="C39" s="7" t="s">
        <v>63</v>
      </c>
      <c r="D39" s="74">
        <v>1.0</v>
      </c>
      <c r="E39" s="46"/>
      <c r="F39" s="47">
        <v>36.27</v>
      </c>
      <c r="G39" s="47">
        <v>0.0</v>
      </c>
      <c r="H39" s="7"/>
      <c r="I39" s="47">
        <v>1.35</v>
      </c>
      <c r="J39" s="8"/>
      <c r="K39" s="7"/>
      <c r="L39" s="7"/>
      <c r="M39" s="7"/>
      <c r="N39" s="7"/>
      <c r="O39" s="7" t="s">
        <v>490</v>
      </c>
      <c r="P39" s="7" t="s">
        <v>1514</v>
      </c>
      <c r="Q39" s="7"/>
      <c r="R39" s="7" t="s">
        <v>1515</v>
      </c>
      <c r="S39" s="7" t="s">
        <v>493</v>
      </c>
      <c r="T39" s="65">
        <v>2375.0</v>
      </c>
      <c r="U39" s="7"/>
      <c r="V39" s="7"/>
    </row>
    <row r="40">
      <c r="A40" s="45">
        <v>45866.987905092596</v>
      </c>
      <c r="B40" s="7" t="s">
        <v>1516</v>
      </c>
      <c r="C40" s="7" t="s">
        <v>63</v>
      </c>
      <c r="D40" s="74">
        <v>1.0</v>
      </c>
      <c r="E40" s="46"/>
      <c r="F40" s="47">
        <v>34.46</v>
      </c>
      <c r="G40" s="47">
        <v>0.0</v>
      </c>
      <c r="H40" s="7"/>
      <c r="I40" s="47">
        <v>1.3</v>
      </c>
      <c r="J40" s="8"/>
      <c r="K40" s="7"/>
      <c r="L40" s="7"/>
      <c r="M40" s="7"/>
      <c r="N40" s="7"/>
      <c r="O40" s="7" t="s">
        <v>490</v>
      </c>
      <c r="P40" s="7" t="s">
        <v>1517</v>
      </c>
      <c r="Q40" s="7" t="s">
        <v>1518</v>
      </c>
      <c r="R40" s="7" t="s">
        <v>1519</v>
      </c>
      <c r="S40" s="7" t="s">
        <v>493</v>
      </c>
      <c r="T40" s="65">
        <v>2374.0</v>
      </c>
      <c r="U40" s="7"/>
      <c r="V40" s="7"/>
    </row>
    <row r="41">
      <c r="A41" s="45">
        <v>45866.9584375</v>
      </c>
      <c r="B41" s="7" t="s">
        <v>1520</v>
      </c>
      <c r="C41" s="7" t="s">
        <v>63</v>
      </c>
      <c r="D41" s="74">
        <v>1.0</v>
      </c>
      <c r="E41" s="46"/>
      <c r="F41" s="47">
        <v>34.46</v>
      </c>
      <c r="G41" s="47">
        <v>0.0</v>
      </c>
      <c r="H41" s="7"/>
      <c r="I41" s="47">
        <v>1.3</v>
      </c>
      <c r="J41" s="8"/>
      <c r="K41" s="7"/>
      <c r="L41" s="7"/>
      <c r="M41" s="7"/>
      <c r="N41" s="7"/>
      <c r="O41" s="7" t="s">
        <v>490</v>
      </c>
      <c r="P41" s="7" t="s">
        <v>1521</v>
      </c>
      <c r="Q41" s="7"/>
      <c r="R41" s="7" t="s">
        <v>1522</v>
      </c>
      <c r="S41" s="7" t="s">
        <v>493</v>
      </c>
      <c r="T41" s="65">
        <v>2373.0</v>
      </c>
      <c r="U41" s="7"/>
      <c r="V41" s="7"/>
    </row>
    <row r="42">
      <c r="A42" s="45">
        <v>45866.93445601852</v>
      </c>
      <c r="B42" s="7" t="s">
        <v>243</v>
      </c>
      <c r="C42" s="7" t="s">
        <v>63</v>
      </c>
      <c r="D42" s="74">
        <v>1.0</v>
      </c>
      <c r="E42" s="46"/>
      <c r="F42" s="47">
        <v>24.99</v>
      </c>
      <c r="G42" s="47">
        <v>0.0</v>
      </c>
      <c r="H42" s="7"/>
      <c r="I42" s="47">
        <v>1.02</v>
      </c>
      <c r="J42" s="8"/>
      <c r="K42" s="7"/>
      <c r="L42" s="7"/>
      <c r="M42" s="7"/>
      <c r="N42" s="7"/>
      <c r="O42" s="7" t="s">
        <v>490</v>
      </c>
      <c r="P42" s="7" t="s">
        <v>739</v>
      </c>
      <c r="Q42" s="7"/>
      <c r="R42" s="7" t="s">
        <v>740</v>
      </c>
      <c r="S42" s="7" t="s">
        <v>493</v>
      </c>
      <c r="T42" s="65">
        <v>2371.0</v>
      </c>
      <c r="U42" s="7"/>
      <c r="V42" s="7"/>
    </row>
    <row r="43">
      <c r="A43" s="45">
        <v>45866.91334490741</v>
      </c>
      <c r="B43" s="7" t="s">
        <v>128</v>
      </c>
      <c r="C43" s="7" t="s">
        <v>1523</v>
      </c>
      <c r="D43" s="74">
        <v>3.0</v>
      </c>
      <c r="E43" s="46"/>
      <c r="F43" s="47">
        <v>74.97</v>
      </c>
      <c r="G43" s="47">
        <v>0.0</v>
      </c>
      <c r="H43" s="7"/>
      <c r="I43" s="47">
        <v>3.6</v>
      </c>
      <c r="J43" s="8"/>
      <c r="K43" s="7"/>
      <c r="L43" s="7"/>
      <c r="M43" s="7"/>
      <c r="N43" s="7"/>
      <c r="O43" s="7" t="s">
        <v>490</v>
      </c>
      <c r="P43" s="7" t="s">
        <v>880</v>
      </c>
      <c r="Q43" s="7" t="s">
        <v>881</v>
      </c>
      <c r="R43" s="7" t="s">
        <v>850</v>
      </c>
      <c r="S43" s="7" t="s">
        <v>882</v>
      </c>
      <c r="T43" s="65">
        <v>2370.0</v>
      </c>
      <c r="U43" s="7"/>
      <c r="V43" s="7"/>
    </row>
    <row r="44">
      <c r="A44" s="45">
        <v>45866.87142361111</v>
      </c>
      <c r="B44" s="7" t="s">
        <v>273</v>
      </c>
      <c r="C44" s="7" t="s">
        <v>63</v>
      </c>
      <c r="D44" s="74">
        <v>1.0</v>
      </c>
      <c r="E44" s="46"/>
      <c r="F44" s="47">
        <v>24.99</v>
      </c>
      <c r="G44" s="47">
        <v>0.0</v>
      </c>
      <c r="H44" s="7"/>
      <c r="I44" s="47">
        <v>1.02</v>
      </c>
      <c r="J44" s="8"/>
      <c r="K44" s="7"/>
      <c r="L44" s="7"/>
      <c r="M44" s="7"/>
      <c r="N44" s="7"/>
      <c r="O44" s="7" t="s">
        <v>490</v>
      </c>
      <c r="P44" s="7" t="s">
        <v>646</v>
      </c>
      <c r="Q44" s="7"/>
      <c r="R44" s="7" t="s">
        <v>647</v>
      </c>
      <c r="S44" s="7" t="s">
        <v>493</v>
      </c>
      <c r="T44" s="65">
        <v>2368.0</v>
      </c>
      <c r="U44" s="7"/>
      <c r="V44" s="7"/>
    </row>
    <row r="45">
      <c r="A45" s="45">
        <v>45866.86224537037</v>
      </c>
      <c r="B45" s="7" t="s">
        <v>237</v>
      </c>
      <c r="C45" s="7" t="s">
        <v>63</v>
      </c>
      <c r="D45" s="74">
        <v>1.0</v>
      </c>
      <c r="E45" s="46"/>
      <c r="F45" s="47">
        <v>24.99</v>
      </c>
      <c r="G45" s="47">
        <v>0.0</v>
      </c>
      <c r="H45" s="7"/>
      <c r="I45" s="47">
        <v>1.02</v>
      </c>
      <c r="J45" s="8"/>
      <c r="K45" s="7"/>
      <c r="L45" s="7"/>
      <c r="M45" s="7"/>
      <c r="N45" s="7"/>
      <c r="O45" s="7" t="s">
        <v>490</v>
      </c>
      <c r="P45" s="7" t="s">
        <v>657</v>
      </c>
      <c r="Q45" s="7"/>
      <c r="R45" s="7" t="s">
        <v>658</v>
      </c>
      <c r="S45" s="7" t="s">
        <v>493</v>
      </c>
      <c r="T45" s="65">
        <v>2366.0</v>
      </c>
      <c r="U45" s="7"/>
      <c r="V45" s="7"/>
    </row>
    <row r="46">
      <c r="A46" s="45">
        <v>45866.84837962963</v>
      </c>
      <c r="B46" s="7" t="s">
        <v>216</v>
      </c>
      <c r="C46" s="7" t="s">
        <v>63</v>
      </c>
      <c r="D46" s="74">
        <v>1.0</v>
      </c>
      <c r="E46" s="46"/>
      <c r="F46" s="47">
        <v>49.83</v>
      </c>
      <c r="G46" s="47">
        <v>0.0</v>
      </c>
      <c r="H46" s="7"/>
      <c r="I46" s="47">
        <v>2.49</v>
      </c>
      <c r="J46" s="8"/>
      <c r="K46" s="7"/>
      <c r="L46" s="7"/>
      <c r="M46" s="7"/>
      <c r="N46" s="7"/>
      <c r="O46" s="7" t="s">
        <v>490</v>
      </c>
      <c r="P46" s="7" t="s">
        <v>1524</v>
      </c>
      <c r="Q46" s="65">
        <v>27.0</v>
      </c>
      <c r="R46" s="7" t="s">
        <v>1525</v>
      </c>
      <c r="S46" s="7" t="s">
        <v>525</v>
      </c>
      <c r="T46" s="65">
        <v>2365.0</v>
      </c>
      <c r="U46" s="7"/>
      <c r="V46" s="7"/>
    </row>
    <row r="47">
      <c r="A47" s="45">
        <v>45866.831030092595</v>
      </c>
      <c r="B47" s="7" t="s">
        <v>1526</v>
      </c>
      <c r="C47" s="7" t="s">
        <v>63</v>
      </c>
      <c r="D47" s="74">
        <v>1.0</v>
      </c>
      <c r="E47" s="46"/>
      <c r="F47" s="47">
        <v>24.99</v>
      </c>
      <c r="G47" s="47">
        <v>0.0</v>
      </c>
      <c r="H47" s="7"/>
      <c r="I47" s="47">
        <v>1.02</v>
      </c>
      <c r="J47" s="8"/>
      <c r="K47" s="7"/>
      <c r="L47" s="7"/>
      <c r="M47" s="7"/>
      <c r="N47" s="7"/>
      <c r="O47" s="7" t="s">
        <v>490</v>
      </c>
      <c r="P47" s="7"/>
      <c r="Q47" s="7"/>
      <c r="R47" s="7"/>
      <c r="S47" s="7" t="s">
        <v>493</v>
      </c>
      <c r="T47" s="65">
        <v>2362.0</v>
      </c>
      <c r="U47" s="7"/>
      <c r="V47" s="7"/>
    </row>
    <row r="48">
      <c r="A48" s="45">
        <v>45866.80255787037</v>
      </c>
      <c r="B48" s="7" t="s">
        <v>929</v>
      </c>
      <c r="C48" s="7" t="s">
        <v>63</v>
      </c>
      <c r="D48" s="74">
        <v>1.0</v>
      </c>
      <c r="E48" s="46"/>
      <c r="F48" s="47">
        <v>24.99</v>
      </c>
      <c r="G48" s="47">
        <v>0.0</v>
      </c>
      <c r="H48" s="7"/>
      <c r="I48" s="47">
        <v>1.4</v>
      </c>
      <c r="J48" s="8"/>
      <c r="K48" s="7"/>
      <c r="L48" s="7"/>
      <c r="M48" s="7"/>
      <c r="N48" s="7"/>
      <c r="O48" s="7" t="s">
        <v>490</v>
      </c>
      <c r="P48" s="7"/>
      <c r="Q48" s="7"/>
      <c r="R48" s="7"/>
      <c r="S48" s="7" t="s">
        <v>545</v>
      </c>
      <c r="T48" s="65">
        <v>2359.0</v>
      </c>
      <c r="U48" s="7"/>
      <c r="V48" s="7"/>
    </row>
    <row r="49">
      <c r="A49" s="45">
        <v>45866.789988425924</v>
      </c>
      <c r="B49" s="7" t="s">
        <v>186</v>
      </c>
      <c r="C49" s="7" t="s">
        <v>63</v>
      </c>
      <c r="D49" s="74">
        <v>1.0</v>
      </c>
      <c r="E49" s="46"/>
      <c r="F49" s="47">
        <v>26.49</v>
      </c>
      <c r="G49" s="47">
        <v>0.0</v>
      </c>
      <c r="H49" s="7"/>
      <c r="I49" s="47">
        <v>1.07</v>
      </c>
      <c r="J49" s="8"/>
      <c r="K49" s="7"/>
      <c r="L49" s="7"/>
      <c r="M49" s="7"/>
      <c r="N49" s="7"/>
      <c r="O49" s="7" t="s">
        <v>490</v>
      </c>
      <c r="P49" s="7" t="s">
        <v>750</v>
      </c>
      <c r="Q49" s="7"/>
      <c r="R49" s="7" t="s">
        <v>751</v>
      </c>
      <c r="S49" s="7" t="s">
        <v>493</v>
      </c>
      <c r="T49" s="65">
        <v>2358.0</v>
      </c>
      <c r="U49" s="7"/>
      <c r="V49" s="7"/>
    </row>
    <row r="50">
      <c r="A50" s="45">
        <v>45866.78800925926</v>
      </c>
      <c r="B50" s="7" t="s">
        <v>1244</v>
      </c>
      <c r="C50" s="7" t="s">
        <v>63</v>
      </c>
      <c r="D50" s="74">
        <v>1.0</v>
      </c>
      <c r="E50" s="46"/>
      <c r="F50" s="47">
        <v>24.99</v>
      </c>
      <c r="G50" s="47">
        <v>0.0</v>
      </c>
      <c r="H50" s="7"/>
      <c r="I50" s="47">
        <v>1.4</v>
      </c>
      <c r="J50" s="8"/>
      <c r="K50" s="7"/>
      <c r="L50" s="7"/>
      <c r="M50" s="7"/>
      <c r="N50" s="7"/>
      <c r="O50" s="7" t="s">
        <v>490</v>
      </c>
      <c r="P50" s="7" t="s">
        <v>1527</v>
      </c>
      <c r="Q50" s="7" t="s">
        <v>1528</v>
      </c>
      <c r="R50" s="7" t="s">
        <v>1529</v>
      </c>
      <c r="S50" s="7" t="s">
        <v>542</v>
      </c>
      <c r="T50" s="65">
        <v>2356.0</v>
      </c>
      <c r="U50" s="7"/>
      <c r="V50" s="7"/>
    </row>
    <row r="51">
      <c r="A51" s="45">
        <v>45866.76231481481</v>
      </c>
      <c r="B51" s="7" t="s">
        <v>756</v>
      </c>
      <c r="C51" s="7" t="s">
        <v>63</v>
      </c>
      <c r="D51" s="74">
        <v>1.0</v>
      </c>
      <c r="E51" s="46"/>
      <c r="F51" s="47">
        <v>24.99</v>
      </c>
      <c r="G51" s="47">
        <v>0.0</v>
      </c>
      <c r="H51" s="7"/>
      <c r="I51" s="47">
        <v>1.02</v>
      </c>
      <c r="J51" s="8"/>
      <c r="K51" s="7"/>
      <c r="L51" s="7"/>
      <c r="M51" s="7"/>
      <c r="N51" s="7"/>
      <c r="O51" s="7" t="s">
        <v>490</v>
      </c>
      <c r="P51" s="7" t="s">
        <v>757</v>
      </c>
      <c r="Q51" s="7"/>
      <c r="R51" s="7" t="s">
        <v>758</v>
      </c>
      <c r="S51" s="7" t="s">
        <v>493</v>
      </c>
      <c r="T51" s="65">
        <v>2351.0</v>
      </c>
      <c r="U51" s="7"/>
      <c r="V51" s="7"/>
    </row>
    <row r="52">
      <c r="A52" s="45">
        <v>45866.72008101852</v>
      </c>
      <c r="B52" s="7" t="s">
        <v>254</v>
      </c>
      <c r="C52" s="7" t="s">
        <v>63</v>
      </c>
      <c r="D52" s="74">
        <v>1.0</v>
      </c>
      <c r="E52" s="46"/>
      <c r="F52" s="47">
        <v>24.99</v>
      </c>
      <c r="G52" s="47">
        <v>0.0</v>
      </c>
      <c r="H52" s="7"/>
      <c r="I52" s="47">
        <v>1.02</v>
      </c>
      <c r="J52" s="8"/>
      <c r="K52" s="7"/>
      <c r="L52" s="7"/>
      <c r="M52" s="7"/>
      <c r="N52" s="7"/>
      <c r="O52" s="7" t="s">
        <v>490</v>
      </c>
      <c r="P52" s="7"/>
      <c r="Q52" s="7"/>
      <c r="R52" s="7"/>
      <c r="S52" s="7" t="s">
        <v>493</v>
      </c>
      <c r="T52" s="65">
        <v>2343.0</v>
      </c>
      <c r="U52" s="7"/>
      <c r="V52" s="7"/>
    </row>
    <row r="53">
      <c r="A53" s="45">
        <v>45866.66206018518</v>
      </c>
      <c r="B53" s="7" t="s">
        <v>120</v>
      </c>
      <c r="C53" s="7" t="s">
        <v>63</v>
      </c>
      <c r="D53" s="74">
        <v>1.0</v>
      </c>
      <c r="E53" s="46"/>
      <c r="F53" s="47">
        <v>24.99</v>
      </c>
      <c r="G53" s="47">
        <v>0.0</v>
      </c>
      <c r="H53" s="7"/>
      <c r="I53" s="47">
        <v>1.02</v>
      </c>
      <c r="J53" s="8"/>
      <c r="K53" s="7"/>
      <c r="L53" s="7"/>
      <c r="M53" s="7"/>
      <c r="N53" s="7"/>
      <c r="O53" s="7" t="s">
        <v>490</v>
      </c>
      <c r="P53" s="7" t="s">
        <v>623</v>
      </c>
      <c r="Q53" s="7"/>
      <c r="R53" s="7" t="s">
        <v>624</v>
      </c>
      <c r="S53" s="7" t="s">
        <v>493</v>
      </c>
      <c r="T53" s="65">
        <v>2337.0</v>
      </c>
      <c r="U53" s="7"/>
      <c r="V53" s="7"/>
    </row>
    <row r="54">
      <c r="A54" s="45">
        <v>45866.294652777775</v>
      </c>
      <c r="B54" s="7" t="s">
        <v>347</v>
      </c>
      <c r="C54" s="7" t="s">
        <v>63</v>
      </c>
      <c r="D54" s="74">
        <v>1.0</v>
      </c>
      <c r="E54" s="46"/>
      <c r="F54" s="47">
        <v>24.99</v>
      </c>
      <c r="G54" s="47">
        <v>0.0</v>
      </c>
      <c r="H54" s="7"/>
      <c r="I54" s="47">
        <v>1.02</v>
      </c>
      <c r="J54" s="8"/>
      <c r="K54" s="7"/>
      <c r="L54" s="7"/>
      <c r="M54" s="7"/>
      <c r="N54" s="7"/>
      <c r="O54" s="7" t="s">
        <v>490</v>
      </c>
      <c r="P54" s="7" t="s">
        <v>933</v>
      </c>
      <c r="Q54" s="7"/>
      <c r="R54" s="7" t="s">
        <v>934</v>
      </c>
      <c r="S54" s="7" t="s">
        <v>493</v>
      </c>
      <c r="T54" s="65">
        <v>2334.0</v>
      </c>
      <c r="U54" s="7"/>
      <c r="V54" s="7"/>
    </row>
    <row r="55">
      <c r="A55" s="45">
        <v>45866.068391203706</v>
      </c>
      <c r="B55" s="7" t="s">
        <v>869</v>
      </c>
      <c r="C55" s="7" t="s">
        <v>63</v>
      </c>
      <c r="D55" s="74">
        <v>1.0</v>
      </c>
      <c r="E55" s="46"/>
      <c r="F55" s="47">
        <v>27.15</v>
      </c>
      <c r="G55" s="47">
        <v>0.0</v>
      </c>
      <c r="H55" s="7"/>
      <c r="I55" s="47">
        <v>1.09</v>
      </c>
      <c r="J55" s="8"/>
      <c r="K55" s="7"/>
      <c r="L55" s="7"/>
      <c r="M55" s="7"/>
      <c r="N55" s="7"/>
      <c r="O55" s="7" t="s">
        <v>490</v>
      </c>
      <c r="P55" s="7" t="s">
        <v>870</v>
      </c>
      <c r="Q55" s="7"/>
      <c r="R55" s="7" t="s">
        <v>871</v>
      </c>
      <c r="S55" s="7" t="s">
        <v>493</v>
      </c>
      <c r="T55" s="65">
        <v>2329.0</v>
      </c>
      <c r="U55" s="7"/>
      <c r="V55" s="7"/>
    </row>
    <row r="56">
      <c r="A56" s="45">
        <v>45865.92802083334</v>
      </c>
      <c r="B56" s="7" t="s">
        <v>150</v>
      </c>
      <c r="C56" s="7" t="s">
        <v>63</v>
      </c>
      <c r="D56" s="74">
        <v>1.0</v>
      </c>
      <c r="E56" s="46"/>
      <c r="F56" s="47">
        <v>24.99</v>
      </c>
      <c r="G56" s="47">
        <v>0.0</v>
      </c>
      <c r="H56" s="7"/>
      <c r="I56" s="47">
        <v>1.02</v>
      </c>
      <c r="J56" s="8"/>
      <c r="K56" s="7"/>
      <c r="L56" s="7"/>
      <c r="M56" s="7"/>
      <c r="N56" s="7"/>
      <c r="O56" s="7" t="s">
        <v>490</v>
      </c>
      <c r="P56" s="7" t="s">
        <v>768</v>
      </c>
      <c r="Q56" s="7"/>
      <c r="R56" s="7" t="s">
        <v>769</v>
      </c>
      <c r="S56" s="7" t="s">
        <v>493</v>
      </c>
      <c r="T56" s="65">
        <v>2328.0</v>
      </c>
      <c r="U56" s="7"/>
      <c r="V56" s="7"/>
    </row>
    <row r="57">
      <c r="A57" s="45">
        <v>45864.62744212963</v>
      </c>
      <c r="B57" s="7" t="s">
        <v>498</v>
      </c>
      <c r="C57" s="7" t="s">
        <v>63</v>
      </c>
      <c r="D57" s="74">
        <v>1.0</v>
      </c>
      <c r="E57" s="46"/>
      <c r="F57" s="47">
        <v>24.99</v>
      </c>
      <c r="G57" s="47">
        <v>0.0</v>
      </c>
      <c r="H57" s="7"/>
      <c r="I57" s="47">
        <v>1.4</v>
      </c>
      <c r="J57" s="8"/>
      <c r="K57" s="7"/>
      <c r="L57" s="7"/>
      <c r="M57" s="7"/>
      <c r="N57" s="7"/>
      <c r="O57" s="7" t="s">
        <v>490</v>
      </c>
      <c r="P57" s="7" t="s">
        <v>499</v>
      </c>
      <c r="Q57" s="7"/>
      <c r="R57" s="7" t="s">
        <v>500</v>
      </c>
      <c r="S57" s="7" t="s">
        <v>501</v>
      </c>
      <c r="T57" s="65">
        <v>2326.0</v>
      </c>
      <c r="U57" s="7"/>
      <c r="V57" s="7"/>
    </row>
    <row r="58">
      <c r="A58" s="45">
        <v>45864.113333333335</v>
      </c>
      <c r="B58" s="7" t="s">
        <v>172</v>
      </c>
      <c r="C58" s="7" t="s">
        <v>63</v>
      </c>
      <c r="D58" s="74">
        <v>1.0</v>
      </c>
      <c r="E58" s="46"/>
      <c r="F58" s="47">
        <v>24.99</v>
      </c>
      <c r="G58" s="47">
        <v>0.0</v>
      </c>
      <c r="H58" s="7"/>
      <c r="I58" s="47">
        <v>1.02</v>
      </c>
      <c r="J58" s="8"/>
      <c r="K58" s="7"/>
      <c r="L58" s="7"/>
      <c r="M58" s="7"/>
      <c r="N58" s="7"/>
      <c r="O58" s="7" t="s">
        <v>490</v>
      </c>
      <c r="P58" s="7" t="s">
        <v>1102</v>
      </c>
      <c r="Q58" s="7"/>
      <c r="R58" s="7" t="s">
        <v>1103</v>
      </c>
      <c r="S58" s="7" t="s">
        <v>493</v>
      </c>
      <c r="T58" s="65">
        <v>2320.0</v>
      </c>
      <c r="U58" s="7"/>
      <c r="V58" s="7"/>
    </row>
    <row r="59">
      <c r="A59" s="45">
        <v>45864.10872685185</v>
      </c>
      <c r="B59" s="7" t="s">
        <v>139</v>
      </c>
      <c r="C59" s="7" t="s">
        <v>63</v>
      </c>
      <c r="D59" s="74">
        <v>1.0</v>
      </c>
      <c r="E59" s="46"/>
      <c r="F59" s="47">
        <v>36.81</v>
      </c>
      <c r="G59" s="47">
        <v>0.0</v>
      </c>
      <c r="H59" s="7"/>
      <c r="I59" s="47">
        <v>1.37</v>
      </c>
      <c r="J59" s="8"/>
      <c r="K59" s="7"/>
      <c r="L59" s="7"/>
      <c r="M59" s="7"/>
      <c r="N59" s="7"/>
      <c r="O59" s="7" t="s">
        <v>490</v>
      </c>
      <c r="P59" s="7" t="s">
        <v>1310</v>
      </c>
      <c r="Q59" s="7"/>
      <c r="R59" s="7" t="s">
        <v>1311</v>
      </c>
      <c r="S59" s="7" t="s">
        <v>493</v>
      </c>
      <c r="T59" s="65">
        <v>2318.0</v>
      </c>
      <c r="U59" s="7"/>
      <c r="V59" s="7"/>
    </row>
    <row r="60">
      <c r="A60" s="45">
        <v>45863.90263888889</v>
      </c>
      <c r="B60" s="7" t="s">
        <v>112</v>
      </c>
      <c r="C60" s="7" t="s">
        <v>1530</v>
      </c>
      <c r="D60" s="74">
        <v>2.0</v>
      </c>
      <c r="E60" s="46"/>
      <c r="F60" s="47">
        <v>49.98</v>
      </c>
      <c r="G60" s="47">
        <v>0.0</v>
      </c>
      <c r="H60" s="7"/>
      <c r="I60" s="47">
        <v>2.5</v>
      </c>
      <c r="J60" s="8"/>
      <c r="K60" s="7"/>
      <c r="L60" s="7"/>
      <c r="M60" s="7"/>
      <c r="N60" s="7"/>
      <c r="O60" s="7" t="s">
        <v>490</v>
      </c>
      <c r="P60" s="7" t="s">
        <v>942</v>
      </c>
      <c r="Q60" s="7"/>
      <c r="R60" s="7" t="s">
        <v>943</v>
      </c>
      <c r="S60" s="7" t="s">
        <v>545</v>
      </c>
      <c r="T60" s="65">
        <v>2313.0</v>
      </c>
      <c r="U60" s="7"/>
      <c r="V60" s="7"/>
    </row>
    <row r="61">
      <c r="A61" s="45">
        <v>45863.88899305555</v>
      </c>
      <c r="B61" s="7" t="s">
        <v>1124</v>
      </c>
      <c r="C61" s="7" t="s">
        <v>63</v>
      </c>
      <c r="D61" s="74">
        <v>1.0</v>
      </c>
      <c r="E61" s="46"/>
      <c r="F61" s="47">
        <v>49.83</v>
      </c>
      <c r="G61" s="47">
        <v>0.0</v>
      </c>
      <c r="H61" s="7"/>
      <c r="I61" s="47">
        <v>2.49</v>
      </c>
      <c r="J61" s="8"/>
      <c r="K61" s="7"/>
      <c r="L61" s="7"/>
      <c r="M61" s="7"/>
      <c r="N61" s="7"/>
      <c r="O61" s="7" t="s">
        <v>490</v>
      </c>
      <c r="P61" s="7" t="s">
        <v>1125</v>
      </c>
      <c r="Q61" s="7"/>
      <c r="R61" s="7" t="s">
        <v>1126</v>
      </c>
      <c r="S61" s="7" t="s">
        <v>525</v>
      </c>
      <c r="T61" s="65">
        <v>2312.0</v>
      </c>
      <c r="U61" s="7"/>
      <c r="V61" s="7"/>
    </row>
    <row r="62">
      <c r="A62" s="45">
        <v>45863.87144675926</v>
      </c>
      <c r="B62" s="7" t="s">
        <v>148</v>
      </c>
      <c r="C62" s="7" t="s">
        <v>63</v>
      </c>
      <c r="D62" s="74">
        <v>1.0</v>
      </c>
      <c r="E62" s="46"/>
      <c r="F62" s="47">
        <v>24.99</v>
      </c>
      <c r="G62" s="47">
        <v>0.0</v>
      </c>
      <c r="H62" s="7"/>
      <c r="I62" s="47">
        <v>1.02</v>
      </c>
      <c r="J62" s="8"/>
      <c r="K62" s="7"/>
      <c r="L62" s="7"/>
      <c r="M62" s="7"/>
      <c r="N62" s="7"/>
      <c r="O62" s="7" t="s">
        <v>490</v>
      </c>
      <c r="P62" s="7" t="s">
        <v>1140</v>
      </c>
      <c r="Q62" s="7"/>
      <c r="R62" s="7" t="s">
        <v>1141</v>
      </c>
      <c r="S62" s="7" t="s">
        <v>493</v>
      </c>
      <c r="T62" s="65">
        <v>2307.0</v>
      </c>
      <c r="U62" s="7"/>
      <c r="V62" s="7"/>
    </row>
    <row r="63">
      <c r="A63" s="45">
        <v>45863.45952546296</v>
      </c>
      <c r="B63" s="7" t="s">
        <v>827</v>
      </c>
      <c r="C63" s="7" t="s">
        <v>63</v>
      </c>
      <c r="D63" s="74">
        <v>1.0</v>
      </c>
      <c r="E63" s="46"/>
      <c r="F63" s="47">
        <v>24.99</v>
      </c>
      <c r="G63" s="47">
        <v>0.0</v>
      </c>
      <c r="H63" s="7"/>
      <c r="I63" s="47">
        <v>1.4</v>
      </c>
      <c r="J63" s="8"/>
      <c r="K63" s="7"/>
      <c r="L63" s="7"/>
      <c r="M63" s="7"/>
      <c r="N63" s="7"/>
      <c r="O63" s="7" t="s">
        <v>490</v>
      </c>
      <c r="P63" s="7" t="s">
        <v>828</v>
      </c>
      <c r="Q63" s="7" t="s">
        <v>829</v>
      </c>
      <c r="R63" s="7" t="s">
        <v>830</v>
      </c>
      <c r="S63" s="7" t="s">
        <v>542</v>
      </c>
      <c r="T63" s="65">
        <v>2304.0</v>
      </c>
      <c r="U63" s="7"/>
      <c r="V63" s="7"/>
    </row>
    <row r="64">
      <c r="A64" s="45">
        <v>45862.84471064815</v>
      </c>
      <c r="B64" s="7" t="s">
        <v>105</v>
      </c>
      <c r="C64" s="7" t="s">
        <v>63</v>
      </c>
      <c r="D64" s="74">
        <v>1.0</v>
      </c>
      <c r="E64" s="46"/>
      <c r="F64" s="47">
        <v>24.99</v>
      </c>
      <c r="G64" s="47">
        <v>0.0</v>
      </c>
      <c r="H64" s="7"/>
      <c r="I64" s="47">
        <v>1.02</v>
      </c>
      <c r="J64" s="8"/>
      <c r="K64" s="7"/>
      <c r="L64" s="7"/>
      <c r="M64" s="7"/>
      <c r="N64" s="7"/>
      <c r="O64" s="7" t="s">
        <v>490</v>
      </c>
      <c r="P64" s="7" t="s">
        <v>612</v>
      </c>
      <c r="Q64" s="7"/>
      <c r="R64" s="7" t="s">
        <v>613</v>
      </c>
      <c r="S64" s="7" t="s">
        <v>493</v>
      </c>
      <c r="T64" s="65">
        <v>2301.0</v>
      </c>
      <c r="U64" s="7"/>
      <c r="V64" s="7"/>
    </row>
    <row r="65">
      <c r="A65" s="45">
        <v>45862.668020833335</v>
      </c>
      <c r="B65" s="7" t="s">
        <v>1531</v>
      </c>
      <c r="C65" s="7" t="s">
        <v>63</v>
      </c>
      <c r="D65" s="74">
        <v>1.0</v>
      </c>
      <c r="E65" s="46"/>
      <c r="F65" s="47">
        <v>24.99</v>
      </c>
      <c r="G65" s="47">
        <v>0.0</v>
      </c>
      <c r="H65" s="7"/>
      <c r="I65" s="47">
        <v>1.02</v>
      </c>
      <c r="J65" s="8"/>
      <c r="K65" s="7"/>
      <c r="L65" s="7"/>
      <c r="M65" s="7"/>
      <c r="N65" s="7"/>
      <c r="O65" s="7" t="s">
        <v>490</v>
      </c>
      <c r="P65" s="7" t="s">
        <v>925</v>
      </c>
      <c r="Q65" s="7"/>
      <c r="R65" s="7" t="s">
        <v>926</v>
      </c>
      <c r="S65" s="7" t="s">
        <v>493</v>
      </c>
      <c r="T65" s="65">
        <v>2298.0</v>
      </c>
      <c r="U65" s="7"/>
      <c r="V65" s="7"/>
    </row>
    <row r="66">
      <c r="A66" s="45">
        <v>45862.60246527778</v>
      </c>
      <c r="B66" s="7" t="s">
        <v>783</v>
      </c>
      <c r="C66" s="7" t="s">
        <v>63</v>
      </c>
      <c r="D66" s="74">
        <v>1.0</v>
      </c>
      <c r="E66" s="46"/>
      <c r="F66" s="47">
        <v>24.99</v>
      </c>
      <c r="G66" s="47">
        <v>0.0</v>
      </c>
      <c r="H66" s="7"/>
      <c r="I66" s="47">
        <v>1.02</v>
      </c>
      <c r="J66" s="8"/>
      <c r="K66" s="7"/>
      <c r="L66" s="7"/>
      <c r="M66" s="7"/>
      <c r="N66" s="7"/>
      <c r="O66" s="7" t="s">
        <v>490</v>
      </c>
      <c r="P66" s="7" t="s">
        <v>784</v>
      </c>
      <c r="Q66" s="7"/>
      <c r="R66" s="7" t="s">
        <v>785</v>
      </c>
      <c r="S66" s="7" t="s">
        <v>493</v>
      </c>
      <c r="T66" s="65">
        <v>2297.0</v>
      </c>
      <c r="U66" s="7"/>
      <c r="V66" s="7"/>
    </row>
    <row r="67">
      <c r="A67" s="45">
        <v>45862.56644675926</v>
      </c>
      <c r="B67" s="7" t="s">
        <v>752</v>
      </c>
      <c r="C67" s="7" t="s">
        <v>63</v>
      </c>
      <c r="D67" s="74">
        <v>1.0</v>
      </c>
      <c r="E67" s="46"/>
      <c r="F67" s="47">
        <v>24.99</v>
      </c>
      <c r="G67" s="47">
        <v>0.0</v>
      </c>
      <c r="H67" s="7"/>
      <c r="I67" s="47">
        <v>1.4</v>
      </c>
      <c r="J67" s="8"/>
      <c r="K67" s="7"/>
      <c r="L67" s="7"/>
      <c r="M67" s="7"/>
      <c r="N67" s="7"/>
      <c r="O67" s="7" t="s">
        <v>490</v>
      </c>
      <c r="P67" s="7" t="s">
        <v>1532</v>
      </c>
      <c r="Q67" s="7"/>
      <c r="R67" s="7" t="s">
        <v>755</v>
      </c>
      <c r="S67" s="7" t="s">
        <v>545</v>
      </c>
      <c r="T67" s="65">
        <v>2294.0</v>
      </c>
      <c r="U67" s="7"/>
      <c r="V67" s="7"/>
    </row>
    <row r="68">
      <c r="A68" s="45">
        <v>45862.02284722222</v>
      </c>
      <c r="B68" s="7" t="s">
        <v>369</v>
      </c>
      <c r="C68" s="7" t="s">
        <v>63</v>
      </c>
      <c r="D68" s="74">
        <v>1.0</v>
      </c>
      <c r="E68" s="46"/>
      <c r="F68" s="47">
        <v>37.25</v>
      </c>
      <c r="G68" s="47">
        <v>0.0</v>
      </c>
      <c r="H68" s="7"/>
      <c r="I68" s="47">
        <v>1.38</v>
      </c>
      <c r="J68" s="8"/>
      <c r="K68" s="7"/>
      <c r="L68" s="7"/>
      <c r="M68" s="7"/>
      <c r="N68" s="7"/>
      <c r="O68" s="7" t="s">
        <v>490</v>
      </c>
      <c r="P68" s="7" t="s">
        <v>845</v>
      </c>
      <c r="Q68" s="7"/>
      <c r="R68" s="7" t="s">
        <v>846</v>
      </c>
      <c r="S68" s="7" t="s">
        <v>493</v>
      </c>
      <c r="T68" s="65">
        <v>2292.0</v>
      </c>
      <c r="U68" s="7"/>
      <c r="V68" s="7"/>
    </row>
    <row r="69">
      <c r="A69" s="45">
        <v>45861.886724537035</v>
      </c>
      <c r="B69" s="7" t="s">
        <v>162</v>
      </c>
      <c r="C69" s="7" t="s">
        <v>63</v>
      </c>
      <c r="D69" s="74">
        <v>1.0</v>
      </c>
      <c r="E69" s="46"/>
      <c r="F69" s="47">
        <v>49.69</v>
      </c>
      <c r="G69" s="47">
        <v>0.0</v>
      </c>
      <c r="H69" s="7"/>
      <c r="I69" s="47">
        <v>2.49</v>
      </c>
      <c r="J69" s="8"/>
      <c r="K69" s="7"/>
      <c r="L69" s="7"/>
      <c r="M69" s="7"/>
      <c r="N69" s="7"/>
      <c r="O69" s="7" t="s">
        <v>490</v>
      </c>
      <c r="P69" s="7" t="s">
        <v>1533</v>
      </c>
      <c r="Q69" s="65">
        <v>4.0</v>
      </c>
      <c r="R69" s="7" t="s">
        <v>842</v>
      </c>
      <c r="S69" s="7" t="s">
        <v>525</v>
      </c>
      <c r="T69" s="65">
        <v>2287.0</v>
      </c>
      <c r="U69" s="7"/>
      <c r="V69" s="7"/>
    </row>
    <row r="70">
      <c r="A70" s="45">
        <v>45861.361921296295</v>
      </c>
      <c r="B70" s="7" t="s">
        <v>157</v>
      </c>
      <c r="C70" s="7" t="s">
        <v>63</v>
      </c>
      <c r="D70" s="74">
        <v>1.0</v>
      </c>
      <c r="E70" s="46"/>
      <c r="F70" s="47">
        <v>24.99</v>
      </c>
      <c r="G70" s="47">
        <v>0.0</v>
      </c>
      <c r="H70" s="7"/>
      <c r="I70" s="47">
        <v>1.4</v>
      </c>
      <c r="J70" s="8"/>
      <c r="K70" s="7"/>
      <c r="L70" s="7"/>
      <c r="M70" s="7"/>
      <c r="N70" s="7"/>
      <c r="O70" s="7" t="s">
        <v>490</v>
      </c>
      <c r="P70" s="7" t="s">
        <v>819</v>
      </c>
      <c r="Q70" s="7"/>
      <c r="R70" s="7" t="s">
        <v>820</v>
      </c>
      <c r="S70" s="7" t="s">
        <v>726</v>
      </c>
      <c r="T70" s="65">
        <v>2276.0</v>
      </c>
      <c r="U70" s="7"/>
      <c r="V70" s="7"/>
    </row>
    <row r="71">
      <c r="A71" s="45">
        <v>45861.1225462963</v>
      </c>
      <c r="B71" s="7" t="s">
        <v>1534</v>
      </c>
      <c r="C71" s="7" t="s">
        <v>63</v>
      </c>
      <c r="D71" s="74">
        <v>1.0</v>
      </c>
      <c r="E71" s="46"/>
      <c r="F71" s="47">
        <v>24.99</v>
      </c>
      <c r="G71" s="47">
        <v>0.0</v>
      </c>
      <c r="H71" s="7"/>
      <c r="I71" s="47">
        <v>1.02</v>
      </c>
      <c r="J71" s="8"/>
      <c r="K71" s="7"/>
      <c r="L71" s="7"/>
      <c r="M71" s="7"/>
      <c r="N71" s="7"/>
      <c r="O71" s="7" t="s">
        <v>490</v>
      </c>
      <c r="P71" s="7" t="s">
        <v>1535</v>
      </c>
      <c r="Q71" s="7"/>
      <c r="R71" s="7" t="s">
        <v>552</v>
      </c>
      <c r="S71" s="7" t="s">
        <v>493</v>
      </c>
      <c r="T71" s="65">
        <v>2275.0</v>
      </c>
      <c r="U71" s="7"/>
      <c r="V71" s="7"/>
    </row>
    <row r="72">
      <c r="A72" s="45">
        <v>45860.88570601852</v>
      </c>
      <c r="B72" s="7" t="s">
        <v>375</v>
      </c>
      <c r="C72" s="7" t="s">
        <v>63</v>
      </c>
      <c r="D72" s="74">
        <v>1.0</v>
      </c>
      <c r="E72" s="46"/>
      <c r="F72" s="47">
        <v>24.99</v>
      </c>
      <c r="G72" s="47">
        <v>0.0</v>
      </c>
      <c r="H72" s="7"/>
      <c r="I72" s="47">
        <v>1.02</v>
      </c>
      <c r="J72" s="8"/>
      <c r="K72" s="7"/>
      <c r="L72" s="7"/>
      <c r="M72" s="7"/>
      <c r="N72" s="7"/>
      <c r="O72" s="7" t="s">
        <v>490</v>
      </c>
      <c r="P72" s="65">
        <v>1215.0</v>
      </c>
      <c r="Q72" s="7" t="s">
        <v>1536</v>
      </c>
      <c r="R72" s="7" t="s">
        <v>794</v>
      </c>
      <c r="S72" s="7" t="s">
        <v>493</v>
      </c>
      <c r="T72" s="65">
        <v>2274.0</v>
      </c>
      <c r="U72" s="7"/>
      <c r="V72" s="7"/>
    </row>
    <row r="73">
      <c r="A73" s="45">
        <v>45860.783171296294</v>
      </c>
      <c r="B73" s="7" t="s">
        <v>1537</v>
      </c>
      <c r="C73" s="7" t="s">
        <v>63</v>
      </c>
      <c r="D73" s="74">
        <v>1.0</v>
      </c>
      <c r="E73" s="46"/>
      <c r="F73" s="47">
        <v>34.46</v>
      </c>
      <c r="G73" s="47">
        <v>0.0</v>
      </c>
      <c r="H73" s="7"/>
      <c r="I73" s="47">
        <v>1.3</v>
      </c>
      <c r="J73" s="8"/>
      <c r="K73" s="7"/>
      <c r="L73" s="7"/>
      <c r="M73" s="7"/>
      <c r="N73" s="7"/>
      <c r="O73" s="7" t="s">
        <v>490</v>
      </c>
      <c r="P73" s="7" t="s">
        <v>1538</v>
      </c>
      <c r="Q73" s="7"/>
      <c r="R73" s="7" t="s">
        <v>1539</v>
      </c>
      <c r="S73" s="7" t="s">
        <v>493</v>
      </c>
      <c r="T73" s="65">
        <v>2273.0</v>
      </c>
      <c r="U73" s="7"/>
      <c r="V73" s="7"/>
    </row>
    <row r="74">
      <c r="A74" s="45">
        <v>45860.73233796296</v>
      </c>
      <c r="B74" s="7" t="s">
        <v>274</v>
      </c>
      <c r="C74" s="7" t="s">
        <v>63</v>
      </c>
      <c r="D74" s="74">
        <v>1.0</v>
      </c>
      <c r="E74" s="46"/>
      <c r="F74" s="47">
        <v>34.46</v>
      </c>
      <c r="G74" s="47">
        <v>0.0</v>
      </c>
      <c r="H74" s="7"/>
      <c r="I74" s="47">
        <v>1.3</v>
      </c>
      <c r="J74" s="8"/>
      <c r="K74" s="7"/>
      <c r="L74" s="7"/>
      <c r="M74" s="7"/>
      <c r="N74" s="7"/>
      <c r="O74" s="7" t="s">
        <v>490</v>
      </c>
      <c r="P74" s="7" t="s">
        <v>1540</v>
      </c>
      <c r="Q74" s="7"/>
      <c r="R74" s="7" t="s">
        <v>1541</v>
      </c>
      <c r="S74" s="7" t="s">
        <v>493</v>
      </c>
      <c r="T74" s="65">
        <v>2270.0</v>
      </c>
      <c r="U74" s="7"/>
      <c r="V74" s="7"/>
    </row>
    <row r="75">
      <c r="A75" s="45">
        <v>45860.701365740744</v>
      </c>
      <c r="B75" s="7" t="s">
        <v>1542</v>
      </c>
      <c r="C75" s="7" t="s">
        <v>63</v>
      </c>
      <c r="D75" s="74">
        <v>1.0</v>
      </c>
      <c r="E75" s="46"/>
      <c r="F75" s="47">
        <v>24.99</v>
      </c>
      <c r="G75" s="47">
        <v>0.0</v>
      </c>
      <c r="H75" s="7"/>
      <c r="I75" s="47">
        <v>1.4</v>
      </c>
      <c r="J75" s="8"/>
      <c r="K75" s="7"/>
      <c r="L75" s="7"/>
      <c r="M75" s="7"/>
      <c r="N75" s="7"/>
      <c r="O75" s="7" t="s">
        <v>490</v>
      </c>
      <c r="P75" s="7" t="s">
        <v>1543</v>
      </c>
      <c r="Q75" s="7"/>
      <c r="R75" s="7" t="s">
        <v>1120</v>
      </c>
      <c r="S75" s="7" t="s">
        <v>617</v>
      </c>
      <c r="T75" s="65">
        <v>2269.0</v>
      </c>
      <c r="U75" s="7"/>
      <c r="V75" s="7"/>
    </row>
    <row r="76">
      <c r="A76" s="45">
        <v>45860.68040509259</v>
      </c>
      <c r="B76" s="7" t="s">
        <v>1156</v>
      </c>
      <c r="C76" s="7" t="s">
        <v>63</v>
      </c>
      <c r="D76" s="74">
        <v>1.0</v>
      </c>
      <c r="E76" s="46"/>
      <c r="F76" s="47">
        <v>24.99</v>
      </c>
      <c r="G76" s="47">
        <v>0.0</v>
      </c>
      <c r="H76" s="7"/>
      <c r="I76" s="47">
        <v>1.02</v>
      </c>
      <c r="J76" s="8"/>
      <c r="K76" s="7"/>
      <c r="L76" s="7"/>
      <c r="M76" s="7"/>
      <c r="N76" s="7"/>
      <c r="O76" s="7" t="s">
        <v>490</v>
      </c>
      <c r="P76" s="7" t="s">
        <v>1157</v>
      </c>
      <c r="Q76" s="7"/>
      <c r="R76" s="7" t="s">
        <v>1158</v>
      </c>
      <c r="S76" s="7" t="s">
        <v>493</v>
      </c>
      <c r="T76" s="65">
        <v>2268.0</v>
      </c>
      <c r="U76" s="7"/>
      <c r="V76" s="7"/>
    </row>
    <row r="77">
      <c r="A77" s="45">
        <v>45860.65789351852</v>
      </c>
      <c r="B77" s="7" t="s">
        <v>240</v>
      </c>
      <c r="C77" s="7" t="s">
        <v>63</v>
      </c>
      <c r="D77" s="74">
        <v>1.0</v>
      </c>
      <c r="E77" s="46"/>
      <c r="F77" s="47">
        <v>36.55</v>
      </c>
      <c r="G77" s="47">
        <v>0.0</v>
      </c>
      <c r="H77" s="7"/>
      <c r="I77" s="47">
        <v>1.36</v>
      </c>
      <c r="J77" s="8"/>
      <c r="K77" s="7"/>
      <c r="L77" s="7"/>
      <c r="M77" s="7"/>
      <c r="N77" s="7"/>
      <c r="O77" s="7" t="s">
        <v>490</v>
      </c>
      <c r="P77" s="7" t="s">
        <v>1544</v>
      </c>
      <c r="Q77" s="7"/>
      <c r="R77" s="7" t="s">
        <v>1545</v>
      </c>
      <c r="S77" s="7" t="s">
        <v>493</v>
      </c>
      <c r="T77" s="65">
        <v>2267.0</v>
      </c>
      <c r="U77" s="7"/>
      <c r="V77" s="7"/>
    </row>
    <row r="78">
      <c r="A78" s="45">
        <v>45860.65248842593</v>
      </c>
      <c r="B78" s="7" t="s">
        <v>1107</v>
      </c>
      <c r="C78" s="7" t="s">
        <v>63</v>
      </c>
      <c r="D78" s="74">
        <v>1.0</v>
      </c>
      <c r="E78" s="46"/>
      <c r="F78" s="47">
        <v>24.99</v>
      </c>
      <c r="G78" s="47">
        <v>0.0</v>
      </c>
      <c r="H78" s="7"/>
      <c r="I78" s="47">
        <v>1.02</v>
      </c>
      <c r="J78" s="8"/>
      <c r="K78" s="7"/>
      <c r="L78" s="7"/>
      <c r="M78" s="7"/>
      <c r="N78" s="7"/>
      <c r="O78" s="7" t="s">
        <v>490</v>
      </c>
      <c r="P78" s="7" t="s">
        <v>1108</v>
      </c>
      <c r="Q78" s="7"/>
      <c r="R78" s="7" t="s">
        <v>1109</v>
      </c>
      <c r="S78" s="7" t="s">
        <v>493</v>
      </c>
      <c r="T78" s="65">
        <v>2265.0</v>
      </c>
      <c r="U78" s="7"/>
      <c r="V78" s="7"/>
    </row>
    <row r="79">
      <c r="A79" s="45">
        <v>45860.59318287037</v>
      </c>
      <c r="B79" s="7" t="s">
        <v>1546</v>
      </c>
      <c r="C79" s="7" t="s">
        <v>63</v>
      </c>
      <c r="D79" s="74">
        <v>1.0</v>
      </c>
      <c r="E79" s="46"/>
      <c r="F79" s="47">
        <v>34.46</v>
      </c>
      <c r="G79" s="47">
        <v>0.0</v>
      </c>
      <c r="H79" s="7"/>
      <c r="I79" s="47">
        <v>1.3</v>
      </c>
      <c r="J79" s="8"/>
      <c r="K79" s="7"/>
      <c r="L79" s="7"/>
      <c r="M79" s="7"/>
      <c r="N79" s="7"/>
      <c r="O79" s="7" t="s">
        <v>490</v>
      </c>
      <c r="P79" s="7" t="s">
        <v>1547</v>
      </c>
      <c r="Q79" s="7"/>
      <c r="R79" s="7" t="s">
        <v>1548</v>
      </c>
      <c r="S79" s="7" t="s">
        <v>493</v>
      </c>
      <c r="T79" s="65">
        <v>2264.0</v>
      </c>
      <c r="U79" s="7"/>
      <c r="V79" s="7"/>
    </row>
    <row r="80">
      <c r="A80" s="45">
        <v>45860.105775462966</v>
      </c>
      <c r="B80" s="7" t="s">
        <v>1057</v>
      </c>
      <c r="C80" s="7" t="s">
        <v>63</v>
      </c>
      <c r="D80" s="74">
        <v>1.0</v>
      </c>
      <c r="E80" s="46"/>
      <c r="F80" s="47">
        <v>24.99</v>
      </c>
      <c r="G80" s="47">
        <v>0.0</v>
      </c>
      <c r="H80" s="7"/>
      <c r="I80" s="47">
        <v>1.4</v>
      </c>
      <c r="J80" s="8"/>
      <c r="K80" s="7"/>
      <c r="L80" s="7"/>
      <c r="M80" s="7"/>
      <c r="N80" s="7"/>
      <c r="O80" s="7" t="s">
        <v>490</v>
      </c>
      <c r="P80" s="7" t="s">
        <v>1058</v>
      </c>
      <c r="Q80" s="7"/>
      <c r="R80" s="7" t="s">
        <v>1059</v>
      </c>
      <c r="S80" s="7" t="s">
        <v>545</v>
      </c>
      <c r="T80" s="65">
        <v>2259.0</v>
      </c>
      <c r="U80" s="7"/>
      <c r="V80" s="7"/>
    </row>
    <row r="81">
      <c r="A81" s="45">
        <v>45860.06888888889</v>
      </c>
      <c r="B81" s="7" t="s">
        <v>759</v>
      </c>
      <c r="C81" s="7" t="s">
        <v>63</v>
      </c>
      <c r="D81" s="74">
        <v>1.0</v>
      </c>
      <c r="E81" s="46"/>
      <c r="F81" s="47">
        <v>24.99</v>
      </c>
      <c r="G81" s="47">
        <v>0.0</v>
      </c>
      <c r="H81" s="7"/>
      <c r="I81" s="47">
        <v>1.02</v>
      </c>
      <c r="J81" s="8"/>
      <c r="K81" s="7"/>
      <c r="L81" s="7"/>
      <c r="M81" s="7"/>
      <c r="N81" s="7"/>
      <c r="O81" s="7" t="s">
        <v>490</v>
      </c>
      <c r="P81" s="7" t="s">
        <v>760</v>
      </c>
      <c r="Q81" s="7" t="s">
        <v>761</v>
      </c>
      <c r="R81" s="7" t="s">
        <v>762</v>
      </c>
      <c r="S81" s="7" t="s">
        <v>493</v>
      </c>
      <c r="T81" s="65">
        <v>2258.0</v>
      </c>
      <c r="U81" s="7"/>
      <c r="V81" s="7"/>
    </row>
    <row r="82">
      <c r="A82" s="45">
        <v>45860.04295138889</v>
      </c>
      <c r="B82" s="7" t="s">
        <v>457</v>
      </c>
      <c r="C82" s="7" t="s">
        <v>63</v>
      </c>
      <c r="D82" s="74">
        <v>1.0</v>
      </c>
      <c r="E82" s="46"/>
      <c r="F82" s="47">
        <v>37.25</v>
      </c>
      <c r="G82" s="47">
        <v>0.0</v>
      </c>
      <c r="H82" s="7"/>
      <c r="I82" s="47">
        <v>1.38</v>
      </c>
      <c r="J82" s="8"/>
      <c r="K82" s="7"/>
      <c r="L82" s="7"/>
      <c r="M82" s="7"/>
      <c r="N82" s="7"/>
      <c r="O82" s="7" t="s">
        <v>490</v>
      </c>
      <c r="P82" s="7" t="s">
        <v>1333</v>
      </c>
      <c r="Q82" s="7"/>
      <c r="R82" s="7" t="s">
        <v>1334</v>
      </c>
      <c r="S82" s="7" t="s">
        <v>493</v>
      </c>
      <c r="T82" s="65">
        <v>2256.0</v>
      </c>
      <c r="U82" s="7"/>
      <c r="V82" s="7"/>
    </row>
    <row r="83">
      <c r="A83" s="45">
        <v>45859.90074074074</v>
      </c>
      <c r="B83" s="7" t="s">
        <v>1216</v>
      </c>
      <c r="C83" s="7" t="s">
        <v>63</v>
      </c>
      <c r="D83" s="74">
        <v>1.0</v>
      </c>
      <c r="E83" s="46"/>
      <c r="F83" s="47">
        <v>38.23</v>
      </c>
      <c r="G83" s="47">
        <v>0.0</v>
      </c>
      <c r="H83" s="7"/>
      <c r="I83" s="47">
        <v>1.41</v>
      </c>
      <c r="J83" s="8"/>
      <c r="K83" s="7"/>
      <c r="L83" s="7"/>
      <c r="M83" s="7"/>
      <c r="N83" s="7"/>
      <c r="O83" s="7" t="s">
        <v>490</v>
      </c>
      <c r="P83" s="7" t="s">
        <v>1217</v>
      </c>
      <c r="Q83" s="7"/>
      <c r="R83" s="7" t="s">
        <v>1218</v>
      </c>
      <c r="S83" s="7" t="s">
        <v>493</v>
      </c>
      <c r="T83" s="65">
        <v>2255.0</v>
      </c>
      <c r="U83" s="7"/>
      <c r="V83" s="7"/>
    </row>
    <row r="84">
      <c r="A84" s="45">
        <v>45859.88128472222</v>
      </c>
      <c r="B84" s="7" t="s">
        <v>589</v>
      </c>
      <c r="C84" s="7" t="s">
        <v>63</v>
      </c>
      <c r="D84" s="74">
        <v>1.0</v>
      </c>
      <c r="E84" s="46"/>
      <c r="F84" s="47">
        <v>24.99</v>
      </c>
      <c r="G84" s="47">
        <v>0.0</v>
      </c>
      <c r="H84" s="7"/>
      <c r="I84" s="47">
        <v>1.02</v>
      </c>
      <c r="J84" s="8"/>
      <c r="K84" s="7"/>
      <c r="L84" s="7"/>
      <c r="M84" s="7"/>
      <c r="N84" s="7"/>
      <c r="O84" s="7" t="s">
        <v>490</v>
      </c>
      <c r="P84" s="7" t="s">
        <v>590</v>
      </c>
      <c r="Q84" s="7"/>
      <c r="R84" s="7" t="s">
        <v>591</v>
      </c>
      <c r="S84" s="7" t="s">
        <v>493</v>
      </c>
      <c r="T84" s="65">
        <v>2253.0</v>
      </c>
      <c r="U84" s="7"/>
      <c r="V84" s="7"/>
    </row>
    <row r="85">
      <c r="A85" s="45">
        <v>45859.87774305556</v>
      </c>
      <c r="B85" s="7" t="s">
        <v>1549</v>
      </c>
      <c r="C85" s="7" t="s">
        <v>63</v>
      </c>
      <c r="D85" s="74">
        <v>1.0</v>
      </c>
      <c r="E85" s="46"/>
      <c r="F85" s="47">
        <v>49.83</v>
      </c>
      <c r="G85" s="47">
        <v>0.0</v>
      </c>
      <c r="H85" s="7"/>
      <c r="I85" s="47">
        <v>2.49</v>
      </c>
      <c r="J85" s="8"/>
      <c r="K85" s="7"/>
      <c r="L85" s="7"/>
      <c r="M85" s="7"/>
      <c r="N85" s="7"/>
      <c r="O85" s="7" t="s">
        <v>490</v>
      </c>
      <c r="P85" s="7" t="s">
        <v>1550</v>
      </c>
      <c r="Q85" s="7"/>
      <c r="R85" s="7" t="s">
        <v>1551</v>
      </c>
      <c r="S85" s="7" t="s">
        <v>939</v>
      </c>
      <c r="T85" s="65">
        <v>2254.0</v>
      </c>
      <c r="U85" s="7"/>
      <c r="V85" s="7"/>
    </row>
    <row r="86">
      <c r="A86" s="45">
        <v>45859.65358796297</v>
      </c>
      <c r="B86" s="7" t="s">
        <v>667</v>
      </c>
      <c r="C86" s="7" t="s">
        <v>63</v>
      </c>
      <c r="D86" s="74">
        <v>1.0</v>
      </c>
      <c r="E86" s="46"/>
      <c r="F86" s="47">
        <v>24.99</v>
      </c>
      <c r="G86" s="47">
        <v>0.0</v>
      </c>
      <c r="H86" s="7"/>
      <c r="I86" s="47">
        <v>1.02</v>
      </c>
      <c r="J86" s="8"/>
      <c r="K86" s="7"/>
      <c r="L86" s="7"/>
      <c r="M86" s="7"/>
      <c r="N86" s="7"/>
      <c r="O86" s="7" t="s">
        <v>490</v>
      </c>
      <c r="P86" s="7" t="s">
        <v>1552</v>
      </c>
      <c r="Q86" s="7"/>
      <c r="R86" s="7" t="s">
        <v>669</v>
      </c>
      <c r="S86" s="7" t="s">
        <v>493</v>
      </c>
      <c r="T86" s="65">
        <v>2251.0</v>
      </c>
      <c r="U86" s="7"/>
      <c r="V86" s="7"/>
    </row>
    <row r="87">
      <c r="A87" s="45">
        <v>45859.59863425926</v>
      </c>
      <c r="B87" s="7" t="s">
        <v>423</v>
      </c>
      <c r="C87" s="7" t="s">
        <v>63</v>
      </c>
      <c r="D87" s="74">
        <v>1.0</v>
      </c>
      <c r="E87" s="46"/>
      <c r="F87" s="47">
        <v>24.99</v>
      </c>
      <c r="G87" s="47">
        <v>0.0</v>
      </c>
      <c r="H87" s="7"/>
      <c r="I87" s="47">
        <v>1.4</v>
      </c>
      <c r="J87" s="8"/>
      <c r="K87" s="7"/>
      <c r="L87" s="7"/>
      <c r="M87" s="7"/>
      <c r="N87" s="7"/>
      <c r="O87" s="7" t="s">
        <v>490</v>
      </c>
      <c r="P87" s="7" t="s">
        <v>1445</v>
      </c>
      <c r="Q87" s="7"/>
      <c r="R87" s="7" t="s">
        <v>541</v>
      </c>
      <c r="S87" s="7" t="s">
        <v>542</v>
      </c>
      <c r="T87" s="65">
        <v>2250.0</v>
      </c>
      <c r="U87" s="7"/>
      <c r="V87" s="7"/>
    </row>
    <row r="88">
      <c r="A88" s="45">
        <v>45859.47709490741</v>
      </c>
      <c r="B88" s="7" t="s">
        <v>111</v>
      </c>
      <c r="C88" s="7" t="s">
        <v>63</v>
      </c>
      <c r="D88" s="74">
        <v>1.0</v>
      </c>
      <c r="E88" s="46"/>
      <c r="F88" s="47">
        <v>27.68</v>
      </c>
      <c r="G88" s="47">
        <v>0.0</v>
      </c>
      <c r="H88" s="7"/>
      <c r="I88" s="47">
        <v>1.1</v>
      </c>
      <c r="J88" s="8"/>
      <c r="K88" s="7"/>
      <c r="L88" s="7"/>
      <c r="M88" s="7"/>
      <c r="N88" s="7"/>
      <c r="O88" s="7" t="s">
        <v>490</v>
      </c>
      <c r="P88" s="7" t="s">
        <v>1553</v>
      </c>
      <c r="Q88" s="7"/>
      <c r="R88" s="7" t="s">
        <v>1554</v>
      </c>
      <c r="S88" s="7" t="s">
        <v>493</v>
      </c>
      <c r="T88" s="65">
        <v>2249.0</v>
      </c>
      <c r="U88" s="7"/>
      <c r="V88" s="7"/>
    </row>
    <row r="89">
      <c r="A89" s="45">
        <v>45859.323333333334</v>
      </c>
      <c r="B89" s="7" t="s">
        <v>406</v>
      </c>
      <c r="C89" s="7" t="s">
        <v>63</v>
      </c>
      <c r="D89" s="74">
        <v>1.0</v>
      </c>
      <c r="E89" s="46"/>
      <c r="F89" s="47">
        <v>24.99</v>
      </c>
      <c r="G89" s="47">
        <v>0.0</v>
      </c>
      <c r="H89" s="7"/>
      <c r="I89" s="47">
        <v>1.4</v>
      </c>
      <c r="J89" s="8"/>
      <c r="K89" s="7"/>
      <c r="L89" s="7"/>
      <c r="M89" s="7"/>
      <c r="N89" s="7"/>
      <c r="O89" s="7" t="s">
        <v>490</v>
      </c>
      <c r="P89" s="7" t="s">
        <v>1555</v>
      </c>
      <c r="Q89" s="7"/>
      <c r="R89" s="7" t="s">
        <v>1556</v>
      </c>
      <c r="S89" s="7" t="s">
        <v>545</v>
      </c>
      <c r="T89" s="65">
        <v>2248.0</v>
      </c>
      <c r="U89" s="7"/>
      <c r="V89" s="7"/>
    </row>
    <row r="90">
      <c r="A90" s="45">
        <v>45858.92630787037</v>
      </c>
      <c r="B90" s="7" t="s">
        <v>883</v>
      </c>
      <c r="C90" s="7" t="s">
        <v>63</v>
      </c>
      <c r="D90" s="74">
        <v>1.0</v>
      </c>
      <c r="E90" s="46"/>
      <c r="F90" s="47">
        <v>24.99</v>
      </c>
      <c r="G90" s="47">
        <v>0.0</v>
      </c>
      <c r="H90" s="7"/>
      <c r="I90" s="47">
        <v>1.4</v>
      </c>
      <c r="J90" s="8"/>
      <c r="K90" s="7"/>
      <c r="L90" s="7"/>
      <c r="M90" s="7"/>
      <c r="N90" s="7"/>
      <c r="O90" s="7" t="s">
        <v>490</v>
      </c>
      <c r="P90" s="7" t="s">
        <v>884</v>
      </c>
      <c r="Q90" s="7" t="s">
        <v>1557</v>
      </c>
      <c r="R90" s="7" t="s">
        <v>886</v>
      </c>
      <c r="S90" s="7" t="s">
        <v>521</v>
      </c>
      <c r="T90" s="65">
        <v>2245.0</v>
      </c>
      <c r="U90" s="7"/>
      <c r="V90" s="7"/>
    </row>
    <row r="91">
      <c r="A91" s="45">
        <v>45858.72678240741</v>
      </c>
      <c r="B91" s="7" t="s">
        <v>61</v>
      </c>
      <c r="C91" s="7" t="s">
        <v>63</v>
      </c>
      <c r="D91" s="74">
        <v>1.0</v>
      </c>
      <c r="E91" s="46"/>
      <c r="F91" s="47">
        <v>24.99</v>
      </c>
      <c r="G91" s="47">
        <v>0.0</v>
      </c>
      <c r="H91" s="7"/>
      <c r="I91" s="47">
        <v>1.02</v>
      </c>
      <c r="J91" s="8"/>
      <c r="K91" s="7"/>
      <c r="L91" s="7"/>
      <c r="M91" s="7"/>
      <c r="N91" s="7"/>
      <c r="O91" s="7" t="s">
        <v>490</v>
      </c>
      <c r="P91" s="7" t="s">
        <v>1228</v>
      </c>
      <c r="Q91" s="7"/>
      <c r="R91" s="7" t="s">
        <v>1229</v>
      </c>
      <c r="S91" s="7" t="s">
        <v>493</v>
      </c>
      <c r="T91" s="65">
        <v>2243.0</v>
      </c>
      <c r="U91" s="7"/>
      <c r="V91" s="7"/>
    </row>
    <row r="92">
      <c r="A92" s="45">
        <v>45858.662766203706</v>
      </c>
      <c r="B92" s="7" t="s">
        <v>1558</v>
      </c>
      <c r="C92" s="7" t="s">
        <v>63</v>
      </c>
      <c r="D92" s="74">
        <v>1.0</v>
      </c>
      <c r="E92" s="46"/>
      <c r="F92" s="47">
        <v>34.46</v>
      </c>
      <c r="G92" s="47">
        <v>0.0</v>
      </c>
      <c r="H92" s="7"/>
      <c r="I92" s="47">
        <v>1.3</v>
      </c>
      <c r="J92" s="8"/>
      <c r="K92" s="7"/>
      <c r="L92" s="7"/>
      <c r="M92" s="7"/>
      <c r="N92" s="7"/>
      <c r="O92" s="7" t="s">
        <v>490</v>
      </c>
      <c r="P92" s="7" t="s">
        <v>1559</v>
      </c>
      <c r="Q92" s="7" t="s">
        <v>1560</v>
      </c>
      <c r="R92" s="7" t="s">
        <v>1561</v>
      </c>
      <c r="S92" s="7" t="s">
        <v>493</v>
      </c>
      <c r="T92" s="65">
        <v>2241.0</v>
      </c>
      <c r="U92" s="7"/>
      <c r="V92" s="7"/>
    </row>
    <row r="93">
      <c r="A93" s="45">
        <v>45858.61791666667</v>
      </c>
      <c r="B93" s="7" t="s">
        <v>47</v>
      </c>
      <c r="C93" s="7" t="s">
        <v>63</v>
      </c>
      <c r="D93" s="74">
        <v>1.0</v>
      </c>
      <c r="E93" s="46"/>
      <c r="F93" s="47">
        <v>24.99</v>
      </c>
      <c r="G93" s="47">
        <v>0.0</v>
      </c>
      <c r="H93" s="7"/>
      <c r="I93" s="47">
        <v>16.4</v>
      </c>
      <c r="J93" s="47">
        <v>24.99</v>
      </c>
      <c r="K93" s="45">
        <v>45974.96776620371</v>
      </c>
      <c r="L93" s="45">
        <v>45990.99998842592</v>
      </c>
      <c r="M93" s="7" t="s">
        <v>52</v>
      </c>
      <c r="N93" s="7" t="s">
        <v>53</v>
      </c>
      <c r="O93" s="7" t="s">
        <v>490</v>
      </c>
      <c r="P93" s="7" t="s">
        <v>55</v>
      </c>
      <c r="Q93" s="65">
        <v>9.0</v>
      </c>
      <c r="R93" s="7" t="s">
        <v>49</v>
      </c>
      <c r="S93" s="7" t="s">
        <v>51</v>
      </c>
      <c r="T93" s="65">
        <v>2240.0</v>
      </c>
      <c r="U93" s="7"/>
      <c r="V93" s="7"/>
    </row>
    <row r="94">
      <c r="A94" s="45">
        <v>45858.11072916666</v>
      </c>
      <c r="B94" s="7" t="s">
        <v>893</v>
      </c>
      <c r="C94" s="7" t="s">
        <v>63</v>
      </c>
      <c r="D94" s="74">
        <v>1.0</v>
      </c>
      <c r="E94" s="46"/>
      <c r="F94" s="47">
        <v>24.99</v>
      </c>
      <c r="G94" s="47">
        <v>0.0</v>
      </c>
      <c r="H94" s="7"/>
      <c r="I94" s="47">
        <v>1.02</v>
      </c>
      <c r="J94" s="8"/>
      <c r="K94" s="7"/>
      <c r="L94" s="7"/>
      <c r="M94" s="7"/>
      <c r="N94" s="7"/>
      <c r="O94" s="7" t="s">
        <v>490</v>
      </c>
      <c r="P94" s="7" t="s">
        <v>894</v>
      </c>
      <c r="Q94" s="7"/>
      <c r="R94" s="7" t="s">
        <v>895</v>
      </c>
      <c r="S94" s="7" t="s">
        <v>493</v>
      </c>
      <c r="T94" s="65">
        <v>2236.0</v>
      </c>
      <c r="U94" s="7"/>
      <c r="V94" s="7"/>
    </row>
    <row r="95">
      <c r="A95" s="45">
        <v>45858.02850694444</v>
      </c>
      <c r="B95" s="7" t="s">
        <v>233</v>
      </c>
      <c r="C95" s="7" t="s">
        <v>63</v>
      </c>
      <c r="D95" s="74">
        <v>1.0</v>
      </c>
      <c r="E95" s="46"/>
      <c r="F95" s="47">
        <v>24.99</v>
      </c>
      <c r="G95" s="47">
        <v>0.0</v>
      </c>
      <c r="H95" s="7"/>
      <c r="I95" s="47">
        <v>1.02</v>
      </c>
      <c r="J95" s="8"/>
      <c r="K95" s="7"/>
      <c r="L95" s="7"/>
      <c r="M95" s="7"/>
      <c r="N95" s="7"/>
      <c r="O95" s="7" t="s">
        <v>490</v>
      </c>
      <c r="P95" s="7" t="s">
        <v>795</v>
      </c>
      <c r="Q95" s="7"/>
      <c r="R95" s="7" t="s">
        <v>796</v>
      </c>
      <c r="S95" s="7" t="s">
        <v>493</v>
      </c>
      <c r="T95" s="65">
        <v>2235.0</v>
      </c>
      <c r="U95" s="7"/>
      <c r="V95" s="7"/>
    </row>
    <row r="96">
      <c r="A96" s="45">
        <v>45857.94199074074</v>
      </c>
      <c r="B96" s="7" t="s">
        <v>189</v>
      </c>
      <c r="C96" s="7" t="s">
        <v>63</v>
      </c>
      <c r="D96" s="74">
        <v>1.0</v>
      </c>
      <c r="E96" s="46"/>
      <c r="F96" s="47">
        <v>26.49</v>
      </c>
      <c r="G96" s="47">
        <v>0.0</v>
      </c>
      <c r="H96" s="7"/>
      <c r="I96" s="47">
        <v>1.07</v>
      </c>
      <c r="J96" s="8"/>
      <c r="K96" s="7"/>
      <c r="L96" s="7"/>
      <c r="M96" s="7"/>
      <c r="N96" s="7"/>
      <c r="O96" s="7" t="s">
        <v>490</v>
      </c>
      <c r="P96" s="7" t="s">
        <v>491</v>
      </c>
      <c r="Q96" s="7"/>
      <c r="R96" s="7" t="s">
        <v>492</v>
      </c>
      <c r="S96" s="7" t="s">
        <v>493</v>
      </c>
      <c r="T96" s="65">
        <v>2234.0</v>
      </c>
      <c r="U96" s="7"/>
      <c r="V96" s="7"/>
    </row>
    <row r="97">
      <c r="A97" s="45">
        <v>45857.90263888889</v>
      </c>
      <c r="B97" s="7" t="s">
        <v>1562</v>
      </c>
      <c r="C97" s="7" t="s">
        <v>63</v>
      </c>
      <c r="D97" s="74">
        <v>1.0</v>
      </c>
      <c r="E97" s="46"/>
      <c r="F97" s="47">
        <v>34.46</v>
      </c>
      <c r="G97" s="47">
        <v>0.0</v>
      </c>
      <c r="H97" s="7"/>
      <c r="I97" s="47">
        <v>1.3</v>
      </c>
      <c r="J97" s="8"/>
      <c r="K97" s="7"/>
      <c r="L97" s="7"/>
      <c r="M97" s="7"/>
      <c r="N97" s="7"/>
      <c r="O97" s="7" t="s">
        <v>490</v>
      </c>
      <c r="P97" s="7" t="s">
        <v>1563</v>
      </c>
      <c r="Q97" s="7"/>
      <c r="R97" s="7" t="s">
        <v>1564</v>
      </c>
      <c r="S97" s="7" t="s">
        <v>493</v>
      </c>
      <c r="T97" s="65">
        <v>2233.0</v>
      </c>
      <c r="U97" s="7"/>
      <c r="V97" s="7"/>
    </row>
    <row r="98">
      <c r="A98" s="45">
        <v>45857.87180555556</v>
      </c>
      <c r="B98" s="7" t="s">
        <v>1565</v>
      </c>
      <c r="C98" s="7" t="s">
        <v>63</v>
      </c>
      <c r="D98" s="74">
        <v>1.0</v>
      </c>
      <c r="E98" s="46"/>
      <c r="F98" s="47">
        <v>59.59</v>
      </c>
      <c r="G98" s="47">
        <v>0.0</v>
      </c>
      <c r="H98" s="7"/>
      <c r="I98" s="47">
        <v>2.92</v>
      </c>
      <c r="J98" s="8"/>
      <c r="K98" s="7"/>
      <c r="L98" s="7"/>
      <c r="M98" s="7"/>
      <c r="N98" s="7"/>
      <c r="O98" s="7" t="s">
        <v>490</v>
      </c>
      <c r="P98" s="7" t="s">
        <v>1566</v>
      </c>
      <c r="Q98" s="7" t="s">
        <v>1567</v>
      </c>
      <c r="R98" s="7" t="s">
        <v>1568</v>
      </c>
      <c r="S98" s="7" t="s">
        <v>555</v>
      </c>
      <c r="T98" s="65">
        <v>2232.0</v>
      </c>
      <c r="U98" s="7"/>
      <c r="V98" s="7"/>
    </row>
    <row r="99">
      <c r="A99" s="45">
        <v>45857.87001157407</v>
      </c>
      <c r="B99" s="7" t="s">
        <v>270</v>
      </c>
      <c r="C99" s="7" t="s">
        <v>63</v>
      </c>
      <c r="D99" s="74">
        <v>1.0</v>
      </c>
      <c r="E99" s="46"/>
      <c r="F99" s="47">
        <v>36.9</v>
      </c>
      <c r="G99" s="47">
        <v>0.0</v>
      </c>
      <c r="H99" s="7"/>
      <c r="I99" s="47">
        <v>1.37</v>
      </c>
      <c r="J99" s="8"/>
      <c r="K99" s="7"/>
      <c r="L99" s="7"/>
      <c r="M99" s="7"/>
      <c r="N99" s="7"/>
      <c r="O99" s="7" t="s">
        <v>490</v>
      </c>
      <c r="P99" s="7" t="s">
        <v>1569</v>
      </c>
      <c r="Q99" s="7"/>
      <c r="R99" s="7" t="s">
        <v>1570</v>
      </c>
      <c r="S99" s="7" t="s">
        <v>493</v>
      </c>
      <c r="T99" s="65">
        <v>2231.0</v>
      </c>
      <c r="U99" s="7"/>
      <c r="V99" s="7"/>
    </row>
    <row r="100">
      <c r="A100" s="45">
        <v>45857.854791666665</v>
      </c>
      <c r="B100" s="7" t="s">
        <v>1571</v>
      </c>
      <c r="C100" s="7" t="s">
        <v>63</v>
      </c>
      <c r="D100" s="74">
        <v>1.0</v>
      </c>
      <c r="E100" s="46"/>
      <c r="F100" s="47">
        <v>24.99</v>
      </c>
      <c r="G100" s="47">
        <v>0.0</v>
      </c>
      <c r="H100" s="7"/>
      <c r="I100" s="47">
        <v>1.4</v>
      </c>
      <c r="J100" s="8"/>
      <c r="K100" s="7"/>
      <c r="L100" s="7"/>
      <c r="M100" s="7"/>
      <c r="N100" s="7"/>
      <c r="O100" s="7" t="s">
        <v>490</v>
      </c>
      <c r="P100" s="7" t="s">
        <v>1572</v>
      </c>
      <c r="Q100" s="7"/>
      <c r="R100" s="7" t="s">
        <v>1573</v>
      </c>
      <c r="S100" s="7" t="s">
        <v>521</v>
      </c>
      <c r="T100" s="65">
        <v>2230.0</v>
      </c>
      <c r="U100" s="7"/>
      <c r="V100" s="7"/>
    </row>
    <row r="101">
      <c r="A101" s="45">
        <v>45857.821493055555</v>
      </c>
      <c r="B101" s="7" t="s">
        <v>876</v>
      </c>
      <c r="C101" s="7" t="s">
        <v>63</v>
      </c>
      <c r="D101" s="74">
        <v>1.0</v>
      </c>
      <c r="E101" s="46"/>
      <c r="F101" s="47">
        <v>24.99</v>
      </c>
      <c r="G101" s="47">
        <v>0.0</v>
      </c>
      <c r="H101" s="7"/>
      <c r="I101" s="47">
        <v>1.4</v>
      </c>
      <c r="J101" s="8"/>
      <c r="K101" s="7"/>
      <c r="L101" s="7"/>
      <c r="M101" s="7"/>
      <c r="N101" s="7"/>
      <c r="O101" s="7" t="s">
        <v>490</v>
      </c>
      <c r="P101" s="7" t="s">
        <v>877</v>
      </c>
      <c r="Q101" s="7"/>
      <c r="R101" s="7" t="s">
        <v>878</v>
      </c>
      <c r="S101" s="7" t="s">
        <v>525</v>
      </c>
      <c r="T101" s="65">
        <v>2227.0</v>
      </c>
      <c r="U101" s="7"/>
      <c r="V101" s="7"/>
    </row>
    <row r="102">
      <c r="A102" s="45">
        <v>45857.808391203704</v>
      </c>
      <c r="B102" s="7" t="s">
        <v>1574</v>
      </c>
      <c r="C102" s="7" t="s">
        <v>63</v>
      </c>
      <c r="D102" s="74">
        <v>1.0</v>
      </c>
      <c r="E102" s="46"/>
      <c r="F102" s="47">
        <v>34.46</v>
      </c>
      <c r="G102" s="47">
        <v>0.0</v>
      </c>
      <c r="H102" s="7"/>
      <c r="I102" s="47">
        <v>1.3</v>
      </c>
      <c r="J102" s="8"/>
      <c r="K102" s="7"/>
      <c r="L102" s="7"/>
      <c r="M102" s="7"/>
      <c r="N102" s="7"/>
      <c r="O102" s="7" t="s">
        <v>490</v>
      </c>
      <c r="P102" s="7" t="s">
        <v>1575</v>
      </c>
      <c r="Q102" s="7"/>
      <c r="R102" s="7" t="s">
        <v>1576</v>
      </c>
      <c r="S102" s="7" t="s">
        <v>493</v>
      </c>
      <c r="T102" s="65">
        <v>2226.0</v>
      </c>
      <c r="U102" s="7"/>
      <c r="V102" s="7"/>
    </row>
    <row r="103">
      <c r="A103" s="45">
        <v>45857.782800925925</v>
      </c>
      <c r="B103" s="7" t="s">
        <v>140</v>
      </c>
      <c r="C103" s="7" t="s">
        <v>63</v>
      </c>
      <c r="D103" s="74">
        <v>1.0</v>
      </c>
      <c r="E103" s="46"/>
      <c r="F103" s="47">
        <v>24.99</v>
      </c>
      <c r="G103" s="47">
        <v>0.0</v>
      </c>
      <c r="H103" s="7"/>
      <c r="I103" s="47">
        <v>1.02</v>
      </c>
      <c r="J103" s="8"/>
      <c r="K103" s="7"/>
      <c r="L103" s="7"/>
      <c r="M103" s="7"/>
      <c r="N103" s="7"/>
      <c r="O103" s="7" t="s">
        <v>490</v>
      </c>
      <c r="P103" s="7" t="s">
        <v>1006</v>
      </c>
      <c r="Q103" s="7"/>
      <c r="R103" s="7" t="s">
        <v>1007</v>
      </c>
      <c r="S103" s="7" t="s">
        <v>493</v>
      </c>
      <c r="T103" s="65">
        <v>2222.0</v>
      </c>
      <c r="U103" s="7"/>
      <c r="V103" s="7"/>
    </row>
    <row r="104">
      <c r="A104" s="45">
        <v>45857.77636574074</v>
      </c>
      <c r="B104" s="7" t="s">
        <v>921</v>
      </c>
      <c r="C104" s="7" t="s">
        <v>63</v>
      </c>
      <c r="D104" s="74">
        <v>1.0</v>
      </c>
      <c r="E104" s="46"/>
      <c r="F104" s="47">
        <v>24.99</v>
      </c>
      <c r="G104" s="47">
        <v>0.0</v>
      </c>
      <c r="H104" s="7"/>
      <c r="I104" s="47">
        <v>1.02</v>
      </c>
      <c r="J104" s="8"/>
      <c r="K104" s="7"/>
      <c r="L104" s="7"/>
      <c r="M104" s="7"/>
      <c r="N104" s="7"/>
      <c r="O104" s="7" t="s">
        <v>490</v>
      </c>
      <c r="P104" s="7" t="s">
        <v>922</v>
      </c>
      <c r="Q104" s="7"/>
      <c r="R104" s="7" t="s">
        <v>923</v>
      </c>
      <c r="S104" s="7" t="s">
        <v>493</v>
      </c>
      <c r="T104" s="65">
        <v>2221.0</v>
      </c>
      <c r="U104" s="7"/>
      <c r="V104" s="7"/>
    </row>
    <row r="105">
      <c r="A105" s="45">
        <v>45857.76596064815</v>
      </c>
      <c r="B105" s="7" t="s">
        <v>974</v>
      </c>
      <c r="C105" s="7" t="s">
        <v>63</v>
      </c>
      <c r="D105" s="74">
        <v>1.0</v>
      </c>
      <c r="E105" s="46"/>
      <c r="F105" s="47">
        <v>24.99</v>
      </c>
      <c r="G105" s="47">
        <v>0.0</v>
      </c>
      <c r="H105" s="7"/>
      <c r="I105" s="47">
        <v>1.02</v>
      </c>
      <c r="J105" s="8"/>
      <c r="K105" s="7"/>
      <c r="L105" s="7"/>
      <c r="M105" s="7"/>
      <c r="N105" s="7"/>
      <c r="O105" s="7" t="s">
        <v>490</v>
      </c>
      <c r="P105" s="7" t="s">
        <v>975</v>
      </c>
      <c r="Q105" s="7"/>
      <c r="R105" s="7" t="s">
        <v>976</v>
      </c>
      <c r="S105" s="7" t="s">
        <v>493</v>
      </c>
      <c r="T105" s="65">
        <v>2217.0</v>
      </c>
      <c r="U105" s="7"/>
      <c r="V105" s="7"/>
    </row>
    <row r="106">
      <c r="A106" s="45">
        <v>45857.743101851855</v>
      </c>
      <c r="B106" s="7" t="s">
        <v>914</v>
      </c>
      <c r="C106" s="7" t="s">
        <v>63</v>
      </c>
      <c r="D106" s="74">
        <v>1.0</v>
      </c>
      <c r="E106" s="46"/>
      <c r="F106" s="47">
        <v>36.65</v>
      </c>
      <c r="G106" s="47">
        <v>0.0</v>
      </c>
      <c r="H106" s="7"/>
      <c r="I106" s="47">
        <v>1.36</v>
      </c>
      <c r="J106" s="8"/>
      <c r="K106" s="7"/>
      <c r="L106" s="7"/>
      <c r="M106" s="7"/>
      <c r="N106" s="7"/>
      <c r="O106" s="7" t="s">
        <v>490</v>
      </c>
      <c r="P106" s="7" t="s">
        <v>915</v>
      </c>
      <c r="Q106" s="7"/>
      <c r="R106" s="7" t="s">
        <v>916</v>
      </c>
      <c r="S106" s="7" t="s">
        <v>493</v>
      </c>
      <c r="T106" s="65">
        <v>2211.0</v>
      </c>
      <c r="U106" s="7"/>
      <c r="V106" s="7"/>
    </row>
    <row r="107">
      <c r="A107" s="45">
        <v>45857.70751157407</v>
      </c>
      <c r="B107" s="7" t="s">
        <v>1577</v>
      </c>
      <c r="C107" s="7" t="s">
        <v>63</v>
      </c>
      <c r="D107" s="74">
        <v>1.0</v>
      </c>
      <c r="E107" s="46"/>
      <c r="F107" s="47">
        <v>34.46</v>
      </c>
      <c r="G107" s="47">
        <v>0.0</v>
      </c>
      <c r="H107" s="7"/>
      <c r="I107" s="47">
        <v>1.3</v>
      </c>
      <c r="J107" s="8"/>
      <c r="K107" s="7"/>
      <c r="L107" s="7"/>
      <c r="M107" s="7"/>
      <c r="N107" s="7"/>
      <c r="O107" s="7" t="s">
        <v>490</v>
      </c>
      <c r="P107" s="7" t="s">
        <v>1578</v>
      </c>
      <c r="Q107" s="7"/>
      <c r="R107" s="7" t="s">
        <v>1510</v>
      </c>
      <c r="S107" s="7" t="s">
        <v>493</v>
      </c>
      <c r="T107" s="65">
        <v>2207.0</v>
      </c>
      <c r="U107" s="7"/>
      <c r="V107" s="7"/>
    </row>
    <row r="108">
      <c r="A108" s="45">
        <v>45857.68</v>
      </c>
      <c r="B108" s="7" t="s">
        <v>314</v>
      </c>
      <c r="C108" s="7" t="s">
        <v>63</v>
      </c>
      <c r="D108" s="74">
        <v>1.0</v>
      </c>
      <c r="E108" s="46"/>
      <c r="F108" s="47">
        <v>24.99</v>
      </c>
      <c r="G108" s="47">
        <v>0.0</v>
      </c>
      <c r="H108" s="7"/>
      <c r="I108" s="47">
        <v>1.02</v>
      </c>
      <c r="J108" s="8"/>
      <c r="K108" s="7"/>
      <c r="L108" s="7"/>
      <c r="M108" s="7"/>
      <c r="N108" s="7"/>
      <c r="O108" s="7" t="s">
        <v>490</v>
      </c>
      <c r="P108" s="7" t="s">
        <v>1457</v>
      </c>
      <c r="Q108" s="7"/>
      <c r="R108" s="7" t="s">
        <v>1458</v>
      </c>
      <c r="S108" s="7" t="s">
        <v>493</v>
      </c>
      <c r="T108" s="65">
        <v>2206.0</v>
      </c>
      <c r="U108" s="7"/>
      <c r="V108" s="7"/>
    </row>
    <row r="109">
      <c r="A109" s="45">
        <v>45857.65180555556</v>
      </c>
      <c r="B109" s="7" t="s">
        <v>293</v>
      </c>
      <c r="C109" s="7" t="s">
        <v>63</v>
      </c>
      <c r="D109" s="74">
        <v>1.0</v>
      </c>
      <c r="E109" s="46"/>
      <c r="F109" s="47">
        <v>24.99</v>
      </c>
      <c r="G109" s="47">
        <v>0.0</v>
      </c>
      <c r="H109" s="7"/>
      <c r="I109" s="47">
        <v>1.4</v>
      </c>
      <c r="J109" s="8"/>
      <c r="K109" s="7"/>
      <c r="L109" s="7"/>
      <c r="M109" s="7"/>
      <c r="N109" s="7"/>
      <c r="O109" s="7" t="s">
        <v>490</v>
      </c>
      <c r="P109" s="7" t="s">
        <v>1579</v>
      </c>
      <c r="Q109" s="7" t="s">
        <v>1580</v>
      </c>
      <c r="R109" s="7" t="s">
        <v>1581</v>
      </c>
      <c r="S109" s="7" t="s">
        <v>542</v>
      </c>
      <c r="T109" s="65">
        <v>2205.0</v>
      </c>
      <c r="U109" s="7"/>
      <c r="V109" s="7"/>
    </row>
    <row r="110">
      <c r="A110" s="45">
        <v>45857.64738425926</v>
      </c>
      <c r="B110" s="7" t="s">
        <v>547</v>
      </c>
      <c r="C110" s="7" t="s">
        <v>63</v>
      </c>
      <c r="D110" s="74">
        <v>1.0</v>
      </c>
      <c r="E110" s="46"/>
      <c r="F110" s="47">
        <v>26.93</v>
      </c>
      <c r="G110" s="47">
        <v>0.0</v>
      </c>
      <c r="H110" s="7"/>
      <c r="I110" s="47">
        <v>1.08</v>
      </c>
      <c r="J110" s="8"/>
      <c r="K110" s="7"/>
      <c r="L110" s="7"/>
      <c r="M110" s="7"/>
      <c r="N110" s="7"/>
      <c r="O110" s="7" t="s">
        <v>490</v>
      </c>
      <c r="P110" s="7" t="s">
        <v>548</v>
      </c>
      <c r="Q110" s="7"/>
      <c r="R110" s="7" t="s">
        <v>549</v>
      </c>
      <c r="S110" s="7" t="s">
        <v>493</v>
      </c>
      <c r="T110" s="65">
        <v>2204.0</v>
      </c>
      <c r="U110" s="7"/>
      <c r="V110" s="7"/>
    </row>
    <row r="111">
      <c r="A111" s="45">
        <v>45857.58787037037</v>
      </c>
      <c r="B111" s="7" t="s">
        <v>780</v>
      </c>
      <c r="C111" s="7" t="s">
        <v>63</v>
      </c>
      <c r="D111" s="74">
        <v>1.0</v>
      </c>
      <c r="E111" s="46"/>
      <c r="F111" s="47">
        <v>24.99</v>
      </c>
      <c r="G111" s="47">
        <v>0.0</v>
      </c>
      <c r="H111" s="7"/>
      <c r="I111" s="47">
        <v>1.4</v>
      </c>
      <c r="J111" s="8"/>
      <c r="K111" s="7"/>
      <c r="L111" s="7"/>
      <c r="M111" s="7"/>
      <c r="N111" s="7"/>
      <c r="O111" s="7" t="s">
        <v>490</v>
      </c>
      <c r="P111" s="7" t="s">
        <v>781</v>
      </c>
      <c r="Q111" s="7"/>
      <c r="R111" s="7" t="s">
        <v>782</v>
      </c>
      <c r="S111" s="7" t="s">
        <v>525</v>
      </c>
      <c r="T111" s="65">
        <v>2201.0</v>
      </c>
      <c r="U111" s="7"/>
      <c r="V111" s="7"/>
    </row>
    <row r="112">
      <c r="A112" s="45">
        <v>45857.572175925925</v>
      </c>
      <c r="B112" s="7" t="s">
        <v>244</v>
      </c>
      <c r="C112" s="7" t="s">
        <v>63</v>
      </c>
      <c r="D112" s="74">
        <v>1.0</v>
      </c>
      <c r="E112" s="46"/>
      <c r="F112" s="47">
        <v>38.23</v>
      </c>
      <c r="G112" s="47">
        <v>0.0</v>
      </c>
      <c r="H112" s="7"/>
      <c r="I112" s="47">
        <v>1.41</v>
      </c>
      <c r="J112" s="8"/>
      <c r="K112" s="7"/>
      <c r="L112" s="7"/>
      <c r="M112" s="7"/>
      <c r="N112" s="7"/>
      <c r="O112" s="7" t="s">
        <v>490</v>
      </c>
      <c r="P112" s="7" t="s">
        <v>1582</v>
      </c>
      <c r="Q112" s="7"/>
      <c r="R112" s="7" t="s">
        <v>1152</v>
      </c>
      <c r="S112" s="7" t="s">
        <v>493</v>
      </c>
      <c r="T112" s="65">
        <v>2200.0</v>
      </c>
      <c r="U112" s="7"/>
      <c r="V112" s="7"/>
    </row>
    <row r="113">
      <c r="A113" s="45">
        <v>45857.42523148148</v>
      </c>
      <c r="B113" s="7" t="s">
        <v>147</v>
      </c>
      <c r="C113" s="7" t="s">
        <v>63</v>
      </c>
      <c r="D113" s="74">
        <v>1.0</v>
      </c>
      <c r="E113" s="46"/>
      <c r="F113" s="47">
        <v>24.99</v>
      </c>
      <c r="G113" s="47">
        <v>0.0</v>
      </c>
      <c r="H113" s="7"/>
      <c r="I113" s="47">
        <v>1.4</v>
      </c>
      <c r="J113" s="8"/>
      <c r="K113" s="7"/>
      <c r="L113" s="7"/>
      <c r="M113" s="7"/>
      <c r="N113" s="7"/>
      <c r="O113" s="7" t="s">
        <v>490</v>
      </c>
      <c r="P113" s="7" t="s">
        <v>1389</v>
      </c>
      <c r="Q113" s="7"/>
      <c r="R113" s="7" t="s">
        <v>1390</v>
      </c>
      <c r="S113" s="7" t="s">
        <v>542</v>
      </c>
      <c r="T113" s="65">
        <v>2198.0</v>
      </c>
      <c r="U113" s="7"/>
      <c r="V113" s="7"/>
    </row>
    <row r="114">
      <c r="A114" s="45">
        <v>45857.4215625</v>
      </c>
      <c r="B114" s="7" t="s">
        <v>190</v>
      </c>
      <c r="C114" s="7" t="s">
        <v>63</v>
      </c>
      <c r="D114" s="74">
        <v>1.0</v>
      </c>
      <c r="E114" s="46"/>
      <c r="F114" s="47">
        <v>24.99</v>
      </c>
      <c r="G114" s="47">
        <v>0.0</v>
      </c>
      <c r="H114" s="7"/>
      <c r="I114" s="47">
        <v>1.4</v>
      </c>
      <c r="J114" s="8"/>
      <c r="K114" s="7"/>
      <c r="L114" s="7"/>
      <c r="M114" s="7"/>
      <c r="N114" s="7"/>
      <c r="O114" s="7" t="s">
        <v>490</v>
      </c>
      <c r="P114" s="7" t="s">
        <v>778</v>
      </c>
      <c r="Q114" s="7"/>
      <c r="R114" s="7" t="s">
        <v>779</v>
      </c>
      <c r="S114" s="7" t="s">
        <v>51</v>
      </c>
      <c r="T114" s="65">
        <v>2196.0</v>
      </c>
      <c r="U114" s="7"/>
      <c r="V114" s="7"/>
    </row>
    <row r="115">
      <c r="A115" s="45">
        <v>45857.35488425926</v>
      </c>
      <c r="B115" s="7" t="s">
        <v>663</v>
      </c>
      <c r="C115" s="7" t="s">
        <v>63</v>
      </c>
      <c r="D115" s="74">
        <v>1.0</v>
      </c>
      <c r="E115" s="46"/>
      <c r="F115" s="47">
        <v>24.99</v>
      </c>
      <c r="G115" s="47">
        <v>0.0</v>
      </c>
      <c r="H115" s="7"/>
      <c r="I115" s="47">
        <v>1.4</v>
      </c>
      <c r="J115" s="8"/>
      <c r="K115" s="7"/>
      <c r="L115" s="7"/>
      <c r="M115" s="7"/>
      <c r="N115" s="7"/>
      <c r="O115" s="7" t="s">
        <v>490</v>
      </c>
      <c r="P115" s="7" t="s">
        <v>664</v>
      </c>
      <c r="Q115" s="7" t="s">
        <v>665</v>
      </c>
      <c r="R115" s="7" t="s">
        <v>666</v>
      </c>
      <c r="S115" s="7" t="s">
        <v>617</v>
      </c>
      <c r="T115" s="65">
        <v>2195.0</v>
      </c>
      <c r="U115" s="7"/>
      <c r="V115" s="7"/>
    </row>
    <row r="116">
      <c r="A116" s="45">
        <v>45857.15787037037</v>
      </c>
      <c r="B116" s="7" t="s">
        <v>890</v>
      </c>
      <c r="C116" s="7" t="s">
        <v>63</v>
      </c>
      <c r="D116" s="74">
        <v>1.0</v>
      </c>
      <c r="E116" s="46"/>
      <c r="F116" s="47">
        <v>24.99</v>
      </c>
      <c r="G116" s="47">
        <v>0.0</v>
      </c>
      <c r="H116" s="7"/>
      <c r="I116" s="47">
        <v>1.4</v>
      </c>
      <c r="J116" s="8"/>
      <c r="K116" s="7"/>
      <c r="L116" s="7"/>
      <c r="M116" s="7"/>
      <c r="N116" s="7"/>
      <c r="O116" s="7" t="s">
        <v>490</v>
      </c>
      <c r="P116" s="7"/>
      <c r="Q116" s="7"/>
      <c r="R116" s="7"/>
      <c r="S116" s="7" t="s">
        <v>560</v>
      </c>
      <c r="T116" s="65">
        <v>2187.0</v>
      </c>
      <c r="U116" s="7"/>
      <c r="V116" s="7"/>
    </row>
    <row r="117">
      <c r="A117" s="45">
        <v>45857.1355787037</v>
      </c>
      <c r="B117" s="7" t="s">
        <v>1583</v>
      </c>
      <c r="C117" s="7" t="s">
        <v>63</v>
      </c>
      <c r="D117" s="74">
        <v>1.0</v>
      </c>
      <c r="E117" s="46"/>
      <c r="F117" s="47">
        <v>24.99</v>
      </c>
      <c r="G117" s="47">
        <v>0.0</v>
      </c>
      <c r="H117" s="7"/>
      <c r="I117" s="47">
        <v>1.02</v>
      </c>
      <c r="J117" s="8"/>
      <c r="K117" s="7"/>
      <c r="L117" s="7"/>
      <c r="M117" s="7"/>
      <c r="N117" s="7"/>
      <c r="O117" s="7" t="s">
        <v>490</v>
      </c>
      <c r="P117" s="7" t="s">
        <v>503</v>
      </c>
      <c r="Q117" s="7"/>
      <c r="R117" s="7" t="s">
        <v>505</v>
      </c>
      <c r="S117" s="7" t="s">
        <v>493</v>
      </c>
      <c r="T117" s="65">
        <v>2184.0</v>
      </c>
      <c r="U117" s="7"/>
      <c r="V117" s="7"/>
    </row>
    <row r="118">
      <c r="A118" s="45">
        <v>45857.12457175926</v>
      </c>
      <c r="B118" s="7" t="s">
        <v>576</v>
      </c>
      <c r="C118" s="7" t="s">
        <v>1530</v>
      </c>
      <c r="D118" s="74">
        <v>2.0</v>
      </c>
      <c r="E118" s="46"/>
      <c r="F118" s="47">
        <v>49.98</v>
      </c>
      <c r="G118" s="47">
        <v>0.0</v>
      </c>
      <c r="H118" s="7"/>
      <c r="I118" s="47">
        <v>2.5</v>
      </c>
      <c r="J118" s="8"/>
      <c r="K118" s="7"/>
      <c r="L118" s="7"/>
      <c r="M118" s="7"/>
      <c r="N118" s="7"/>
      <c r="O118" s="7" t="s">
        <v>490</v>
      </c>
      <c r="P118" s="7" t="s">
        <v>578</v>
      </c>
      <c r="Q118" s="7" t="s">
        <v>579</v>
      </c>
      <c r="R118" s="7" t="s">
        <v>580</v>
      </c>
      <c r="S118" s="7" t="s">
        <v>581</v>
      </c>
      <c r="T118" s="65">
        <v>2183.0</v>
      </c>
      <c r="U118" s="7"/>
      <c r="V118" s="7"/>
    </row>
    <row r="119">
      <c r="A119" s="45">
        <v>45857.12378472222</v>
      </c>
      <c r="B119" s="7" t="s">
        <v>1584</v>
      </c>
      <c r="C119" s="7" t="s">
        <v>63</v>
      </c>
      <c r="D119" s="74">
        <v>1.0</v>
      </c>
      <c r="E119" s="46"/>
      <c r="F119" s="47">
        <v>24.99</v>
      </c>
      <c r="G119" s="47">
        <v>0.0</v>
      </c>
      <c r="H119" s="7"/>
      <c r="I119" s="47">
        <v>1.4</v>
      </c>
      <c r="J119" s="8"/>
      <c r="K119" s="7"/>
      <c r="L119" s="7"/>
      <c r="M119" s="7"/>
      <c r="N119" s="7"/>
      <c r="O119" s="7" t="s">
        <v>490</v>
      </c>
      <c r="P119" s="7" t="s">
        <v>896</v>
      </c>
      <c r="Q119" s="7"/>
      <c r="R119" s="7" t="s">
        <v>897</v>
      </c>
      <c r="S119" s="7" t="s">
        <v>542</v>
      </c>
      <c r="T119" s="65">
        <v>2182.0</v>
      </c>
      <c r="U119" s="7"/>
      <c r="V119" s="7"/>
    </row>
    <row r="120">
      <c r="A120" s="45">
        <v>45857.098657407405</v>
      </c>
      <c r="B120" s="7" t="s">
        <v>987</v>
      </c>
      <c r="C120" s="7" t="s">
        <v>63</v>
      </c>
      <c r="D120" s="74">
        <v>1.0</v>
      </c>
      <c r="E120" s="46"/>
      <c r="F120" s="47">
        <v>24.99</v>
      </c>
      <c r="G120" s="47">
        <v>0.0</v>
      </c>
      <c r="H120" s="7"/>
      <c r="I120" s="47">
        <v>1.02</v>
      </c>
      <c r="J120" s="8"/>
      <c r="K120" s="7"/>
      <c r="L120" s="7"/>
      <c r="M120" s="7"/>
      <c r="N120" s="7"/>
      <c r="O120" s="7" t="s">
        <v>490</v>
      </c>
      <c r="P120" s="7" t="s">
        <v>988</v>
      </c>
      <c r="Q120" s="7"/>
      <c r="R120" s="7" t="s">
        <v>989</v>
      </c>
      <c r="S120" s="7" t="s">
        <v>493</v>
      </c>
      <c r="T120" s="65">
        <v>2181.0</v>
      </c>
      <c r="U120" s="7"/>
      <c r="V120" s="7"/>
    </row>
    <row r="121">
      <c r="A121" s="45">
        <v>45857.08206018519</v>
      </c>
      <c r="B121" s="7" t="s">
        <v>1044</v>
      </c>
      <c r="C121" s="7" t="s">
        <v>63</v>
      </c>
      <c r="D121" s="74">
        <v>1.0</v>
      </c>
      <c r="E121" s="46"/>
      <c r="F121" s="47">
        <v>24.99</v>
      </c>
      <c r="G121" s="47">
        <v>0.0</v>
      </c>
      <c r="H121" s="7"/>
      <c r="I121" s="47">
        <v>1.4</v>
      </c>
      <c r="J121" s="8"/>
      <c r="K121" s="7"/>
      <c r="L121" s="7"/>
      <c r="M121" s="7"/>
      <c r="N121" s="7"/>
      <c r="O121" s="7" t="s">
        <v>490</v>
      </c>
      <c r="P121" s="7" t="s">
        <v>1585</v>
      </c>
      <c r="Q121" s="7" t="s">
        <v>1046</v>
      </c>
      <c r="R121" s="7" t="s">
        <v>580</v>
      </c>
      <c r="S121" s="7" t="s">
        <v>581</v>
      </c>
      <c r="T121" s="65">
        <v>2180.0</v>
      </c>
      <c r="U121" s="7"/>
      <c r="V121" s="7"/>
    </row>
    <row r="122">
      <c r="A122" s="45">
        <v>45857.07702546296</v>
      </c>
      <c r="B122" s="7" t="s">
        <v>319</v>
      </c>
      <c r="C122" s="7" t="s">
        <v>63</v>
      </c>
      <c r="D122" s="74">
        <v>1.0</v>
      </c>
      <c r="E122" s="46"/>
      <c r="F122" s="47">
        <v>38.23</v>
      </c>
      <c r="G122" s="47">
        <v>0.0</v>
      </c>
      <c r="H122" s="7"/>
      <c r="I122" s="47">
        <v>1.41</v>
      </c>
      <c r="J122" s="8"/>
      <c r="K122" s="7"/>
      <c r="L122" s="7"/>
      <c r="M122" s="7"/>
      <c r="N122" s="7"/>
      <c r="O122" s="7" t="s">
        <v>490</v>
      </c>
      <c r="P122" s="7" t="s">
        <v>1248</v>
      </c>
      <c r="Q122" s="7"/>
      <c r="R122" s="7" t="s">
        <v>1249</v>
      </c>
      <c r="S122" s="7" t="s">
        <v>493</v>
      </c>
      <c r="T122" s="65">
        <v>2179.0</v>
      </c>
      <c r="U122" s="7"/>
      <c r="V122" s="7"/>
    </row>
    <row r="123">
      <c r="A123" s="45">
        <v>45857.076261574075</v>
      </c>
      <c r="B123" s="7" t="s">
        <v>1586</v>
      </c>
      <c r="C123" s="7" t="s">
        <v>63</v>
      </c>
      <c r="D123" s="74">
        <v>1.0</v>
      </c>
      <c r="E123" s="46"/>
      <c r="F123" s="47">
        <v>26.49</v>
      </c>
      <c r="G123" s="47">
        <v>0.0</v>
      </c>
      <c r="H123" s="7"/>
      <c r="I123" s="47">
        <v>1.07</v>
      </c>
      <c r="J123" s="8"/>
      <c r="K123" s="7"/>
      <c r="L123" s="7"/>
      <c r="M123" s="7"/>
      <c r="N123" s="7"/>
      <c r="O123" s="7" t="s">
        <v>490</v>
      </c>
      <c r="P123" s="7" t="s">
        <v>1404</v>
      </c>
      <c r="Q123" s="7"/>
      <c r="R123" s="7" t="s">
        <v>1405</v>
      </c>
      <c r="S123" s="7" t="s">
        <v>493</v>
      </c>
      <c r="T123" s="65">
        <v>2178.0</v>
      </c>
      <c r="U123" s="7"/>
      <c r="V123" s="7"/>
    </row>
    <row r="124">
      <c r="A124" s="45">
        <v>45857.07466435185</v>
      </c>
      <c r="B124" s="7" t="s">
        <v>903</v>
      </c>
      <c r="C124" s="7" t="s">
        <v>63</v>
      </c>
      <c r="D124" s="74">
        <v>1.0</v>
      </c>
      <c r="E124" s="46"/>
      <c r="F124" s="47">
        <v>24.99</v>
      </c>
      <c r="G124" s="47">
        <v>0.0</v>
      </c>
      <c r="H124" s="7"/>
      <c r="I124" s="47">
        <v>1.02</v>
      </c>
      <c r="J124" s="8"/>
      <c r="K124" s="7"/>
      <c r="L124" s="7"/>
      <c r="M124" s="7"/>
      <c r="N124" s="7"/>
      <c r="O124" s="7" t="s">
        <v>490</v>
      </c>
      <c r="P124" s="7" t="s">
        <v>904</v>
      </c>
      <c r="Q124" s="7"/>
      <c r="R124" s="7" t="s">
        <v>905</v>
      </c>
      <c r="S124" s="7" t="s">
        <v>493</v>
      </c>
      <c r="T124" s="65">
        <v>2177.0</v>
      </c>
      <c r="U124" s="7"/>
      <c r="V124" s="7"/>
    </row>
    <row r="125">
      <c r="A125" s="45">
        <v>45857.05831018519</v>
      </c>
      <c r="B125" s="7" t="s">
        <v>1096</v>
      </c>
      <c r="C125" s="7" t="s">
        <v>63</v>
      </c>
      <c r="D125" s="74">
        <v>1.0</v>
      </c>
      <c r="E125" s="46"/>
      <c r="F125" s="47">
        <v>24.99</v>
      </c>
      <c r="G125" s="47">
        <v>0.0</v>
      </c>
      <c r="H125" s="7"/>
      <c r="I125" s="47">
        <v>1.02</v>
      </c>
      <c r="J125" s="8"/>
      <c r="K125" s="7"/>
      <c r="L125" s="7"/>
      <c r="M125" s="7"/>
      <c r="N125" s="7"/>
      <c r="O125" s="7" t="s">
        <v>490</v>
      </c>
      <c r="P125" s="7" t="s">
        <v>1097</v>
      </c>
      <c r="Q125" s="7"/>
      <c r="R125" s="7" t="s">
        <v>1098</v>
      </c>
      <c r="S125" s="7" t="s">
        <v>493</v>
      </c>
      <c r="T125" s="65">
        <v>2176.0</v>
      </c>
      <c r="U125" s="7"/>
      <c r="V125" s="7"/>
    </row>
    <row r="126">
      <c r="A126" s="45">
        <v>45857.05144675926</v>
      </c>
      <c r="B126" s="7" t="s">
        <v>688</v>
      </c>
      <c r="C126" s="7" t="s">
        <v>63</v>
      </c>
      <c r="D126" s="74">
        <v>1.0</v>
      </c>
      <c r="E126" s="46"/>
      <c r="F126" s="47">
        <v>27.43</v>
      </c>
      <c r="G126" s="47">
        <v>0.0</v>
      </c>
      <c r="H126" s="7"/>
      <c r="I126" s="47">
        <v>1.1</v>
      </c>
      <c r="J126" s="8"/>
      <c r="K126" s="7"/>
      <c r="L126" s="7"/>
      <c r="M126" s="7"/>
      <c r="N126" s="7"/>
      <c r="O126" s="7" t="s">
        <v>490</v>
      </c>
      <c r="P126" s="7" t="s">
        <v>689</v>
      </c>
      <c r="Q126" s="7"/>
      <c r="R126" s="7" t="s">
        <v>690</v>
      </c>
      <c r="S126" s="7" t="s">
        <v>493</v>
      </c>
      <c r="T126" s="65">
        <v>2173.0</v>
      </c>
      <c r="U126" s="7"/>
      <c r="V126" s="7"/>
    </row>
    <row r="127">
      <c r="A127" s="45">
        <v>45857.04827546296</v>
      </c>
      <c r="B127" s="7" t="s">
        <v>1056</v>
      </c>
      <c r="C127" s="7" t="s">
        <v>63</v>
      </c>
      <c r="D127" s="74">
        <v>1.0</v>
      </c>
      <c r="E127" s="46"/>
      <c r="F127" s="47">
        <v>24.99</v>
      </c>
      <c r="G127" s="47">
        <v>0.0</v>
      </c>
      <c r="H127" s="7"/>
      <c r="I127" s="47">
        <v>1.4</v>
      </c>
      <c r="J127" s="8"/>
      <c r="K127" s="7"/>
      <c r="L127" s="7"/>
      <c r="M127" s="7"/>
      <c r="N127" s="7"/>
      <c r="O127" s="7" t="s">
        <v>490</v>
      </c>
      <c r="P127" s="7" t="s">
        <v>1587</v>
      </c>
      <c r="Q127" s="7"/>
      <c r="R127" s="7" t="s">
        <v>1588</v>
      </c>
      <c r="S127" s="7" t="s">
        <v>545</v>
      </c>
      <c r="T127" s="65">
        <v>2171.0</v>
      </c>
      <c r="U127" s="7"/>
      <c r="V127" s="7"/>
    </row>
    <row r="128">
      <c r="A128" s="45">
        <v>45857.04697916667</v>
      </c>
      <c r="B128" s="7" t="s">
        <v>908</v>
      </c>
      <c r="C128" s="7" t="s">
        <v>63</v>
      </c>
      <c r="D128" s="74">
        <v>1.0</v>
      </c>
      <c r="E128" s="46"/>
      <c r="F128" s="47">
        <v>24.99</v>
      </c>
      <c r="G128" s="47">
        <v>0.0</v>
      </c>
      <c r="H128" s="7"/>
      <c r="I128" s="47">
        <v>1.4</v>
      </c>
      <c r="J128" s="8"/>
      <c r="K128" s="7"/>
      <c r="L128" s="7"/>
      <c r="M128" s="7"/>
      <c r="N128" s="7"/>
      <c r="O128" s="7" t="s">
        <v>490</v>
      </c>
      <c r="P128" s="7" t="s">
        <v>909</v>
      </c>
      <c r="Q128" s="7"/>
      <c r="R128" s="7" t="s">
        <v>910</v>
      </c>
      <c r="S128" s="7" t="s">
        <v>545</v>
      </c>
      <c r="T128" s="65">
        <v>2172.0</v>
      </c>
      <c r="U128" s="7"/>
      <c r="V128" s="7"/>
    </row>
    <row r="129">
      <c r="A129" s="45">
        <v>45857.03865740741</v>
      </c>
      <c r="B129" s="7" t="s">
        <v>335</v>
      </c>
      <c r="C129" s="7" t="s">
        <v>63</v>
      </c>
      <c r="D129" s="74">
        <v>1.0</v>
      </c>
      <c r="E129" s="46"/>
      <c r="F129" s="47">
        <v>34.46</v>
      </c>
      <c r="G129" s="47">
        <v>0.0</v>
      </c>
      <c r="H129" s="7"/>
      <c r="I129" s="47">
        <v>1.3</v>
      </c>
      <c r="J129" s="8"/>
      <c r="K129" s="7"/>
      <c r="L129" s="7"/>
      <c r="M129" s="7"/>
      <c r="N129" s="7"/>
      <c r="O129" s="7" t="s">
        <v>490</v>
      </c>
      <c r="P129" s="7" t="s">
        <v>1589</v>
      </c>
      <c r="Q129" s="7" t="s">
        <v>1590</v>
      </c>
      <c r="R129" s="7" t="s">
        <v>947</v>
      </c>
      <c r="S129" s="7" t="s">
        <v>493</v>
      </c>
      <c r="T129" s="65">
        <v>2170.0</v>
      </c>
      <c r="U129" s="7"/>
      <c r="V129" s="7"/>
    </row>
    <row r="130">
      <c r="A130" s="45">
        <v>45857.025868055556</v>
      </c>
      <c r="B130" s="7" t="s">
        <v>260</v>
      </c>
      <c r="C130" s="7" t="s">
        <v>63</v>
      </c>
      <c r="D130" s="74">
        <v>1.0</v>
      </c>
      <c r="E130" s="46"/>
      <c r="F130" s="47">
        <v>24.99</v>
      </c>
      <c r="G130" s="47">
        <v>0.0</v>
      </c>
      <c r="H130" s="7"/>
      <c r="I130" s="47">
        <v>1.02</v>
      </c>
      <c r="J130" s="8"/>
      <c r="K130" s="7"/>
      <c r="L130" s="7"/>
      <c r="M130" s="7"/>
      <c r="N130" s="7"/>
      <c r="O130" s="7" t="s">
        <v>490</v>
      </c>
      <c r="P130" s="7" t="s">
        <v>561</v>
      </c>
      <c r="Q130" s="7" t="s">
        <v>562</v>
      </c>
      <c r="R130" s="7" t="s">
        <v>563</v>
      </c>
      <c r="S130" s="7" t="s">
        <v>493</v>
      </c>
      <c r="T130" s="65">
        <v>2162.0</v>
      </c>
      <c r="U130" s="7"/>
      <c r="V130" s="7"/>
    </row>
    <row r="131">
      <c r="A131" s="45">
        <v>45857.0219212963</v>
      </c>
      <c r="B131" s="7" t="s">
        <v>1591</v>
      </c>
      <c r="C131" s="7" t="s">
        <v>63</v>
      </c>
      <c r="D131" s="74">
        <v>1.0</v>
      </c>
      <c r="E131" s="46"/>
      <c r="F131" s="47">
        <v>24.99</v>
      </c>
      <c r="G131" s="47">
        <v>0.0</v>
      </c>
      <c r="H131" s="7"/>
      <c r="I131" s="47">
        <v>1.4</v>
      </c>
      <c r="J131" s="8"/>
      <c r="K131" s="7"/>
      <c r="L131" s="7"/>
      <c r="M131" s="7"/>
      <c r="N131" s="7"/>
      <c r="O131" s="7" t="s">
        <v>490</v>
      </c>
      <c r="P131" s="7" t="s">
        <v>1592</v>
      </c>
      <c r="Q131" s="7" t="s">
        <v>1593</v>
      </c>
      <c r="R131" s="7" t="s">
        <v>572</v>
      </c>
      <c r="S131" s="7" t="s">
        <v>510</v>
      </c>
      <c r="T131" s="65">
        <v>2159.0</v>
      </c>
      <c r="U131" s="7"/>
      <c r="V131" s="7"/>
    </row>
    <row r="132">
      <c r="A132" s="45">
        <v>45857.00666666667</v>
      </c>
      <c r="B132" s="7" t="s">
        <v>64</v>
      </c>
      <c r="C132" s="7" t="s">
        <v>63</v>
      </c>
      <c r="D132" s="74">
        <v>1.0</v>
      </c>
      <c r="E132" s="46"/>
      <c r="F132" s="47">
        <v>24.99</v>
      </c>
      <c r="G132" s="47">
        <v>0.0</v>
      </c>
      <c r="H132" s="7"/>
      <c r="I132" s="47">
        <v>16.02</v>
      </c>
      <c r="J132" s="47">
        <v>24.99</v>
      </c>
      <c r="K132" s="45">
        <v>45973.08931712963</v>
      </c>
      <c r="L132" s="45">
        <v>45988.99998842592</v>
      </c>
      <c r="M132" s="7" t="s">
        <v>52</v>
      </c>
      <c r="N132" s="7" t="s">
        <v>62</v>
      </c>
      <c r="O132" s="7" t="s">
        <v>490</v>
      </c>
      <c r="P132" s="7" t="s">
        <v>990</v>
      </c>
      <c r="Q132" s="7" t="s">
        <v>991</v>
      </c>
      <c r="R132" s="7" t="s">
        <v>992</v>
      </c>
      <c r="S132" s="7" t="s">
        <v>493</v>
      </c>
      <c r="T132" s="65">
        <v>2158.0</v>
      </c>
      <c r="U132" s="7"/>
      <c r="V132" s="7"/>
    </row>
    <row r="133">
      <c r="A133" s="45">
        <v>45857.00355324074</v>
      </c>
      <c r="B133" s="7" t="s">
        <v>723</v>
      </c>
      <c r="C133" s="7" t="s">
        <v>63</v>
      </c>
      <c r="D133" s="74">
        <v>1.0</v>
      </c>
      <c r="E133" s="46"/>
      <c r="F133" s="47">
        <v>24.99</v>
      </c>
      <c r="G133" s="47">
        <v>0.0</v>
      </c>
      <c r="H133" s="7"/>
      <c r="I133" s="47">
        <v>1.4</v>
      </c>
      <c r="J133" s="8"/>
      <c r="K133" s="7"/>
      <c r="L133" s="7"/>
      <c r="M133" s="7"/>
      <c r="N133" s="7"/>
      <c r="O133" s="7" t="s">
        <v>490</v>
      </c>
      <c r="P133" s="7" t="s">
        <v>724</v>
      </c>
      <c r="Q133" s="7"/>
      <c r="R133" s="7" t="s">
        <v>725</v>
      </c>
      <c r="S133" s="7" t="s">
        <v>726</v>
      </c>
      <c r="T133" s="65">
        <v>2157.0</v>
      </c>
      <c r="U133" s="7"/>
      <c r="V133" s="7"/>
    </row>
    <row r="134">
      <c r="A134" s="45">
        <v>45856.990752314814</v>
      </c>
      <c r="B134" s="7" t="s">
        <v>1594</v>
      </c>
      <c r="C134" s="7" t="s">
        <v>63</v>
      </c>
      <c r="D134" s="74">
        <v>1.0</v>
      </c>
      <c r="E134" s="46"/>
      <c r="F134" s="47">
        <v>34.46</v>
      </c>
      <c r="G134" s="47">
        <v>0.0</v>
      </c>
      <c r="H134" s="7"/>
      <c r="I134" s="47">
        <v>1.3</v>
      </c>
      <c r="J134" s="8"/>
      <c r="K134" s="7"/>
      <c r="L134" s="7"/>
      <c r="M134" s="7"/>
      <c r="N134" s="7"/>
      <c r="O134" s="7" t="s">
        <v>490</v>
      </c>
      <c r="P134" s="7" t="s">
        <v>1595</v>
      </c>
      <c r="Q134" s="7"/>
      <c r="R134" s="7" t="s">
        <v>1596</v>
      </c>
      <c r="S134" s="7" t="s">
        <v>493</v>
      </c>
      <c r="T134" s="65">
        <v>2156.0</v>
      </c>
      <c r="U134" s="7"/>
      <c r="V134" s="7"/>
    </row>
    <row r="135">
      <c r="A135" s="45">
        <v>45856.96465277778</v>
      </c>
      <c r="B135" s="7" t="s">
        <v>804</v>
      </c>
      <c r="C135" s="7" t="s">
        <v>63</v>
      </c>
      <c r="D135" s="74">
        <v>1.0</v>
      </c>
      <c r="E135" s="46"/>
      <c r="F135" s="47">
        <v>24.99</v>
      </c>
      <c r="G135" s="47">
        <v>0.0</v>
      </c>
      <c r="H135" s="7"/>
      <c r="I135" s="47">
        <v>1.02</v>
      </c>
      <c r="J135" s="8"/>
      <c r="K135" s="7"/>
      <c r="L135" s="7"/>
      <c r="M135" s="7"/>
      <c r="N135" s="7"/>
      <c r="O135" s="7" t="s">
        <v>490</v>
      </c>
      <c r="P135" s="7" t="s">
        <v>805</v>
      </c>
      <c r="Q135" s="7"/>
      <c r="R135" s="7" t="s">
        <v>806</v>
      </c>
      <c r="S135" s="7" t="s">
        <v>493</v>
      </c>
      <c r="T135" s="65">
        <v>2153.0</v>
      </c>
      <c r="U135" s="7"/>
      <c r="V135" s="7"/>
    </row>
    <row r="136">
      <c r="A136" s="45">
        <v>45856.95688657407</v>
      </c>
      <c r="B136" s="7" t="s">
        <v>713</v>
      </c>
      <c r="C136" s="7" t="s">
        <v>1530</v>
      </c>
      <c r="D136" s="74">
        <v>2.0</v>
      </c>
      <c r="E136" s="46"/>
      <c r="F136" s="47">
        <v>49.98</v>
      </c>
      <c r="G136" s="47">
        <v>0.0</v>
      </c>
      <c r="H136" s="7"/>
      <c r="I136" s="47">
        <v>2.5</v>
      </c>
      <c r="J136" s="8"/>
      <c r="K136" s="7"/>
      <c r="L136" s="7"/>
      <c r="M136" s="7"/>
      <c r="N136" s="7"/>
      <c r="O136" s="7" t="s">
        <v>490</v>
      </c>
      <c r="P136" s="7" t="s">
        <v>1597</v>
      </c>
      <c r="Q136" s="7" t="s">
        <v>1598</v>
      </c>
      <c r="R136" s="7" t="s">
        <v>1599</v>
      </c>
      <c r="S136" s="7" t="s">
        <v>684</v>
      </c>
      <c r="T136" s="65">
        <v>2149.0</v>
      </c>
      <c r="U136" s="7"/>
      <c r="V136" s="7"/>
    </row>
    <row r="137">
      <c r="A137" s="45">
        <v>45856.95537037037</v>
      </c>
      <c r="B137" s="7" t="s">
        <v>351</v>
      </c>
      <c r="C137" s="7" t="s">
        <v>63</v>
      </c>
      <c r="D137" s="74">
        <v>1.0</v>
      </c>
      <c r="E137" s="46"/>
      <c r="F137" s="47">
        <v>24.99</v>
      </c>
      <c r="G137" s="47">
        <v>0.0</v>
      </c>
      <c r="H137" s="7"/>
      <c r="I137" s="47">
        <v>1.4</v>
      </c>
      <c r="J137" s="8"/>
      <c r="K137" s="7"/>
      <c r="L137" s="7"/>
      <c r="M137" s="7"/>
      <c r="N137" s="7"/>
      <c r="O137" s="7" t="s">
        <v>490</v>
      </c>
      <c r="P137" s="7" t="s">
        <v>1600</v>
      </c>
      <c r="Q137" s="7" t="s">
        <v>997</v>
      </c>
      <c r="R137" s="7" t="s">
        <v>1601</v>
      </c>
      <c r="S137" s="7" t="s">
        <v>497</v>
      </c>
      <c r="T137" s="65">
        <v>2150.0</v>
      </c>
      <c r="U137" s="7"/>
      <c r="V137" s="7"/>
    </row>
    <row r="138">
      <c r="A138" s="45">
        <v>45856.94447916667</v>
      </c>
      <c r="B138" s="7" t="s">
        <v>1602</v>
      </c>
      <c r="C138" s="7" t="s">
        <v>63</v>
      </c>
      <c r="D138" s="74">
        <v>1.0</v>
      </c>
      <c r="E138" s="46"/>
      <c r="F138" s="47">
        <v>24.99</v>
      </c>
      <c r="G138" s="47">
        <v>0.0</v>
      </c>
      <c r="H138" s="7"/>
      <c r="I138" s="47">
        <v>1.02</v>
      </c>
      <c r="J138" s="8"/>
      <c r="K138" s="7"/>
      <c r="L138" s="7"/>
      <c r="M138" s="7"/>
      <c r="N138" s="7"/>
      <c r="O138" s="7" t="s">
        <v>490</v>
      </c>
      <c r="P138" s="7" t="s">
        <v>675</v>
      </c>
      <c r="Q138" s="7"/>
      <c r="R138" s="7" t="s">
        <v>676</v>
      </c>
      <c r="S138" s="7" t="s">
        <v>493</v>
      </c>
      <c r="T138" s="65">
        <v>2148.0</v>
      </c>
      <c r="U138" s="7"/>
      <c r="V138" s="7"/>
    </row>
    <row r="139">
      <c r="A139" s="45">
        <v>45856.93775462963</v>
      </c>
      <c r="B139" s="7" t="s">
        <v>1603</v>
      </c>
      <c r="C139" s="7" t="s">
        <v>63</v>
      </c>
      <c r="D139" s="74">
        <v>1.0</v>
      </c>
      <c r="E139" s="46"/>
      <c r="F139" s="47">
        <v>24.99</v>
      </c>
      <c r="G139" s="47">
        <v>0.0</v>
      </c>
      <c r="H139" s="7"/>
      <c r="I139" s="47">
        <v>1.02</v>
      </c>
      <c r="J139" s="8"/>
      <c r="K139" s="7"/>
      <c r="L139" s="7"/>
      <c r="M139" s="7"/>
      <c r="N139" s="7"/>
      <c r="O139" s="7" t="s">
        <v>490</v>
      </c>
      <c r="P139" s="7" t="s">
        <v>1604</v>
      </c>
      <c r="Q139" s="7"/>
      <c r="R139" s="7" t="s">
        <v>746</v>
      </c>
      <c r="S139" s="7" t="s">
        <v>493</v>
      </c>
      <c r="T139" s="65">
        <v>2147.0</v>
      </c>
      <c r="U139" s="7"/>
      <c r="V139" s="7"/>
    </row>
    <row r="140">
      <c r="A140" s="45">
        <v>45856.93319444444</v>
      </c>
      <c r="B140" s="7" t="s">
        <v>1605</v>
      </c>
      <c r="C140" s="7" t="s">
        <v>63</v>
      </c>
      <c r="D140" s="74">
        <v>1.0</v>
      </c>
      <c r="E140" s="46"/>
      <c r="F140" s="47">
        <v>34.46</v>
      </c>
      <c r="G140" s="47">
        <v>0.0</v>
      </c>
      <c r="H140" s="7"/>
      <c r="I140" s="47">
        <v>1.3</v>
      </c>
      <c r="J140" s="8"/>
      <c r="K140" s="7"/>
      <c r="L140" s="7"/>
      <c r="M140" s="7"/>
      <c r="N140" s="7"/>
      <c r="O140" s="7" t="s">
        <v>490</v>
      </c>
      <c r="P140" s="7" t="s">
        <v>1606</v>
      </c>
      <c r="Q140" s="7"/>
      <c r="R140" s="7" t="s">
        <v>1607</v>
      </c>
      <c r="S140" s="7" t="s">
        <v>493</v>
      </c>
      <c r="T140" s="65">
        <v>2146.0</v>
      </c>
      <c r="U140" s="7"/>
      <c r="V140" s="7"/>
    </row>
    <row r="141">
      <c r="A141" s="45">
        <v>45856.92321759259</v>
      </c>
      <c r="B141" s="7" t="s">
        <v>364</v>
      </c>
      <c r="C141" s="7" t="s">
        <v>63</v>
      </c>
      <c r="D141" s="74">
        <v>1.0</v>
      </c>
      <c r="E141" s="46"/>
      <c r="F141" s="47">
        <v>24.99</v>
      </c>
      <c r="G141" s="47">
        <v>0.0</v>
      </c>
      <c r="H141" s="7"/>
      <c r="I141" s="47">
        <v>1.4</v>
      </c>
      <c r="J141" s="8"/>
      <c r="K141" s="7"/>
      <c r="L141" s="7"/>
      <c r="M141" s="7"/>
      <c r="N141" s="7"/>
      <c r="O141" s="7" t="s">
        <v>490</v>
      </c>
      <c r="P141" s="7" t="s">
        <v>855</v>
      </c>
      <c r="Q141" s="7"/>
      <c r="R141" s="7" t="s">
        <v>856</v>
      </c>
      <c r="S141" s="7" t="s">
        <v>545</v>
      </c>
      <c r="T141" s="65">
        <v>2143.0</v>
      </c>
      <c r="U141" s="7"/>
      <c r="V141" s="7"/>
    </row>
    <row r="142">
      <c r="A142" s="45">
        <v>45856.919340277775</v>
      </c>
      <c r="B142" s="7" t="s">
        <v>448</v>
      </c>
      <c r="C142" s="7" t="s">
        <v>63</v>
      </c>
      <c r="D142" s="74">
        <v>1.0</v>
      </c>
      <c r="E142" s="46"/>
      <c r="F142" s="47">
        <v>24.99</v>
      </c>
      <c r="G142" s="47">
        <v>0.0</v>
      </c>
      <c r="H142" s="7"/>
      <c r="I142" s="47">
        <v>1.02</v>
      </c>
      <c r="J142" s="8"/>
      <c r="K142" s="7"/>
      <c r="L142" s="7"/>
      <c r="M142" s="7"/>
      <c r="N142" s="7"/>
      <c r="O142" s="7" t="s">
        <v>490</v>
      </c>
      <c r="P142" s="7" t="s">
        <v>803</v>
      </c>
      <c r="Q142" s="7"/>
      <c r="R142" s="7" t="s">
        <v>732</v>
      </c>
      <c r="S142" s="7" t="s">
        <v>493</v>
      </c>
      <c r="T142" s="65">
        <v>2142.0</v>
      </c>
      <c r="U142" s="7"/>
      <c r="V142" s="7"/>
    </row>
    <row r="143">
      <c r="A143" s="45">
        <v>45856.91263888889</v>
      </c>
      <c r="B143" s="7" t="s">
        <v>1245</v>
      </c>
      <c r="C143" s="7" t="s">
        <v>63</v>
      </c>
      <c r="D143" s="74">
        <v>1.0</v>
      </c>
      <c r="E143" s="46"/>
      <c r="F143" s="47">
        <v>24.99</v>
      </c>
      <c r="G143" s="47">
        <v>0.0</v>
      </c>
      <c r="H143" s="7"/>
      <c r="I143" s="47">
        <v>1.02</v>
      </c>
      <c r="J143" s="8"/>
      <c r="K143" s="7"/>
      <c r="L143" s="7"/>
      <c r="M143" s="7"/>
      <c r="N143" s="7"/>
      <c r="O143" s="7" t="s">
        <v>490</v>
      </c>
      <c r="P143" s="7" t="s">
        <v>1246</v>
      </c>
      <c r="Q143" s="7"/>
      <c r="R143" s="7" t="s">
        <v>1247</v>
      </c>
      <c r="S143" s="7" t="s">
        <v>493</v>
      </c>
      <c r="T143" s="65">
        <v>2138.0</v>
      </c>
      <c r="U143" s="7"/>
      <c r="V143" s="7"/>
    </row>
    <row r="144">
      <c r="A144" s="45">
        <v>45856.91201388889</v>
      </c>
      <c r="B144" s="7" t="s">
        <v>291</v>
      </c>
      <c r="C144" s="7" t="s">
        <v>63</v>
      </c>
      <c r="D144" s="74">
        <v>1.0</v>
      </c>
      <c r="E144" s="46"/>
      <c r="F144" s="47">
        <v>24.99</v>
      </c>
      <c r="G144" s="47">
        <v>0.0</v>
      </c>
      <c r="H144" s="7"/>
      <c r="I144" s="47">
        <v>1.02</v>
      </c>
      <c r="J144" s="8"/>
      <c r="K144" s="7"/>
      <c r="L144" s="7"/>
      <c r="M144" s="7"/>
      <c r="N144" s="7"/>
      <c r="O144" s="7" t="s">
        <v>490</v>
      </c>
      <c r="P144" s="7" t="s">
        <v>670</v>
      </c>
      <c r="Q144" s="7"/>
      <c r="R144" s="7" t="s">
        <v>671</v>
      </c>
      <c r="S144" s="7" t="s">
        <v>493</v>
      </c>
      <c r="T144" s="65">
        <v>2140.0</v>
      </c>
      <c r="U144" s="7"/>
      <c r="V144" s="7"/>
    </row>
    <row r="145">
      <c r="A145" s="45">
        <v>45856.89462962963</v>
      </c>
      <c r="B145" s="7" t="s">
        <v>1177</v>
      </c>
      <c r="C145" s="7" t="s">
        <v>63</v>
      </c>
      <c r="D145" s="74">
        <v>1.0</v>
      </c>
      <c r="E145" s="46"/>
      <c r="F145" s="47">
        <v>24.99</v>
      </c>
      <c r="G145" s="47">
        <v>0.0</v>
      </c>
      <c r="H145" s="7"/>
      <c r="I145" s="47">
        <v>1.02</v>
      </c>
      <c r="J145" s="8"/>
      <c r="K145" s="7"/>
      <c r="L145" s="7"/>
      <c r="M145" s="7"/>
      <c r="N145" s="7"/>
      <c r="O145" s="7" t="s">
        <v>490</v>
      </c>
      <c r="P145" s="7" t="s">
        <v>1178</v>
      </c>
      <c r="Q145" s="7"/>
      <c r="R145" s="7" t="s">
        <v>1179</v>
      </c>
      <c r="S145" s="7" t="s">
        <v>493</v>
      </c>
      <c r="T145" s="65">
        <v>2136.0</v>
      </c>
      <c r="U145" s="7"/>
      <c r="V145" s="7"/>
    </row>
    <row r="146">
      <c r="A146" s="45">
        <v>45856.89234953704</v>
      </c>
      <c r="B146" s="7" t="s">
        <v>1275</v>
      </c>
      <c r="C146" s="67" t="s">
        <v>1608</v>
      </c>
      <c r="D146" s="74">
        <v>1.0</v>
      </c>
      <c r="E146" s="74">
        <v>1.0</v>
      </c>
      <c r="F146" s="47">
        <v>124.99</v>
      </c>
      <c r="G146" s="47">
        <v>0.0</v>
      </c>
      <c r="H146" s="7"/>
      <c r="I146" s="47">
        <v>5.8</v>
      </c>
      <c r="J146" s="8"/>
      <c r="K146" s="7"/>
      <c r="L146" s="7"/>
      <c r="M146" s="7"/>
      <c r="N146" s="7"/>
      <c r="O146" s="7" t="s">
        <v>490</v>
      </c>
      <c r="P146" s="7" t="s">
        <v>1609</v>
      </c>
      <c r="Q146" s="135">
        <v>223438.0</v>
      </c>
      <c r="R146" s="7" t="s">
        <v>1277</v>
      </c>
      <c r="S146" s="7" t="s">
        <v>51</v>
      </c>
      <c r="T146" s="65">
        <v>2133.0</v>
      </c>
      <c r="U146" s="7"/>
      <c r="V146" s="7"/>
    </row>
    <row r="147">
      <c r="A147" s="45">
        <v>45856.892233796294</v>
      </c>
      <c r="B147" s="7" t="s">
        <v>1159</v>
      </c>
      <c r="C147" s="67" t="s">
        <v>1608</v>
      </c>
      <c r="D147" s="74">
        <v>1.0</v>
      </c>
      <c r="E147" s="74">
        <v>1.0</v>
      </c>
      <c r="F147" s="47">
        <v>124.99</v>
      </c>
      <c r="G147" s="47">
        <v>0.0</v>
      </c>
      <c r="H147" s="7"/>
      <c r="I147" s="47">
        <v>5.8</v>
      </c>
      <c r="J147" s="8"/>
      <c r="K147" s="7"/>
      <c r="L147" s="7"/>
      <c r="M147" s="7"/>
      <c r="N147" s="7"/>
      <c r="O147" s="7" t="s">
        <v>490</v>
      </c>
      <c r="P147" s="7" t="s">
        <v>1160</v>
      </c>
      <c r="Q147" s="7"/>
      <c r="R147" s="7" t="s">
        <v>1161</v>
      </c>
      <c r="S147" s="7" t="s">
        <v>939</v>
      </c>
      <c r="T147" s="65">
        <v>2134.0</v>
      </c>
      <c r="U147" s="7"/>
      <c r="V147" s="7"/>
    </row>
    <row r="148">
      <c r="A148" s="45">
        <v>45856.89077546296</v>
      </c>
      <c r="B148" s="7" t="s">
        <v>1610</v>
      </c>
      <c r="C148" s="67" t="s">
        <v>1608</v>
      </c>
      <c r="D148" s="74">
        <v>1.0</v>
      </c>
      <c r="E148" s="74">
        <v>1.0</v>
      </c>
      <c r="F148" s="47">
        <v>134.46</v>
      </c>
      <c r="G148" s="47">
        <v>0.0</v>
      </c>
      <c r="H148" s="7"/>
      <c r="I148" s="47">
        <v>4.2</v>
      </c>
      <c r="J148" s="8"/>
      <c r="K148" s="7"/>
      <c r="L148" s="7"/>
      <c r="M148" s="7"/>
      <c r="N148" s="7"/>
      <c r="O148" s="7" t="s">
        <v>490</v>
      </c>
      <c r="P148" s="7" t="s">
        <v>1611</v>
      </c>
      <c r="Q148" s="7"/>
      <c r="R148" s="7" t="s">
        <v>1612</v>
      </c>
      <c r="S148" s="7" t="s">
        <v>493</v>
      </c>
      <c r="T148" s="65">
        <v>2135.0</v>
      </c>
      <c r="U148" s="7"/>
      <c r="V148" s="7"/>
    </row>
    <row r="149">
      <c r="A149" s="45">
        <v>45856.885983796295</v>
      </c>
      <c r="B149" s="7" t="s">
        <v>1037</v>
      </c>
      <c r="C149" s="7" t="s">
        <v>63</v>
      </c>
      <c r="D149" s="74">
        <v>1.0</v>
      </c>
      <c r="E149" s="46"/>
      <c r="F149" s="47">
        <v>37.78</v>
      </c>
      <c r="G149" s="47">
        <v>0.0</v>
      </c>
      <c r="H149" s="7"/>
      <c r="I149" s="47">
        <v>1.4</v>
      </c>
      <c r="J149" s="8"/>
      <c r="K149" s="7"/>
      <c r="L149" s="7"/>
      <c r="M149" s="7"/>
      <c r="N149" s="7"/>
      <c r="O149" s="7" t="s">
        <v>490</v>
      </c>
      <c r="P149" s="7" t="s">
        <v>1038</v>
      </c>
      <c r="Q149" s="7"/>
      <c r="R149" s="7" t="s">
        <v>1039</v>
      </c>
      <c r="S149" s="7" t="s">
        <v>493</v>
      </c>
      <c r="T149" s="65">
        <v>2131.0</v>
      </c>
      <c r="U149" s="7"/>
      <c r="V149" s="7"/>
    </row>
    <row r="150">
      <c r="A150" s="45">
        <v>45856.879791666666</v>
      </c>
      <c r="B150" s="7" t="s">
        <v>133</v>
      </c>
      <c r="C150" s="7" t="s">
        <v>63</v>
      </c>
      <c r="D150" s="74">
        <v>1.0</v>
      </c>
      <c r="E150" s="46"/>
      <c r="F150" s="47">
        <v>24.99</v>
      </c>
      <c r="G150" s="47">
        <v>0.0</v>
      </c>
      <c r="H150" s="7"/>
      <c r="I150" s="47">
        <v>1.02</v>
      </c>
      <c r="J150" s="8"/>
      <c r="K150" s="7"/>
      <c r="L150" s="7"/>
      <c r="M150" s="7"/>
      <c r="N150" s="7"/>
      <c r="O150" s="7" t="s">
        <v>490</v>
      </c>
      <c r="P150" s="7" t="s">
        <v>843</v>
      </c>
      <c r="Q150" s="7"/>
      <c r="R150" s="7" t="s">
        <v>1613</v>
      </c>
      <c r="S150" s="7" t="s">
        <v>493</v>
      </c>
      <c r="T150" s="65">
        <v>2130.0</v>
      </c>
      <c r="U150" s="7"/>
      <c r="V150" s="7"/>
    </row>
    <row r="151">
      <c r="A151" s="45">
        <v>45856.86849537037</v>
      </c>
      <c r="B151" s="7" t="s">
        <v>316</v>
      </c>
      <c r="C151" s="7" t="s">
        <v>63</v>
      </c>
      <c r="D151" s="74">
        <v>1.0</v>
      </c>
      <c r="E151" s="46"/>
      <c r="F151" s="47">
        <v>24.99</v>
      </c>
      <c r="G151" s="47">
        <v>0.0</v>
      </c>
      <c r="H151" s="7"/>
      <c r="I151" s="47">
        <v>1.02</v>
      </c>
      <c r="J151" s="8"/>
      <c r="K151" s="7"/>
      <c r="L151" s="7"/>
      <c r="M151" s="7"/>
      <c r="N151" s="7"/>
      <c r="O151" s="7" t="s">
        <v>490</v>
      </c>
      <c r="P151" s="7"/>
      <c r="Q151" s="7"/>
      <c r="R151" s="7"/>
      <c r="S151" s="7" t="s">
        <v>493</v>
      </c>
      <c r="T151" s="65">
        <v>2128.0</v>
      </c>
      <c r="U151" s="7"/>
      <c r="V151" s="7"/>
    </row>
    <row r="152">
      <c r="A152" s="45">
        <v>45856.86616898148</v>
      </c>
      <c r="B152" s="7" t="s">
        <v>1614</v>
      </c>
      <c r="C152" s="7" t="s">
        <v>63</v>
      </c>
      <c r="D152" s="74">
        <v>1.0</v>
      </c>
      <c r="E152" s="46"/>
      <c r="F152" s="47">
        <v>37.15</v>
      </c>
      <c r="G152" s="47">
        <v>0.0</v>
      </c>
      <c r="H152" s="7"/>
      <c r="I152" s="47">
        <v>1.38</v>
      </c>
      <c r="J152" s="8"/>
      <c r="K152" s="7"/>
      <c r="L152" s="7"/>
      <c r="M152" s="7"/>
      <c r="N152" s="7"/>
      <c r="O152" s="7" t="s">
        <v>490</v>
      </c>
      <c r="P152" s="7" t="s">
        <v>1615</v>
      </c>
      <c r="Q152" s="7"/>
      <c r="R152" s="7" t="s">
        <v>1616</v>
      </c>
      <c r="S152" s="7" t="s">
        <v>493</v>
      </c>
      <c r="T152" s="65">
        <v>2126.0</v>
      </c>
      <c r="U152" s="7"/>
      <c r="V152" s="7"/>
    </row>
    <row r="153">
      <c r="A153" s="45">
        <v>45856.86539351852</v>
      </c>
      <c r="B153" s="7" t="s">
        <v>1617</v>
      </c>
      <c r="C153" s="7" t="s">
        <v>63</v>
      </c>
      <c r="D153" s="74">
        <v>1.0</v>
      </c>
      <c r="E153" s="46"/>
      <c r="F153" s="47">
        <v>34.46</v>
      </c>
      <c r="G153" s="47">
        <v>0.0</v>
      </c>
      <c r="H153" s="7"/>
      <c r="I153" s="47">
        <v>1.3</v>
      </c>
      <c r="J153" s="8"/>
      <c r="K153" s="7"/>
      <c r="L153" s="7"/>
      <c r="M153" s="7"/>
      <c r="N153" s="7"/>
      <c r="O153" s="7" t="s">
        <v>490</v>
      </c>
      <c r="P153" s="7" t="s">
        <v>1618</v>
      </c>
      <c r="Q153" s="7"/>
      <c r="R153" s="7" t="s">
        <v>1619</v>
      </c>
      <c r="S153" s="7" t="s">
        <v>493</v>
      </c>
      <c r="T153" s="65">
        <v>2127.0</v>
      </c>
      <c r="U153" s="7"/>
      <c r="V153" s="7"/>
    </row>
    <row r="154">
      <c r="A154" s="45">
        <v>45856.86474537037</v>
      </c>
      <c r="B154" s="7" t="s">
        <v>204</v>
      </c>
      <c r="C154" s="7" t="s">
        <v>63</v>
      </c>
      <c r="D154" s="74">
        <v>1.0</v>
      </c>
      <c r="E154" s="46"/>
      <c r="F154" s="47">
        <v>24.99</v>
      </c>
      <c r="G154" s="47">
        <v>0.0</v>
      </c>
      <c r="H154" s="7"/>
      <c r="I154" s="47">
        <v>1.4</v>
      </c>
      <c r="J154" s="8"/>
      <c r="K154" s="7"/>
      <c r="L154" s="7"/>
      <c r="M154" s="7"/>
      <c r="N154" s="7"/>
      <c r="O154" s="7" t="s">
        <v>490</v>
      </c>
      <c r="P154" s="7" t="s">
        <v>1113</v>
      </c>
      <c r="Q154" s="65">
        <v>46.0</v>
      </c>
      <c r="R154" s="7" t="s">
        <v>1114</v>
      </c>
      <c r="S154" s="7" t="s">
        <v>525</v>
      </c>
      <c r="T154" s="65">
        <v>2124.0</v>
      </c>
      <c r="U154" s="7"/>
      <c r="V154" s="7"/>
    </row>
    <row r="155">
      <c r="A155" s="45">
        <v>45856.861180555556</v>
      </c>
      <c r="B155" s="7" t="s">
        <v>370</v>
      </c>
      <c r="C155" s="67" t="s">
        <v>1608</v>
      </c>
      <c r="D155" s="74">
        <v>1.0</v>
      </c>
      <c r="E155" s="74">
        <v>1.0</v>
      </c>
      <c r="F155" s="47">
        <v>124.99</v>
      </c>
      <c r="G155" s="47">
        <v>0.0</v>
      </c>
      <c r="H155" s="7"/>
      <c r="I155" s="47">
        <v>3.92</v>
      </c>
      <c r="J155" s="8"/>
      <c r="K155" s="7"/>
      <c r="L155" s="7"/>
      <c r="M155" s="7"/>
      <c r="N155" s="7"/>
      <c r="O155" s="7" t="s">
        <v>490</v>
      </c>
      <c r="P155" s="7" t="s">
        <v>1094</v>
      </c>
      <c r="Q155" s="7"/>
      <c r="R155" s="7" t="s">
        <v>1095</v>
      </c>
      <c r="S155" s="7" t="s">
        <v>493</v>
      </c>
      <c r="T155" s="65">
        <v>2121.0</v>
      </c>
      <c r="U155" s="7"/>
      <c r="V155" s="7"/>
    </row>
    <row r="156">
      <c r="A156" s="45">
        <v>45856.85864583333</v>
      </c>
      <c r="B156" s="7" t="s">
        <v>816</v>
      </c>
      <c r="C156" s="7" t="s">
        <v>63</v>
      </c>
      <c r="D156" s="74">
        <v>1.0</v>
      </c>
      <c r="E156" s="46"/>
      <c r="F156" s="47">
        <v>24.99</v>
      </c>
      <c r="G156" s="47">
        <v>0.0</v>
      </c>
      <c r="H156" s="7"/>
      <c r="I156" s="47">
        <v>1.02</v>
      </c>
      <c r="J156" s="8"/>
      <c r="K156" s="7"/>
      <c r="L156" s="7"/>
      <c r="M156" s="7"/>
      <c r="N156" s="7"/>
      <c r="O156" s="7" t="s">
        <v>490</v>
      </c>
      <c r="P156" s="7" t="s">
        <v>817</v>
      </c>
      <c r="Q156" s="7"/>
      <c r="R156" s="7" t="s">
        <v>818</v>
      </c>
      <c r="S156" s="7" t="s">
        <v>493</v>
      </c>
      <c r="T156" s="65">
        <v>2120.0</v>
      </c>
      <c r="U156" s="7"/>
      <c r="V156" s="7"/>
    </row>
    <row r="157">
      <c r="A157" s="45">
        <v>45856.85047453704</v>
      </c>
      <c r="B157" s="7" t="s">
        <v>709</v>
      </c>
      <c r="C157" s="7" t="s">
        <v>63</v>
      </c>
      <c r="D157" s="74">
        <v>1.0</v>
      </c>
      <c r="E157" s="46"/>
      <c r="F157" s="47">
        <v>24.99</v>
      </c>
      <c r="G157" s="47">
        <v>0.0</v>
      </c>
      <c r="H157" s="7"/>
      <c r="I157" s="47">
        <v>1.4</v>
      </c>
      <c r="J157" s="8"/>
      <c r="K157" s="7"/>
      <c r="L157" s="7"/>
      <c r="M157" s="7"/>
      <c r="N157" s="7"/>
      <c r="O157" s="7" t="s">
        <v>490</v>
      </c>
      <c r="P157" s="7" t="s">
        <v>711</v>
      </c>
      <c r="Q157" s="7" t="s">
        <v>710</v>
      </c>
      <c r="R157" s="7" t="s">
        <v>712</v>
      </c>
      <c r="S157" s="7" t="s">
        <v>545</v>
      </c>
      <c r="T157" s="65">
        <v>2118.0</v>
      </c>
      <c r="U157" s="7"/>
      <c r="V157" s="7"/>
    </row>
    <row r="158">
      <c r="A158" s="45">
        <v>45856.83195601852</v>
      </c>
      <c r="B158" s="7" t="s">
        <v>178</v>
      </c>
      <c r="C158" s="7" t="s">
        <v>63</v>
      </c>
      <c r="D158" s="74">
        <v>1.0</v>
      </c>
      <c r="E158" s="46"/>
      <c r="F158" s="47">
        <v>24.99</v>
      </c>
      <c r="G158" s="47">
        <v>0.0</v>
      </c>
      <c r="H158" s="7"/>
      <c r="I158" s="47">
        <v>1.02</v>
      </c>
      <c r="J158" s="8"/>
      <c r="K158" s="7"/>
      <c r="L158" s="7"/>
      <c r="M158" s="7"/>
      <c r="N158" s="7"/>
      <c r="O158" s="7" t="s">
        <v>490</v>
      </c>
      <c r="P158" s="7" t="s">
        <v>700</v>
      </c>
      <c r="Q158" s="7"/>
      <c r="R158" s="7" t="s">
        <v>701</v>
      </c>
      <c r="S158" s="7" t="s">
        <v>493</v>
      </c>
      <c r="T158" s="65">
        <v>2116.0</v>
      </c>
      <c r="U158" s="7"/>
      <c r="V158" s="7"/>
    </row>
    <row r="159">
      <c r="A159" s="45">
        <v>45856.81486111111</v>
      </c>
      <c r="B159" s="7" t="s">
        <v>526</v>
      </c>
      <c r="C159" s="7" t="s">
        <v>63</v>
      </c>
      <c r="D159" s="74">
        <v>1.0</v>
      </c>
      <c r="E159" s="46"/>
      <c r="F159" s="47">
        <v>24.99</v>
      </c>
      <c r="G159" s="47">
        <v>0.0</v>
      </c>
      <c r="H159" s="7"/>
      <c r="I159" s="47">
        <v>1.4</v>
      </c>
      <c r="J159" s="8"/>
      <c r="K159" s="7"/>
      <c r="L159" s="7"/>
      <c r="M159" s="7"/>
      <c r="N159" s="7"/>
      <c r="O159" s="7" t="s">
        <v>490</v>
      </c>
      <c r="P159" s="7" t="s">
        <v>527</v>
      </c>
      <c r="Q159" s="7"/>
      <c r="R159" s="7" t="s">
        <v>528</v>
      </c>
      <c r="S159" s="7" t="s">
        <v>525</v>
      </c>
      <c r="T159" s="65">
        <v>2112.0</v>
      </c>
      <c r="U159" s="7"/>
      <c r="V159" s="7"/>
    </row>
    <row r="160">
      <c r="A160" s="45">
        <v>45856.813206018516</v>
      </c>
      <c r="B160" s="7" t="s">
        <v>1280</v>
      </c>
      <c r="C160" s="7" t="s">
        <v>63</v>
      </c>
      <c r="D160" s="74">
        <v>1.0</v>
      </c>
      <c r="E160" s="46"/>
      <c r="F160" s="47">
        <v>24.99</v>
      </c>
      <c r="G160" s="47">
        <v>0.0</v>
      </c>
      <c r="H160" s="7"/>
      <c r="I160" s="47">
        <v>1.02</v>
      </c>
      <c r="J160" s="8"/>
      <c r="K160" s="7"/>
      <c r="L160" s="7"/>
      <c r="M160" s="7"/>
      <c r="N160" s="7"/>
      <c r="O160" s="7" t="s">
        <v>490</v>
      </c>
      <c r="P160" s="7" t="s">
        <v>1281</v>
      </c>
      <c r="Q160" s="7" t="s">
        <v>1282</v>
      </c>
      <c r="R160" s="7" t="s">
        <v>1283</v>
      </c>
      <c r="S160" s="7" t="s">
        <v>493</v>
      </c>
      <c r="T160" s="65">
        <v>2109.0</v>
      </c>
      <c r="U160" s="7"/>
      <c r="V160" s="7"/>
    </row>
    <row r="161">
      <c r="A161" s="45">
        <v>45856.80704861111</v>
      </c>
      <c r="B161" s="7" t="s">
        <v>132</v>
      </c>
      <c r="C161" s="7" t="s">
        <v>63</v>
      </c>
      <c r="D161" s="74">
        <v>1.0</v>
      </c>
      <c r="E161" s="46"/>
      <c r="F161" s="47">
        <v>24.99</v>
      </c>
      <c r="G161" s="47">
        <v>0.0</v>
      </c>
      <c r="H161" s="7"/>
      <c r="I161" s="47">
        <v>1.4</v>
      </c>
      <c r="J161" s="8"/>
      <c r="K161" s="7"/>
      <c r="L161" s="7"/>
      <c r="M161" s="7"/>
      <c r="N161" s="7"/>
      <c r="O161" s="7" t="s">
        <v>490</v>
      </c>
      <c r="P161" s="7" t="s">
        <v>821</v>
      </c>
      <c r="Q161" s="7"/>
      <c r="R161" s="7" t="s">
        <v>822</v>
      </c>
      <c r="S161" s="7" t="s">
        <v>823</v>
      </c>
      <c r="T161" s="65">
        <v>2108.0</v>
      </c>
      <c r="U161" s="7"/>
      <c r="V161" s="7"/>
    </row>
    <row r="162">
      <c r="A162" s="45">
        <v>45856.80335648148</v>
      </c>
      <c r="B162" s="7" t="s">
        <v>137</v>
      </c>
      <c r="C162" s="67" t="s">
        <v>1608</v>
      </c>
      <c r="D162" s="74">
        <v>1.0</v>
      </c>
      <c r="E162" s="74">
        <v>1.0</v>
      </c>
      <c r="F162" s="47">
        <v>137.22</v>
      </c>
      <c r="G162" s="47">
        <v>0.0</v>
      </c>
      <c r="H162" s="7"/>
      <c r="I162" s="47">
        <v>4.28</v>
      </c>
      <c r="J162" s="8"/>
      <c r="K162" s="7"/>
      <c r="L162" s="7"/>
      <c r="M162" s="7"/>
      <c r="N162" s="7"/>
      <c r="O162" s="7" t="s">
        <v>490</v>
      </c>
      <c r="P162" s="7" t="s">
        <v>1230</v>
      </c>
      <c r="Q162" s="7"/>
      <c r="R162" s="7" t="s">
        <v>1231</v>
      </c>
      <c r="S162" s="7" t="s">
        <v>493</v>
      </c>
      <c r="T162" s="65">
        <v>2107.0</v>
      </c>
      <c r="U162" s="7"/>
      <c r="V162" s="7"/>
    </row>
    <row r="163">
      <c r="A163" s="45">
        <v>45856.802615740744</v>
      </c>
      <c r="B163" s="7" t="s">
        <v>304</v>
      </c>
      <c r="C163" s="7" t="s">
        <v>63</v>
      </c>
      <c r="D163" s="74">
        <v>1.0</v>
      </c>
      <c r="E163" s="46"/>
      <c r="F163" s="47">
        <v>24.99</v>
      </c>
      <c r="G163" s="47">
        <v>0.0</v>
      </c>
      <c r="H163" s="7"/>
      <c r="I163" s="47">
        <v>1.02</v>
      </c>
      <c r="J163" s="8"/>
      <c r="K163" s="7"/>
      <c r="L163" s="7"/>
      <c r="M163" s="7"/>
      <c r="N163" s="7"/>
      <c r="O163" s="7" t="s">
        <v>490</v>
      </c>
      <c r="P163" s="7" t="s">
        <v>1620</v>
      </c>
      <c r="Q163" s="7"/>
      <c r="R163" s="7" t="s">
        <v>775</v>
      </c>
      <c r="S163" s="7" t="s">
        <v>493</v>
      </c>
      <c r="T163" s="65">
        <v>2106.0</v>
      </c>
      <c r="U163" s="7"/>
      <c r="V163" s="7"/>
    </row>
    <row r="164">
      <c r="A164" s="45">
        <v>45856.80056712963</v>
      </c>
      <c r="B164" s="7" t="s">
        <v>614</v>
      </c>
      <c r="C164" s="7" t="s">
        <v>63</v>
      </c>
      <c r="D164" s="74">
        <v>1.0</v>
      </c>
      <c r="E164" s="46"/>
      <c r="F164" s="47">
        <v>24.99</v>
      </c>
      <c r="G164" s="47">
        <v>0.0</v>
      </c>
      <c r="H164" s="7"/>
      <c r="I164" s="47">
        <v>1.4</v>
      </c>
      <c r="J164" s="8"/>
      <c r="K164" s="7"/>
      <c r="L164" s="7"/>
      <c r="M164" s="7"/>
      <c r="N164" s="7"/>
      <c r="O164" s="7" t="s">
        <v>490</v>
      </c>
      <c r="P164" s="7" t="s">
        <v>615</v>
      </c>
      <c r="Q164" s="7"/>
      <c r="R164" s="7" t="s">
        <v>616</v>
      </c>
      <c r="S164" s="7" t="s">
        <v>617</v>
      </c>
      <c r="T164" s="65">
        <v>2103.0</v>
      </c>
      <c r="U164" s="7"/>
      <c r="V164" s="7"/>
    </row>
    <row r="165">
      <c r="A165" s="45">
        <v>45856.796944444446</v>
      </c>
      <c r="B165" s="7" t="s">
        <v>860</v>
      </c>
      <c r="C165" s="7" t="s">
        <v>63</v>
      </c>
      <c r="D165" s="74">
        <v>1.0</v>
      </c>
      <c r="E165" s="46"/>
      <c r="F165" s="47">
        <v>24.99</v>
      </c>
      <c r="G165" s="47">
        <v>0.0</v>
      </c>
      <c r="H165" s="7"/>
      <c r="I165" s="47">
        <v>1.02</v>
      </c>
      <c r="J165" s="8"/>
      <c r="K165" s="7"/>
      <c r="L165" s="7"/>
      <c r="M165" s="7"/>
      <c r="N165" s="7"/>
      <c r="O165" s="7" t="s">
        <v>490</v>
      </c>
      <c r="P165" s="7" t="s">
        <v>861</v>
      </c>
      <c r="Q165" s="7"/>
      <c r="R165" s="7" t="s">
        <v>862</v>
      </c>
      <c r="S165" s="7" t="s">
        <v>493</v>
      </c>
      <c r="T165" s="65">
        <v>2104.0</v>
      </c>
      <c r="U165" s="7"/>
      <c r="V165" s="7"/>
    </row>
    <row r="166">
      <c r="A166" s="45">
        <v>45856.79530092593</v>
      </c>
      <c r="B166" s="7" t="s">
        <v>353</v>
      </c>
      <c r="C166" s="7" t="s">
        <v>63</v>
      </c>
      <c r="D166" s="74">
        <v>1.0</v>
      </c>
      <c r="E166" s="46"/>
      <c r="F166" s="47">
        <v>46.46</v>
      </c>
      <c r="G166" s="47">
        <v>0.0</v>
      </c>
      <c r="H166" s="7"/>
      <c r="I166" s="47">
        <v>2.34</v>
      </c>
      <c r="J166" s="8"/>
      <c r="K166" s="7"/>
      <c r="L166" s="7"/>
      <c r="M166" s="7"/>
      <c r="N166" s="7"/>
      <c r="O166" s="7" t="s">
        <v>490</v>
      </c>
      <c r="P166" s="7" t="s">
        <v>1621</v>
      </c>
      <c r="Q166" s="7"/>
      <c r="R166" s="7" t="s">
        <v>1264</v>
      </c>
      <c r="S166" s="7" t="s">
        <v>545</v>
      </c>
      <c r="T166" s="65">
        <v>2100.0</v>
      </c>
      <c r="U166" s="7"/>
      <c r="V166" s="7"/>
    </row>
    <row r="167">
      <c r="A167" s="45">
        <v>45856.79369212963</v>
      </c>
      <c r="B167" s="7" t="s">
        <v>1250</v>
      </c>
      <c r="C167" s="7" t="s">
        <v>63</v>
      </c>
      <c r="D167" s="74">
        <v>1.0</v>
      </c>
      <c r="E167" s="46"/>
      <c r="F167" s="47">
        <v>24.99</v>
      </c>
      <c r="G167" s="47">
        <v>0.0</v>
      </c>
      <c r="H167" s="7"/>
      <c r="I167" s="47">
        <v>1.4</v>
      </c>
      <c r="J167" s="8"/>
      <c r="K167" s="7"/>
      <c r="L167" s="7"/>
      <c r="M167" s="7"/>
      <c r="N167" s="7"/>
      <c r="O167" s="7" t="s">
        <v>490</v>
      </c>
      <c r="P167" s="7" t="s">
        <v>1622</v>
      </c>
      <c r="Q167" s="7"/>
      <c r="R167" s="7" t="s">
        <v>1252</v>
      </c>
      <c r="S167" s="7" t="s">
        <v>525</v>
      </c>
      <c r="T167" s="65">
        <v>2095.0</v>
      </c>
      <c r="U167" s="7"/>
      <c r="V167" s="7"/>
    </row>
    <row r="168">
      <c r="A168" s="45">
        <v>45856.78892361111</v>
      </c>
      <c r="B168" s="7" t="s">
        <v>442</v>
      </c>
      <c r="C168" s="67" t="s">
        <v>1608</v>
      </c>
      <c r="D168" s="74">
        <v>1.0</v>
      </c>
      <c r="E168" s="74">
        <v>1.0</v>
      </c>
      <c r="F168" s="47">
        <v>124.99</v>
      </c>
      <c r="G168" s="47">
        <v>0.0</v>
      </c>
      <c r="H168" s="7"/>
      <c r="I168" s="47">
        <v>3.92</v>
      </c>
      <c r="J168" s="8"/>
      <c r="K168" s="7"/>
      <c r="L168" s="7"/>
      <c r="M168" s="7"/>
      <c r="N168" s="7"/>
      <c r="O168" s="7" t="s">
        <v>490</v>
      </c>
      <c r="P168" s="7" t="s">
        <v>1623</v>
      </c>
      <c r="Q168" s="7"/>
      <c r="R168" s="7" t="s">
        <v>1349</v>
      </c>
      <c r="S168" s="7" t="s">
        <v>493</v>
      </c>
      <c r="T168" s="65">
        <v>2096.0</v>
      </c>
      <c r="U168" s="7"/>
      <c r="V168" s="7"/>
    </row>
    <row r="169">
      <c r="A169" s="45">
        <v>45856.78443287037</v>
      </c>
      <c r="B169" s="7" t="s">
        <v>906</v>
      </c>
      <c r="C169" s="7" t="s">
        <v>63</v>
      </c>
      <c r="D169" s="74">
        <v>1.0</v>
      </c>
      <c r="E169" s="46"/>
      <c r="F169" s="47">
        <v>34.46</v>
      </c>
      <c r="G169" s="47">
        <v>0.0</v>
      </c>
      <c r="H169" s="7"/>
      <c r="I169" s="47">
        <v>1.3</v>
      </c>
      <c r="J169" s="8"/>
      <c r="K169" s="7"/>
      <c r="L169" s="7"/>
      <c r="M169" s="7"/>
      <c r="N169" s="7"/>
      <c r="O169" s="7" t="s">
        <v>490</v>
      </c>
      <c r="P169" s="7" t="s">
        <v>907</v>
      </c>
      <c r="Q169" s="7"/>
      <c r="R169" s="7" t="s">
        <v>854</v>
      </c>
      <c r="S169" s="7" t="s">
        <v>493</v>
      </c>
      <c r="T169" s="65">
        <v>2087.0</v>
      </c>
      <c r="U169" s="7"/>
      <c r="V169" s="7"/>
    </row>
    <row r="170">
      <c r="A170" s="45">
        <v>45856.78429398148</v>
      </c>
      <c r="B170" s="7" t="s">
        <v>279</v>
      </c>
      <c r="C170" s="7" t="s">
        <v>63</v>
      </c>
      <c r="D170" s="74">
        <v>1.0</v>
      </c>
      <c r="E170" s="46"/>
      <c r="F170" s="47">
        <v>24.99</v>
      </c>
      <c r="G170" s="47">
        <v>0.0</v>
      </c>
      <c r="H170" s="7"/>
      <c r="I170" s="47">
        <v>1.02</v>
      </c>
      <c r="J170" s="8"/>
      <c r="K170" s="7"/>
      <c r="L170" s="7"/>
      <c r="M170" s="7"/>
      <c r="N170" s="7"/>
      <c r="O170" s="7" t="s">
        <v>490</v>
      </c>
      <c r="P170" s="7"/>
      <c r="Q170" s="7"/>
      <c r="R170" s="7"/>
      <c r="S170" s="7" t="s">
        <v>493</v>
      </c>
      <c r="T170" s="65">
        <v>2088.0</v>
      </c>
      <c r="U170" s="7"/>
      <c r="V170" s="7"/>
    </row>
    <row r="171">
      <c r="A171" s="45">
        <v>45856.783125</v>
      </c>
      <c r="B171" s="7" t="s">
        <v>1207</v>
      </c>
      <c r="C171" s="7" t="s">
        <v>63</v>
      </c>
      <c r="D171" s="74">
        <v>1.0</v>
      </c>
      <c r="E171" s="46"/>
      <c r="F171" s="47">
        <v>36.81</v>
      </c>
      <c r="G171" s="47">
        <v>0.0</v>
      </c>
      <c r="H171" s="7"/>
      <c r="I171" s="47">
        <v>1.37</v>
      </c>
      <c r="J171" s="8"/>
      <c r="K171" s="7"/>
      <c r="L171" s="7"/>
      <c r="M171" s="7"/>
      <c r="N171" s="7"/>
      <c r="O171" s="7" t="s">
        <v>490</v>
      </c>
      <c r="P171" s="7" t="s">
        <v>1208</v>
      </c>
      <c r="Q171" s="7"/>
      <c r="R171" s="7" t="s">
        <v>1209</v>
      </c>
      <c r="S171" s="7" t="s">
        <v>493</v>
      </c>
      <c r="T171" s="65">
        <v>2092.0</v>
      </c>
      <c r="U171" s="7"/>
      <c r="V171" s="7"/>
    </row>
    <row r="172">
      <c r="A172" s="45">
        <v>45856.78167824074</v>
      </c>
      <c r="B172" s="7" t="s">
        <v>217</v>
      </c>
      <c r="C172" s="7" t="s">
        <v>63</v>
      </c>
      <c r="D172" s="74">
        <v>1.0</v>
      </c>
      <c r="E172" s="46"/>
      <c r="F172" s="47">
        <v>24.99</v>
      </c>
      <c r="G172" s="47">
        <v>0.0</v>
      </c>
      <c r="H172" s="7"/>
      <c r="I172" s="47">
        <v>1.4</v>
      </c>
      <c r="J172" s="8"/>
      <c r="K172" s="7"/>
      <c r="L172" s="7"/>
      <c r="M172" s="7"/>
      <c r="N172" s="7"/>
      <c r="O172" s="7" t="s">
        <v>490</v>
      </c>
      <c r="P172" s="7" t="s">
        <v>1148</v>
      </c>
      <c r="Q172" s="7" t="s">
        <v>1149</v>
      </c>
      <c r="R172" s="7" t="s">
        <v>1150</v>
      </c>
      <c r="S172" s="7" t="s">
        <v>555</v>
      </c>
      <c r="T172" s="65">
        <v>2091.0</v>
      </c>
      <c r="U172" s="7"/>
      <c r="V172" s="7"/>
    </row>
    <row r="173">
      <c r="A173" s="45">
        <v>45856.78042824074</v>
      </c>
      <c r="B173" s="7" t="s">
        <v>433</v>
      </c>
      <c r="C173" s="67" t="s">
        <v>1608</v>
      </c>
      <c r="D173" s="74">
        <v>1.0</v>
      </c>
      <c r="E173" s="74">
        <v>1.0</v>
      </c>
      <c r="F173" s="47">
        <v>124.99</v>
      </c>
      <c r="G173" s="47">
        <v>0.0</v>
      </c>
      <c r="H173" s="7"/>
      <c r="I173" s="47">
        <v>3.92</v>
      </c>
      <c r="J173" s="8"/>
      <c r="K173" s="7"/>
      <c r="L173" s="7"/>
      <c r="M173" s="7"/>
      <c r="N173" s="7"/>
      <c r="O173" s="7" t="s">
        <v>490</v>
      </c>
      <c r="P173" s="7" t="s">
        <v>1214</v>
      </c>
      <c r="Q173" s="7" t="s">
        <v>1215</v>
      </c>
      <c r="R173" s="7" t="s">
        <v>850</v>
      </c>
      <c r="S173" s="7" t="s">
        <v>493</v>
      </c>
      <c r="T173" s="65">
        <v>2090.0</v>
      </c>
      <c r="U173" s="7"/>
      <c r="V173" s="7"/>
    </row>
    <row r="174">
      <c r="A174" s="45">
        <v>45856.77887731481</v>
      </c>
      <c r="B174" s="7" t="s">
        <v>1624</v>
      </c>
      <c r="C174" s="67" t="s">
        <v>1608</v>
      </c>
      <c r="D174" s="74">
        <v>1.0</v>
      </c>
      <c r="E174" s="74">
        <v>1.0</v>
      </c>
      <c r="F174" s="47">
        <v>177.97</v>
      </c>
      <c r="G174" s="47">
        <v>0.0</v>
      </c>
      <c r="H174" s="7"/>
      <c r="I174" s="47">
        <v>8.13</v>
      </c>
      <c r="J174" s="8"/>
      <c r="K174" s="7"/>
      <c r="L174" s="7"/>
      <c r="M174" s="7"/>
      <c r="N174" s="7"/>
      <c r="O174" s="7" t="s">
        <v>490</v>
      </c>
      <c r="P174" s="7" t="s">
        <v>1625</v>
      </c>
      <c r="Q174" s="7" t="s">
        <v>1626</v>
      </c>
      <c r="R174" s="7" t="s">
        <v>875</v>
      </c>
      <c r="S174" s="7" t="s">
        <v>555</v>
      </c>
      <c r="T174" s="65">
        <v>2089.0</v>
      </c>
      <c r="U174" s="7"/>
      <c r="V174" s="7"/>
    </row>
    <row r="175">
      <c r="A175" s="45">
        <v>45856.77670138889</v>
      </c>
      <c r="B175" s="7" t="s">
        <v>113</v>
      </c>
      <c r="C175" s="67" t="s">
        <v>1608</v>
      </c>
      <c r="D175" s="74">
        <v>1.0</v>
      </c>
      <c r="E175" s="74">
        <v>1.0</v>
      </c>
      <c r="F175" s="47">
        <v>124.99</v>
      </c>
      <c r="G175" s="47">
        <v>0.0</v>
      </c>
      <c r="H175" s="7"/>
      <c r="I175" s="47">
        <v>5.8</v>
      </c>
      <c r="J175" s="8"/>
      <c r="K175" s="7"/>
      <c r="L175" s="7"/>
      <c r="M175" s="7"/>
      <c r="N175" s="7"/>
      <c r="O175" s="7" t="s">
        <v>490</v>
      </c>
      <c r="P175" s="7" t="s">
        <v>553</v>
      </c>
      <c r="Q175" s="7"/>
      <c r="R175" s="7" t="s">
        <v>554</v>
      </c>
      <c r="S175" s="7" t="s">
        <v>555</v>
      </c>
      <c r="T175" s="65">
        <v>2084.0</v>
      </c>
      <c r="U175" s="7"/>
      <c r="V175" s="7"/>
    </row>
    <row r="176">
      <c r="A176" s="45">
        <v>45856.77233796296</v>
      </c>
      <c r="B176" s="7" t="s">
        <v>194</v>
      </c>
      <c r="C176" s="7" t="s">
        <v>63</v>
      </c>
      <c r="D176" s="74">
        <v>1.0</v>
      </c>
      <c r="E176" s="46"/>
      <c r="F176" s="47">
        <v>24.99</v>
      </c>
      <c r="G176" s="47">
        <v>0.0</v>
      </c>
      <c r="H176" s="7"/>
      <c r="I176" s="47">
        <v>1.4</v>
      </c>
      <c r="J176" s="8"/>
      <c r="K176" s="7"/>
      <c r="L176" s="7"/>
      <c r="M176" s="7"/>
      <c r="N176" s="7"/>
      <c r="O176" s="7" t="s">
        <v>490</v>
      </c>
      <c r="P176" s="7" t="s">
        <v>891</v>
      </c>
      <c r="Q176" s="7"/>
      <c r="R176" s="7" t="s">
        <v>892</v>
      </c>
      <c r="S176" s="7" t="s">
        <v>555</v>
      </c>
      <c r="T176" s="65">
        <v>2080.0</v>
      </c>
      <c r="U176" s="7"/>
      <c r="V176" s="7"/>
    </row>
    <row r="177">
      <c r="A177" s="45">
        <v>45856.77150462963</v>
      </c>
      <c r="B177" s="7" t="s">
        <v>328</v>
      </c>
      <c r="C177" s="7" t="s">
        <v>63</v>
      </c>
      <c r="D177" s="74">
        <v>1.0</v>
      </c>
      <c r="E177" s="46"/>
      <c r="F177" s="47">
        <v>24.99</v>
      </c>
      <c r="G177" s="47">
        <v>0.0</v>
      </c>
      <c r="H177" s="7"/>
      <c r="I177" s="47">
        <v>1.02</v>
      </c>
      <c r="J177" s="8"/>
      <c r="K177" s="7"/>
      <c r="L177" s="7"/>
      <c r="M177" s="7"/>
      <c r="N177" s="7"/>
      <c r="O177" s="7" t="s">
        <v>490</v>
      </c>
      <c r="P177" s="7" t="s">
        <v>1210</v>
      </c>
      <c r="Q177" s="7"/>
      <c r="R177" s="7" t="s">
        <v>1211</v>
      </c>
      <c r="S177" s="7" t="s">
        <v>493</v>
      </c>
      <c r="T177" s="65">
        <v>2077.0</v>
      </c>
      <c r="U177" s="7"/>
      <c r="V177" s="7"/>
    </row>
    <row r="178">
      <c r="A178" s="45">
        <v>45856.76935185185</v>
      </c>
      <c r="B178" s="7" t="s">
        <v>108</v>
      </c>
      <c r="C178" s="67" t="s">
        <v>1608</v>
      </c>
      <c r="D178" s="74">
        <v>1.0</v>
      </c>
      <c r="E178" s="74">
        <v>1.0</v>
      </c>
      <c r="F178" s="47">
        <v>124.99</v>
      </c>
      <c r="G178" s="47">
        <v>0.0</v>
      </c>
      <c r="H178" s="7"/>
      <c r="I178" s="47">
        <v>5.8</v>
      </c>
      <c r="J178" s="8"/>
      <c r="K178" s="7"/>
      <c r="L178" s="7"/>
      <c r="M178" s="7"/>
      <c r="N178" s="7"/>
      <c r="O178" s="7" t="s">
        <v>490</v>
      </c>
      <c r="P178" s="7" t="s">
        <v>543</v>
      </c>
      <c r="Q178" s="7"/>
      <c r="R178" s="7" t="s">
        <v>544</v>
      </c>
      <c r="S178" s="7" t="s">
        <v>545</v>
      </c>
      <c r="T178" s="65">
        <v>2074.0</v>
      </c>
      <c r="U178" s="7"/>
      <c r="V178" s="7"/>
    </row>
    <row r="179">
      <c r="A179" s="45">
        <v>45856.767060185186</v>
      </c>
      <c r="B179" s="7" t="s">
        <v>1627</v>
      </c>
      <c r="C179" s="7" t="s">
        <v>63</v>
      </c>
      <c r="D179" s="74">
        <v>1.0</v>
      </c>
      <c r="E179" s="46"/>
      <c r="F179" s="47">
        <v>24.99</v>
      </c>
      <c r="G179" s="47">
        <v>0.0</v>
      </c>
      <c r="H179" s="7"/>
      <c r="I179" s="47">
        <v>1.4</v>
      </c>
      <c r="J179" s="8"/>
      <c r="K179" s="7"/>
      <c r="L179" s="7"/>
      <c r="M179" s="7"/>
      <c r="N179" s="7"/>
      <c r="O179" s="7" t="s">
        <v>490</v>
      </c>
      <c r="P179" s="7" t="s">
        <v>936</v>
      </c>
      <c r="Q179" s="7" t="s">
        <v>937</v>
      </c>
      <c r="R179" s="7" t="s">
        <v>938</v>
      </c>
      <c r="S179" s="7" t="s">
        <v>939</v>
      </c>
      <c r="T179" s="65">
        <v>2073.0</v>
      </c>
      <c r="U179" s="7"/>
      <c r="V179" s="7"/>
    </row>
    <row r="180">
      <c r="A180" s="45">
        <v>45856.764340277776</v>
      </c>
      <c r="B180" s="7" t="s">
        <v>1628</v>
      </c>
      <c r="C180" s="7" t="s">
        <v>63</v>
      </c>
      <c r="D180" s="74">
        <v>1.0</v>
      </c>
      <c r="E180" s="46"/>
      <c r="F180" s="47">
        <v>49.79</v>
      </c>
      <c r="G180" s="47">
        <v>0.0</v>
      </c>
      <c r="H180" s="7"/>
      <c r="I180" s="47">
        <v>2.49</v>
      </c>
      <c r="J180" s="8"/>
      <c r="K180" s="7"/>
      <c r="L180" s="7"/>
      <c r="M180" s="7"/>
      <c r="N180" s="7"/>
      <c r="O180" s="7" t="s">
        <v>490</v>
      </c>
      <c r="P180" s="7" t="s">
        <v>1629</v>
      </c>
      <c r="Q180" s="7" t="s">
        <v>606</v>
      </c>
      <c r="R180" s="7" t="s">
        <v>607</v>
      </c>
      <c r="S180" s="7" t="s">
        <v>542</v>
      </c>
      <c r="T180" s="65">
        <v>2072.0</v>
      </c>
      <c r="U180" s="7"/>
      <c r="V180" s="7"/>
    </row>
    <row r="181">
      <c r="A181" s="45">
        <v>45856.757685185185</v>
      </c>
      <c r="B181" s="7" t="s">
        <v>1267</v>
      </c>
      <c r="C181" s="7" t="s">
        <v>63</v>
      </c>
      <c r="D181" s="74">
        <v>1.0</v>
      </c>
      <c r="E181" s="46"/>
      <c r="F181" s="47">
        <v>26.49</v>
      </c>
      <c r="G181" s="47">
        <v>0.0</v>
      </c>
      <c r="H181" s="7"/>
      <c r="I181" s="47">
        <v>1.07</v>
      </c>
      <c r="J181" s="8"/>
      <c r="K181" s="7"/>
      <c r="L181" s="7"/>
      <c r="M181" s="7"/>
      <c r="N181" s="7"/>
      <c r="O181" s="7" t="s">
        <v>490</v>
      </c>
      <c r="P181" s="7"/>
      <c r="Q181" s="7"/>
      <c r="R181" s="7"/>
      <c r="S181" s="7" t="s">
        <v>493</v>
      </c>
      <c r="T181" s="65">
        <v>2071.0</v>
      </c>
      <c r="U181" s="7"/>
      <c r="V181" s="7"/>
    </row>
    <row r="182">
      <c r="A182" s="45">
        <v>45856.755208333336</v>
      </c>
      <c r="B182" s="7" t="s">
        <v>313</v>
      </c>
      <c r="C182" s="7" t="s">
        <v>63</v>
      </c>
      <c r="D182" s="74">
        <v>1.0</v>
      </c>
      <c r="E182" s="46"/>
      <c r="F182" s="47">
        <v>37.56</v>
      </c>
      <c r="G182" s="47">
        <v>0.0</v>
      </c>
      <c r="H182" s="7"/>
      <c r="I182" s="47">
        <v>1.39</v>
      </c>
      <c r="J182" s="8"/>
      <c r="K182" s="7"/>
      <c r="L182" s="7"/>
      <c r="M182" s="7"/>
      <c r="N182" s="7"/>
      <c r="O182" s="7" t="s">
        <v>490</v>
      </c>
      <c r="P182" s="7" t="s">
        <v>1015</v>
      </c>
      <c r="Q182" s="7"/>
      <c r="R182" s="7" t="s">
        <v>1016</v>
      </c>
      <c r="S182" s="7" t="s">
        <v>493</v>
      </c>
      <c r="T182" s="65">
        <v>2067.0</v>
      </c>
      <c r="U182" s="7"/>
      <c r="V182" s="7"/>
    </row>
    <row r="183">
      <c r="A183" s="45">
        <v>45856.75405092593</v>
      </c>
      <c r="B183" s="7" t="s">
        <v>1630</v>
      </c>
      <c r="C183" s="67" t="s">
        <v>1608</v>
      </c>
      <c r="D183" s="74">
        <v>1.0</v>
      </c>
      <c r="E183" s="74">
        <v>1.0</v>
      </c>
      <c r="F183" s="47">
        <v>124.99</v>
      </c>
      <c r="G183" s="47">
        <v>0.0</v>
      </c>
      <c r="H183" s="7"/>
      <c r="I183" s="47">
        <v>5.8</v>
      </c>
      <c r="J183" s="8"/>
      <c r="K183" s="7"/>
      <c r="L183" s="7"/>
      <c r="M183" s="7"/>
      <c r="N183" s="7"/>
      <c r="O183" s="7" t="s">
        <v>490</v>
      </c>
      <c r="P183" s="7" t="s">
        <v>1195</v>
      </c>
      <c r="Q183" s="7"/>
      <c r="R183" s="7" t="s">
        <v>1196</v>
      </c>
      <c r="S183" s="7" t="s">
        <v>1197</v>
      </c>
      <c r="T183" s="65">
        <v>2063.0</v>
      </c>
      <c r="U183" s="7"/>
      <c r="V183" s="7"/>
    </row>
    <row r="184">
      <c r="A184" s="45">
        <v>45856.754016203704</v>
      </c>
      <c r="B184" s="7" t="s">
        <v>402</v>
      </c>
      <c r="C184" s="7" t="s">
        <v>63</v>
      </c>
      <c r="D184" s="74">
        <v>1.0</v>
      </c>
      <c r="E184" s="46"/>
      <c r="F184" s="47">
        <v>24.99</v>
      </c>
      <c r="G184" s="47">
        <v>0.0</v>
      </c>
      <c r="H184" s="7"/>
      <c r="I184" s="47">
        <v>1.4</v>
      </c>
      <c r="J184" s="8"/>
      <c r="K184" s="7"/>
      <c r="L184" s="7"/>
      <c r="M184" s="7"/>
      <c r="N184" s="7"/>
      <c r="O184" s="7" t="s">
        <v>490</v>
      </c>
      <c r="P184" s="7" t="s">
        <v>1285</v>
      </c>
      <c r="Q184" s="7"/>
      <c r="R184" s="7" t="s">
        <v>1286</v>
      </c>
      <c r="S184" s="7" t="s">
        <v>1287</v>
      </c>
      <c r="T184" s="65">
        <v>2069.0</v>
      </c>
      <c r="U184" s="7"/>
      <c r="V184" s="7"/>
    </row>
    <row r="185">
      <c r="A185" s="45">
        <v>45856.74835648148</v>
      </c>
      <c r="B185" s="7" t="s">
        <v>307</v>
      </c>
      <c r="C185" s="67" t="s">
        <v>1608</v>
      </c>
      <c r="D185" s="74">
        <v>1.0</v>
      </c>
      <c r="E185" s="74">
        <v>1.0</v>
      </c>
      <c r="F185" s="47">
        <v>124.99</v>
      </c>
      <c r="G185" s="47">
        <v>0.0</v>
      </c>
      <c r="H185" s="7"/>
      <c r="I185" s="47">
        <v>5.8</v>
      </c>
      <c r="J185" s="8"/>
      <c r="K185" s="7"/>
      <c r="L185" s="7"/>
      <c r="M185" s="7"/>
      <c r="N185" s="7"/>
      <c r="O185" s="7" t="s">
        <v>490</v>
      </c>
      <c r="P185" s="7" t="s">
        <v>1631</v>
      </c>
      <c r="Q185" s="7"/>
      <c r="R185" s="7" t="s">
        <v>995</v>
      </c>
      <c r="S185" s="7" t="s">
        <v>545</v>
      </c>
      <c r="T185" s="65">
        <v>2059.0</v>
      </c>
      <c r="U185" s="7"/>
      <c r="V185" s="7"/>
    </row>
    <row r="186">
      <c r="A186" s="45">
        <v>45856.745775462965</v>
      </c>
      <c r="B186" s="7" t="s">
        <v>1127</v>
      </c>
      <c r="C186" s="7" t="s">
        <v>63</v>
      </c>
      <c r="D186" s="74">
        <v>1.0</v>
      </c>
      <c r="E186" s="46"/>
      <c r="F186" s="47">
        <v>24.99</v>
      </c>
      <c r="G186" s="47">
        <v>0.0</v>
      </c>
      <c r="H186" s="7"/>
      <c r="I186" s="47">
        <v>1.02</v>
      </c>
      <c r="J186" s="8"/>
      <c r="K186" s="7"/>
      <c r="L186" s="7"/>
      <c r="M186" s="7"/>
      <c r="N186" s="7"/>
      <c r="O186" s="7" t="s">
        <v>490</v>
      </c>
      <c r="P186" s="7" t="s">
        <v>1128</v>
      </c>
      <c r="Q186" s="7"/>
      <c r="R186" s="7" t="s">
        <v>1129</v>
      </c>
      <c r="S186" s="7" t="s">
        <v>493</v>
      </c>
      <c r="T186" s="65">
        <v>2056.0</v>
      </c>
      <c r="U186" s="7"/>
      <c r="V186" s="7"/>
    </row>
    <row r="187">
      <c r="A187" s="45">
        <v>45856.74550925926</v>
      </c>
      <c r="B187" s="7" t="s">
        <v>232</v>
      </c>
      <c r="C187" s="7" t="s">
        <v>63</v>
      </c>
      <c r="D187" s="74">
        <v>1.0</v>
      </c>
      <c r="E187" s="46"/>
      <c r="F187" s="47">
        <v>24.99</v>
      </c>
      <c r="G187" s="47">
        <v>0.0</v>
      </c>
      <c r="H187" s="7"/>
      <c r="I187" s="47">
        <v>1.02</v>
      </c>
      <c r="J187" s="8"/>
      <c r="K187" s="7"/>
      <c r="L187" s="7"/>
      <c r="M187" s="7"/>
      <c r="N187" s="7"/>
      <c r="O187" s="7" t="s">
        <v>490</v>
      </c>
      <c r="P187" s="7" t="s">
        <v>1142</v>
      </c>
      <c r="Q187" s="7"/>
      <c r="R187" s="7" t="s">
        <v>567</v>
      </c>
      <c r="S187" s="7" t="s">
        <v>493</v>
      </c>
      <c r="T187" s="65">
        <v>2051.0</v>
      </c>
      <c r="U187" s="7"/>
      <c r="V187" s="7"/>
    </row>
    <row r="188">
      <c r="A188" s="45">
        <v>45856.7449537037</v>
      </c>
      <c r="B188" s="7" t="s">
        <v>1394</v>
      </c>
      <c r="C188" s="67" t="s">
        <v>1608</v>
      </c>
      <c r="D188" s="74">
        <v>1.0</v>
      </c>
      <c r="E188" s="74">
        <v>1.0</v>
      </c>
      <c r="F188" s="47">
        <v>149.69</v>
      </c>
      <c r="G188" s="47">
        <v>0.0</v>
      </c>
      <c r="H188" s="7"/>
      <c r="I188" s="47">
        <v>6.89</v>
      </c>
      <c r="J188" s="8"/>
      <c r="K188" s="7"/>
      <c r="L188" s="7"/>
      <c r="M188" s="7"/>
      <c r="N188" s="7"/>
      <c r="O188" s="7" t="s">
        <v>490</v>
      </c>
      <c r="P188" s="7" t="s">
        <v>1395</v>
      </c>
      <c r="Q188" s="7"/>
      <c r="R188" s="7" t="s">
        <v>1396</v>
      </c>
      <c r="S188" s="7" t="s">
        <v>542</v>
      </c>
      <c r="T188" s="65">
        <v>2055.0</v>
      </c>
      <c r="U188" s="7"/>
      <c r="V188" s="7"/>
    </row>
    <row r="189">
      <c r="A189" s="45">
        <v>45856.741435185184</v>
      </c>
      <c r="B189" s="7" t="s">
        <v>1632</v>
      </c>
      <c r="C189" s="7" t="s">
        <v>63</v>
      </c>
      <c r="D189" s="74">
        <v>1.0</v>
      </c>
      <c r="E189" s="46"/>
      <c r="F189" s="47">
        <v>24.99</v>
      </c>
      <c r="G189" s="47">
        <v>0.0</v>
      </c>
      <c r="H189" s="7"/>
      <c r="I189" s="47">
        <v>1.02</v>
      </c>
      <c r="J189" s="8"/>
      <c r="K189" s="7"/>
      <c r="L189" s="7"/>
      <c r="M189" s="7"/>
      <c r="N189" s="7"/>
      <c r="O189" s="7" t="s">
        <v>490</v>
      </c>
      <c r="P189" s="7"/>
      <c r="Q189" s="7"/>
      <c r="R189" s="7"/>
      <c r="S189" s="7" t="s">
        <v>493</v>
      </c>
      <c r="T189" s="65">
        <v>2049.0</v>
      </c>
      <c r="U189" s="7"/>
      <c r="V189" s="7"/>
    </row>
    <row r="190">
      <c r="A190" s="45">
        <v>45856.740902777776</v>
      </c>
      <c r="B190" s="7" t="s">
        <v>344</v>
      </c>
      <c r="C190" s="7" t="s">
        <v>63</v>
      </c>
      <c r="D190" s="74">
        <v>1.0</v>
      </c>
      <c r="E190" s="46"/>
      <c r="F190" s="47">
        <v>24.99</v>
      </c>
      <c r="G190" s="47">
        <v>0.0</v>
      </c>
      <c r="H190" s="7"/>
      <c r="I190" s="47">
        <v>1.4</v>
      </c>
      <c r="J190" s="8"/>
      <c r="K190" s="7"/>
      <c r="L190" s="7"/>
      <c r="M190" s="7"/>
      <c r="N190" s="7"/>
      <c r="O190" s="7" t="s">
        <v>490</v>
      </c>
      <c r="P190" s="7" t="s">
        <v>1189</v>
      </c>
      <c r="Q190" s="7"/>
      <c r="R190" s="7" t="s">
        <v>1190</v>
      </c>
      <c r="S190" s="7" t="s">
        <v>525</v>
      </c>
      <c r="T190" s="65">
        <v>2054.0</v>
      </c>
      <c r="U190" s="7"/>
      <c r="V190" s="7"/>
    </row>
    <row r="191">
      <c r="A191" s="45">
        <v>45856.74013888889</v>
      </c>
      <c r="B191" s="7" t="s">
        <v>205</v>
      </c>
      <c r="C191" s="7" t="s">
        <v>63</v>
      </c>
      <c r="D191" s="74">
        <v>1.0</v>
      </c>
      <c r="E191" s="46"/>
      <c r="F191" s="47">
        <v>24.99</v>
      </c>
      <c r="G191" s="47">
        <v>0.0</v>
      </c>
      <c r="H191" s="7"/>
      <c r="I191" s="47">
        <v>1.4</v>
      </c>
      <c r="J191" s="8"/>
      <c r="K191" s="7"/>
      <c r="L191" s="7"/>
      <c r="M191" s="7"/>
      <c r="N191" s="7"/>
      <c r="O191" s="7" t="s">
        <v>490</v>
      </c>
      <c r="P191" s="7" t="s">
        <v>964</v>
      </c>
      <c r="Q191" s="65">
        <v>7.0</v>
      </c>
      <c r="R191" s="7" t="s">
        <v>965</v>
      </c>
      <c r="S191" s="7" t="s">
        <v>966</v>
      </c>
      <c r="T191" s="65">
        <v>2052.0</v>
      </c>
      <c r="U191" s="7"/>
      <c r="V191" s="7"/>
    </row>
    <row r="192">
      <c r="A192" s="45">
        <v>45856.739074074074</v>
      </c>
      <c r="B192" s="7" t="s">
        <v>799</v>
      </c>
      <c r="C192" s="7" t="s">
        <v>63</v>
      </c>
      <c r="D192" s="74">
        <v>1.0</v>
      </c>
      <c r="E192" s="46"/>
      <c r="F192" s="47">
        <v>24.99</v>
      </c>
      <c r="G192" s="47">
        <v>0.0</v>
      </c>
      <c r="H192" s="7"/>
      <c r="I192" s="47">
        <v>1.4</v>
      </c>
      <c r="J192" s="8"/>
      <c r="K192" s="7"/>
      <c r="L192" s="7"/>
      <c r="M192" s="7"/>
      <c r="N192" s="7"/>
      <c r="O192" s="7" t="s">
        <v>490</v>
      </c>
      <c r="P192" s="7" t="s">
        <v>800</v>
      </c>
      <c r="Q192" s="7"/>
      <c r="R192" s="7" t="s">
        <v>620</v>
      </c>
      <c r="S192" s="7" t="s">
        <v>545</v>
      </c>
      <c r="T192" s="65">
        <v>2050.0</v>
      </c>
      <c r="U192" s="7"/>
      <c r="V192" s="7"/>
    </row>
    <row r="193">
      <c r="A193" s="45">
        <v>45856.73861111111</v>
      </c>
      <c r="B193" s="7" t="s">
        <v>385</v>
      </c>
      <c r="C193" s="7" t="s">
        <v>63</v>
      </c>
      <c r="D193" s="74">
        <v>1.0</v>
      </c>
      <c r="E193" s="46"/>
      <c r="F193" s="47">
        <v>24.99</v>
      </c>
      <c r="G193" s="47">
        <v>0.0</v>
      </c>
      <c r="H193" s="7"/>
      <c r="I193" s="47">
        <v>1.4</v>
      </c>
      <c r="J193" s="8"/>
      <c r="K193" s="7"/>
      <c r="L193" s="7"/>
      <c r="M193" s="7"/>
      <c r="N193" s="7"/>
      <c r="O193" s="7" t="s">
        <v>490</v>
      </c>
      <c r="P193" s="7" t="s">
        <v>1303</v>
      </c>
      <c r="Q193" s="7"/>
      <c r="R193" s="7" t="s">
        <v>1304</v>
      </c>
      <c r="S193" s="7" t="s">
        <v>726</v>
      </c>
      <c r="T193" s="65">
        <v>2028.0</v>
      </c>
      <c r="U193" s="7"/>
      <c r="V193" s="7"/>
    </row>
    <row r="194">
      <c r="A194" s="45">
        <v>45856.73793981481</v>
      </c>
      <c r="B194" s="7" t="s">
        <v>338</v>
      </c>
      <c r="C194" s="7" t="s">
        <v>63</v>
      </c>
      <c r="D194" s="74">
        <v>1.0</v>
      </c>
      <c r="E194" s="46"/>
      <c r="F194" s="47">
        <v>24.99</v>
      </c>
      <c r="G194" s="47">
        <v>0.0</v>
      </c>
      <c r="H194" s="7"/>
      <c r="I194" s="47">
        <v>1.02</v>
      </c>
      <c r="J194" s="8"/>
      <c r="K194" s="7"/>
      <c r="L194" s="7"/>
      <c r="M194" s="7"/>
      <c r="N194" s="7"/>
      <c r="O194" s="7" t="s">
        <v>490</v>
      </c>
      <c r="P194" s="7" t="s">
        <v>1633</v>
      </c>
      <c r="Q194" s="7" t="s">
        <v>1634</v>
      </c>
      <c r="R194" s="7" t="s">
        <v>1063</v>
      </c>
      <c r="S194" s="7" t="s">
        <v>493</v>
      </c>
      <c r="T194" s="65">
        <v>2044.0</v>
      </c>
      <c r="U194" s="7"/>
      <c r="V194" s="7"/>
    </row>
    <row r="195">
      <c r="A195" s="45">
        <v>45856.73701388889</v>
      </c>
      <c r="B195" s="7" t="s">
        <v>236</v>
      </c>
      <c r="C195" s="67" t="s">
        <v>1608</v>
      </c>
      <c r="D195" s="74">
        <v>1.0</v>
      </c>
      <c r="E195" s="74">
        <v>1.0</v>
      </c>
      <c r="F195" s="47">
        <v>124.99</v>
      </c>
      <c r="G195" s="47">
        <v>0.0</v>
      </c>
      <c r="H195" s="7"/>
      <c r="I195" s="47">
        <v>3.92</v>
      </c>
      <c r="J195" s="8"/>
      <c r="K195" s="7"/>
      <c r="L195" s="7"/>
      <c r="M195" s="7"/>
      <c r="N195" s="7"/>
      <c r="O195" s="7" t="s">
        <v>490</v>
      </c>
      <c r="P195" s="7" t="s">
        <v>1635</v>
      </c>
      <c r="Q195" s="7"/>
      <c r="R195" s="7" t="s">
        <v>1636</v>
      </c>
      <c r="S195" s="7" t="s">
        <v>493</v>
      </c>
      <c r="T195" s="65">
        <v>2040.0</v>
      </c>
      <c r="U195" s="7"/>
      <c r="V195" s="7"/>
    </row>
    <row r="196">
      <c r="A196" s="45">
        <v>45856.73636574074</v>
      </c>
      <c r="B196" s="7" t="s">
        <v>1234</v>
      </c>
      <c r="C196" s="7" t="s">
        <v>63</v>
      </c>
      <c r="D196" s="74">
        <v>1.0</v>
      </c>
      <c r="E196" s="46"/>
      <c r="F196" s="47">
        <v>24.99</v>
      </c>
      <c r="G196" s="47">
        <v>0.0</v>
      </c>
      <c r="H196" s="7"/>
      <c r="I196" s="47">
        <v>1.02</v>
      </c>
      <c r="J196" s="8"/>
      <c r="K196" s="7"/>
      <c r="L196" s="7"/>
      <c r="M196" s="7"/>
      <c r="N196" s="7"/>
      <c r="O196" s="7" t="s">
        <v>490</v>
      </c>
      <c r="P196" s="7" t="s">
        <v>1235</v>
      </c>
      <c r="Q196" s="7"/>
      <c r="R196" s="7" t="s">
        <v>1236</v>
      </c>
      <c r="S196" s="7" t="s">
        <v>493</v>
      </c>
      <c r="T196" s="65">
        <v>2043.0</v>
      </c>
      <c r="U196" s="7"/>
      <c r="V196" s="7"/>
    </row>
    <row r="197">
      <c r="A197" s="45">
        <v>45856.73459490741</v>
      </c>
      <c r="B197" s="7" t="s">
        <v>1637</v>
      </c>
      <c r="C197" s="67" t="s">
        <v>1608</v>
      </c>
      <c r="D197" s="74">
        <v>1.0</v>
      </c>
      <c r="E197" s="74">
        <v>1.0</v>
      </c>
      <c r="F197" s="47">
        <v>134.46</v>
      </c>
      <c r="G197" s="47">
        <v>0.0</v>
      </c>
      <c r="H197" s="7"/>
      <c r="I197" s="47">
        <v>4.2</v>
      </c>
      <c r="J197" s="8"/>
      <c r="K197" s="7"/>
      <c r="L197" s="7"/>
      <c r="M197" s="7"/>
      <c r="N197" s="7"/>
      <c r="O197" s="7" t="s">
        <v>490</v>
      </c>
      <c r="P197" s="7" t="s">
        <v>1638</v>
      </c>
      <c r="Q197" s="65">
        <v>2.0</v>
      </c>
      <c r="R197" s="7" t="s">
        <v>1639</v>
      </c>
      <c r="S197" s="7" t="s">
        <v>493</v>
      </c>
      <c r="T197" s="65">
        <v>2038.0</v>
      </c>
      <c r="U197" s="7"/>
      <c r="V197" s="7"/>
    </row>
    <row r="198">
      <c r="A198" s="45">
        <v>45856.73438657408</v>
      </c>
      <c r="B198" s="7" t="s">
        <v>1222</v>
      </c>
      <c r="C198" s="7" t="s">
        <v>63</v>
      </c>
      <c r="D198" s="74">
        <v>1.0</v>
      </c>
      <c r="E198" s="46"/>
      <c r="F198" s="47">
        <v>24.99</v>
      </c>
      <c r="G198" s="47">
        <v>0.0</v>
      </c>
      <c r="H198" s="7"/>
      <c r="I198" s="47">
        <v>1.4</v>
      </c>
      <c r="J198" s="8"/>
      <c r="K198" s="7"/>
      <c r="L198" s="7"/>
      <c r="M198" s="7"/>
      <c r="N198" s="7"/>
      <c r="O198" s="7" t="s">
        <v>490</v>
      </c>
      <c r="P198" s="7" t="s">
        <v>1223</v>
      </c>
      <c r="Q198" s="7"/>
      <c r="R198" s="7" t="s">
        <v>1224</v>
      </c>
      <c r="S198" s="7" t="s">
        <v>823</v>
      </c>
      <c r="T198" s="65">
        <v>2039.0</v>
      </c>
      <c r="U198" s="7"/>
      <c r="V198" s="7"/>
    </row>
    <row r="199">
      <c r="A199" s="45">
        <v>45856.73359953704</v>
      </c>
      <c r="B199" s="7" t="s">
        <v>1384</v>
      </c>
      <c r="C199" s="7" t="s">
        <v>63</v>
      </c>
      <c r="D199" s="74">
        <v>1.0</v>
      </c>
      <c r="E199" s="46"/>
      <c r="F199" s="47">
        <v>24.99</v>
      </c>
      <c r="G199" s="47">
        <v>0.0</v>
      </c>
      <c r="H199" s="7"/>
      <c r="I199" s="47">
        <v>1.02</v>
      </c>
      <c r="J199" s="8"/>
      <c r="K199" s="7"/>
      <c r="L199" s="7"/>
      <c r="M199" s="7"/>
      <c r="N199" s="7"/>
      <c r="O199" s="7" t="s">
        <v>490</v>
      </c>
      <c r="P199" s="7" t="s">
        <v>1385</v>
      </c>
      <c r="Q199" s="7"/>
      <c r="R199" s="7" t="s">
        <v>1386</v>
      </c>
      <c r="S199" s="7" t="s">
        <v>493</v>
      </c>
      <c r="T199" s="65">
        <v>2036.0</v>
      </c>
      <c r="U199" s="7"/>
      <c r="V199" s="7"/>
    </row>
    <row r="200">
      <c r="A200" s="45">
        <v>45856.73321759259</v>
      </c>
      <c r="B200" s="7" t="s">
        <v>400</v>
      </c>
      <c r="C200" s="7" t="s">
        <v>63</v>
      </c>
      <c r="D200" s="74">
        <v>1.0</v>
      </c>
      <c r="E200" s="46"/>
      <c r="F200" s="47">
        <v>26.93</v>
      </c>
      <c r="G200" s="47">
        <v>0.0</v>
      </c>
      <c r="H200" s="7"/>
      <c r="I200" s="47">
        <v>1.08</v>
      </c>
      <c r="J200" s="8"/>
      <c r="K200" s="7"/>
      <c r="L200" s="7"/>
      <c r="M200" s="7"/>
      <c r="N200" s="7"/>
      <c r="O200" s="7" t="s">
        <v>490</v>
      </c>
      <c r="P200" s="7" t="s">
        <v>1213</v>
      </c>
      <c r="Q200" s="7"/>
      <c r="R200" s="7" t="s">
        <v>549</v>
      </c>
      <c r="S200" s="7" t="s">
        <v>493</v>
      </c>
      <c r="T200" s="65">
        <v>2030.0</v>
      </c>
      <c r="U200" s="7"/>
      <c r="V200" s="7"/>
    </row>
    <row r="201">
      <c r="A201" s="45">
        <v>45856.732824074075</v>
      </c>
      <c r="B201" s="7" t="s">
        <v>1327</v>
      </c>
      <c r="C201" s="7" t="s">
        <v>63</v>
      </c>
      <c r="D201" s="74">
        <v>1.0</v>
      </c>
      <c r="E201" s="46"/>
      <c r="F201" s="47">
        <v>24.99</v>
      </c>
      <c r="G201" s="47">
        <v>0.0</v>
      </c>
      <c r="H201" s="7"/>
      <c r="I201" s="47">
        <v>1.4</v>
      </c>
      <c r="J201" s="8"/>
      <c r="K201" s="7"/>
      <c r="L201" s="7"/>
      <c r="M201" s="7"/>
      <c r="N201" s="7"/>
      <c r="O201" s="7" t="s">
        <v>490</v>
      </c>
      <c r="P201" s="7" t="s">
        <v>1328</v>
      </c>
      <c r="Q201" s="7"/>
      <c r="R201" s="7" t="s">
        <v>1330</v>
      </c>
      <c r="S201" s="7" t="s">
        <v>555</v>
      </c>
      <c r="T201" s="65">
        <v>2033.0</v>
      </c>
      <c r="U201" s="7"/>
      <c r="V201" s="7"/>
    </row>
    <row r="202">
      <c r="A202" s="45">
        <v>45856.73243055555</v>
      </c>
      <c r="B202" s="7" t="s">
        <v>741</v>
      </c>
      <c r="C202" s="7" t="s">
        <v>63</v>
      </c>
      <c r="D202" s="74">
        <v>1.0</v>
      </c>
      <c r="E202" s="46"/>
      <c r="F202" s="47">
        <v>24.99</v>
      </c>
      <c r="G202" s="47">
        <v>0.0</v>
      </c>
      <c r="H202" s="7"/>
      <c r="I202" s="47">
        <v>1.02</v>
      </c>
      <c r="J202" s="8"/>
      <c r="K202" s="7"/>
      <c r="L202" s="7"/>
      <c r="M202" s="7"/>
      <c r="N202" s="7"/>
      <c r="O202" s="7" t="s">
        <v>490</v>
      </c>
      <c r="P202" s="7" t="s">
        <v>742</v>
      </c>
      <c r="Q202" s="7"/>
      <c r="R202" s="7" t="s">
        <v>743</v>
      </c>
      <c r="S202" s="7" t="s">
        <v>493</v>
      </c>
      <c r="T202" s="65">
        <v>2032.0</v>
      </c>
      <c r="U202" s="7"/>
      <c r="V202" s="7"/>
    </row>
    <row r="203">
      <c r="A203" s="45">
        <v>45856.73175925926</v>
      </c>
      <c r="B203" s="7" t="s">
        <v>911</v>
      </c>
      <c r="C203" s="7" t="s">
        <v>63</v>
      </c>
      <c r="D203" s="74">
        <v>1.0</v>
      </c>
      <c r="E203" s="46"/>
      <c r="F203" s="47">
        <v>26.49</v>
      </c>
      <c r="G203" s="47">
        <v>0.0</v>
      </c>
      <c r="H203" s="7"/>
      <c r="I203" s="47">
        <v>1.07</v>
      </c>
      <c r="J203" s="8"/>
      <c r="K203" s="7"/>
      <c r="L203" s="7"/>
      <c r="M203" s="7"/>
      <c r="N203" s="7"/>
      <c r="O203" s="7" t="s">
        <v>490</v>
      </c>
      <c r="P203" s="7" t="s">
        <v>912</v>
      </c>
      <c r="Q203" s="7"/>
      <c r="R203" s="7" t="s">
        <v>913</v>
      </c>
      <c r="S203" s="7" t="s">
        <v>493</v>
      </c>
      <c r="T203" s="65">
        <v>2026.0</v>
      </c>
      <c r="U203" s="7"/>
      <c r="V203" s="7"/>
    </row>
    <row r="204">
      <c r="A204" s="45">
        <v>45856.73105324074</v>
      </c>
      <c r="B204" s="7" t="s">
        <v>378</v>
      </c>
      <c r="C204" s="7" t="s">
        <v>63</v>
      </c>
      <c r="D204" s="74">
        <v>1.0</v>
      </c>
      <c r="E204" s="46"/>
      <c r="F204" s="47">
        <v>24.99</v>
      </c>
      <c r="G204" s="47">
        <v>0.0</v>
      </c>
      <c r="H204" s="7"/>
      <c r="I204" s="47">
        <v>1.02</v>
      </c>
      <c r="J204" s="8"/>
      <c r="K204" s="7"/>
      <c r="L204" s="7"/>
      <c r="M204" s="7"/>
      <c r="N204" s="7"/>
      <c r="O204" s="7" t="s">
        <v>490</v>
      </c>
      <c r="P204" s="7" t="s">
        <v>772</v>
      </c>
      <c r="Q204" s="7"/>
      <c r="R204" s="7" t="s">
        <v>773</v>
      </c>
      <c r="S204" s="7" t="s">
        <v>493</v>
      </c>
      <c r="T204" s="65">
        <v>2027.0</v>
      </c>
      <c r="U204" s="7"/>
      <c r="V204" s="7"/>
    </row>
    <row r="205">
      <c r="A205" s="45">
        <v>45856.73076388889</v>
      </c>
      <c r="B205" s="7" t="s">
        <v>536</v>
      </c>
      <c r="C205" s="7" t="s">
        <v>63</v>
      </c>
      <c r="D205" s="74">
        <v>1.0</v>
      </c>
      <c r="E205" s="46"/>
      <c r="F205" s="47">
        <v>27.05</v>
      </c>
      <c r="G205" s="47">
        <v>0.0</v>
      </c>
      <c r="H205" s="7"/>
      <c r="I205" s="47">
        <v>1.08</v>
      </c>
      <c r="J205" s="8"/>
      <c r="K205" s="7"/>
      <c r="L205" s="7"/>
      <c r="M205" s="7"/>
      <c r="N205" s="7"/>
      <c r="O205" s="7" t="s">
        <v>490</v>
      </c>
      <c r="P205" s="7" t="s">
        <v>537</v>
      </c>
      <c r="Q205" s="7"/>
      <c r="R205" s="7" t="s">
        <v>538</v>
      </c>
      <c r="S205" s="7" t="s">
        <v>493</v>
      </c>
      <c r="T205" s="65">
        <v>2025.0</v>
      </c>
      <c r="U205" s="7"/>
      <c r="V205" s="7"/>
    </row>
    <row r="206">
      <c r="A206" s="45">
        <v>45856.7287037037</v>
      </c>
      <c r="B206" s="7" t="s">
        <v>333</v>
      </c>
      <c r="C206" s="7" t="s">
        <v>63</v>
      </c>
      <c r="D206" s="74">
        <v>1.0</v>
      </c>
      <c r="E206" s="46"/>
      <c r="F206" s="47">
        <v>24.99</v>
      </c>
      <c r="G206" s="47">
        <v>0.0</v>
      </c>
      <c r="H206" s="7"/>
      <c r="I206" s="47">
        <v>1.02</v>
      </c>
      <c r="J206" s="8"/>
      <c r="K206" s="7"/>
      <c r="L206" s="7"/>
      <c r="M206" s="7"/>
      <c r="N206" s="7"/>
      <c r="O206" s="7" t="s">
        <v>490</v>
      </c>
      <c r="P206" s="7" t="s">
        <v>801</v>
      </c>
      <c r="Q206" s="7"/>
      <c r="R206" s="7" t="s">
        <v>802</v>
      </c>
      <c r="S206" s="7" t="s">
        <v>493</v>
      </c>
      <c r="T206" s="65">
        <v>2019.0</v>
      </c>
      <c r="U206" s="7"/>
      <c r="V206" s="7"/>
    </row>
    <row r="207">
      <c r="A207" s="45">
        <v>45856.728055555555</v>
      </c>
      <c r="B207" s="7" t="s">
        <v>963</v>
      </c>
      <c r="C207" s="7" t="s">
        <v>1530</v>
      </c>
      <c r="D207" s="74">
        <v>2.0</v>
      </c>
      <c r="E207" s="46"/>
      <c r="F207" s="47">
        <v>49.98</v>
      </c>
      <c r="G207" s="47">
        <v>0.0</v>
      </c>
      <c r="H207" s="7"/>
      <c r="I207" s="47">
        <v>2.5</v>
      </c>
      <c r="J207" s="8"/>
      <c r="K207" s="7"/>
      <c r="L207" s="7"/>
      <c r="M207" s="7"/>
      <c r="N207" s="7"/>
      <c r="O207" s="7" t="s">
        <v>490</v>
      </c>
      <c r="P207" s="7"/>
      <c r="Q207" s="7"/>
      <c r="R207" s="7"/>
      <c r="S207" s="7" t="s">
        <v>521</v>
      </c>
      <c r="T207" s="65">
        <v>2008.0</v>
      </c>
      <c r="U207" s="7"/>
      <c r="V207" s="7"/>
    </row>
    <row r="208">
      <c r="A208" s="45">
        <v>45856.7277662037</v>
      </c>
      <c r="B208" s="7" t="s">
        <v>1284</v>
      </c>
      <c r="C208" s="7" t="s">
        <v>63</v>
      </c>
      <c r="D208" s="74">
        <v>1.0</v>
      </c>
      <c r="E208" s="46"/>
      <c r="F208" s="47">
        <v>34.46</v>
      </c>
      <c r="G208" s="47">
        <v>0.0</v>
      </c>
      <c r="H208" s="7"/>
      <c r="I208" s="47">
        <v>1.82</v>
      </c>
      <c r="J208" s="8"/>
      <c r="K208" s="7"/>
      <c r="L208" s="7"/>
      <c r="M208" s="7"/>
      <c r="N208" s="7"/>
      <c r="O208" s="7" t="s">
        <v>490</v>
      </c>
      <c r="P208" s="7"/>
      <c r="Q208" s="7"/>
      <c r="R208" s="7"/>
      <c r="S208" s="7" t="s">
        <v>545</v>
      </c>
      <c r="T208" s="65">
        <v>2012.0</v>
      </c>
      <c r="U208" s="7"/>
      <c r="V208" s="7"/>
    </row>
    <row r="209">
      <c r="A209" s="45">
        <v>45856.72690972222</v>
      </c>
      <c r="B209" s="7" t="s">
        <v>1085</v>
      </c>
      <c r="C209" s="67" t="s">
        <v>1608</v>
      </c>
      <c r="D209" s="74">
        <v>1.0</v>
      </c>
      <c r="E209" s="74">
        <v>1.0</v>
      </c>
      <c r="F209" s="47">
        <v>138.82</v>
      </c>
      <c r="G209" s="47">
        <v>0.0</v>
      </c>
      <c r="H209" s="7"/>
      <c r="I209" s="47">
        <v>4.33</v>
      </c>
      <c r="J209" s="8"/>
      <c r="K209" s="7"/>
      <c r="L209" s="7"/>
      <c r="M209" s="7"/>
      <c r="N209" s="7"/>
      <c r="O209" s="7" t="s">
        <v>490</v>
      </c>
      <c r="P209" s="7" t="s">
        <v>1086</v>
      </c>
      <c r="Q209" s="7"/>
      <c r="R209" s="7" t="s">
        <v>1087</v>
      </c>
      <c r="S209" s="7" t="s">
        <v>493</v>
      </c>
      <c r="T209" s="65">
        <v>2011.0</v>
      </c>
      <c r="U209" s="7"/>
      <c r="V209" s="7"/>
    </row>
    <row r="210">
      <c r="A210" s="45">
        <v>45856.7268287037</v>
      </c>
      <c r="B210" s="7" t="s">
        <v>410</v>
      </c>
      <c r="C210" s="7" t="s">
        <v>63</v>
      </c>
      <c r="D210" s="74">
        <v>1.0</v>
      </c>
      <c r="E210" s="46"/>
      <c r="F210" s="47">
        <v>24.99</v>
      </c>
      <c r="G210" s="47">
        <v>0.0</v>
      </c>
      <c r="H210" s="7"/>
      <c r="I210" s="47">
        <v>1.02</v>
      </c>
      <c r="J210" s="8"/>
      <c r="K210" s="7"/>
      <c r="L210" s="7"/>
      <c r="M210" s="7"/>
      <c r="N210" s="7"/>
      <c r="O210" s="7" t="s">
        <v>490</v>
      </c>
      <c r="P210" s="7" t="s">
        <v>1186</v>
      </c>
      <c r="Q210" s="7"/>
      <c r="R210" s="7" t="s">
        <v>1187</v>
      </c>
      <c r="S210" s="7" t="s">
        <v>493</v>
      </c>
      <c r="T210" s="65">
        <v>2017.0</v>
      </c>
      <c r="U210" s="7"/>
      <c r="V210" s="7"/>
    </row>
    <row r="211">
      <c r="A211" s="45">
        <v>45856.726122685184</v>
      </c>
      <c r="B211" s="7" t="s">
        <v>1069</v>
      </c>
      <c r="C211" s="7" t="s">
        <v>63</v>
      </c>
      <c r="D211" s="74">
        <v>1.0</v>
      </c>
      <c r="E211" s="46"/>
      <c r="F211" s="47">
        <v>24.99</v>
      </c>
      <c r="G211" s="47">
        <v>0.0</v>
      </c>
      <c r="H211" s="7"/>
      <c r="I211" s="47">
        <v>1.4</v>
      </c>
      <c r="J211" s="8"/>
      <c r="K211" s="7"/>
      <c r="L211" s="7"/>
      <c r="M211" s="7"/>
      <c r="N211" s="7"/>
      <c r="O211" s="7" t="s">
        <v>490</v>
      </c>
      <c r="P211" s="7" t="s">
        <v>1640</v>
      </c>
      <c r="Q211" s="7"/>
      <c r="R211" s="7" t="s">
        <v>509</v>
      </c>
      <c r="S211" s="7" t="s">
        <v>510</v>
      </c>
      <c r="T211" s="65">
        <v>2009.0</v>
      </c>
      <c r="U211" s="7"/>
      <c r="V211" s="7"/>
    </row>
    <row r="212">
      <c r="A212" s="45">
        <v>45856.72603009259</v>
      </c>
      <c r="B212" s="7" t="s">
        <v>365</v>
      </c>
      <c r="C212" s="7" t="s">
        <v>63</v>
      </c>
      <c r="D212" s="74">
        <v>1.0</v>
      </c>
      <c r="E212" s="46"/>
      <c r="F212" s="47">
        <v>24.99</v>
      </c>
      <c r="G212" s="47">
        <v>0.0</v>
      </c>
      <c r="H212" s="7"/>
      <c r="I212" s="47">
        <v>1.4</v>
      </c>
      <c r="J212" s="8"/>
      <c r="K212" s="7"/>
      <c r="L212" s="7"/>
      <c r="M212" s="7"/>
      <c r="N212" s="7"/>
      <c r="O212" s="7" t="s">
        <v>490</v>
      </c>
      <c r="P212" s="7" t="s">
        <v>1021</v>
      </c>
      <c r="Q212" s="7"/>
      <c r="R212" s="7" t="s">
        <v>1022</v>
      </c>
      <c r="S212" s="7" t="s">
        <v>545</v>
      </c>
      <c r="T212" s="65">
        <v>2016.0</v>
      </c>
      <c r="U212" s="7"/>
      <c r="V212" s="7"/>
    </row>
    <row r="213">
      <c r="A213" s="45">
        <v>45856.72572916667</v>
      </c>
      <c r="B213" s="7" t="s">
        <v>984</v>
      </c>
      <c r="C213" s="7" t="s">
        <v>63</v>
      </c>
      <c r="D213" s="74">
        <v>1.0</v>
      </c>
      <c r="E213" s="46"/>
      <c r="F213" s="47">
        <v>24.99</v>
      </c>
      <c r="G213" s="47">
        <v>0.0</v>
      </c>
      <c r="H213" s="7"/>
      <c r="I213" s="47">
        <v>1.02</v>
      </c>
      <c r="J213" s="8"/>
      <c r="K213" s="7"/>
      <c r="L213" s="7"/>
      <c r="M213" s="7"/>
      <c r="N213" s="7"/>
      <c r="O213" s="7" t="s">
        <v>490</v>
      </c>
      <c r="P213" s="7" t="s">
        <v>985</v>
      </c>
      <c r="Q213" s="7"/>
      <c r="R213" s="7" t="s">
        <v>986</v>
      </c>
      <c r="S213" s="7" t="s">
        <v>493</v>
      </c>
      <c r="T213" s="65">
        <v>2010.0</v>
      </c>
      <c r="U213" s="7"/>
      <c r="V213" s="7"/>
    </row>
    <row r="214">
      <c r="A214" s="45">
        <v>45856.725381944445</v>
      </c>
      <c r="B214" s="7" t="s">
        <v>234</v>
      </c>
      <c r="C214" s="7" t="s">
        <v>63</v>
      </c>
      <c r="D214" s="74">
        <v>1.0</v>
      </c>
      <c r="E214" s="46"/>
      <c r="F214" s="47">
        <v>37.25</v>
      </c>
      <c r="G214" s="47">
        <v>0.0</v>
      </c>
      <c r="H214" s="7"/>
      <c r="I214" s="47">
        <v>1.38</v>
      </c>
      <c r="J214" s="8"/>
      <c r="K214" s="7"/>
      <c r="L214" s="7"/>
      <c r="M214" s="7"/>
      <c r="N214" s="7"/>
      <c r="O214" s="7" t="s">
        <v>490</v>
      </c>
      <c r="P214" s="7" t="s">
        <v>1399</v>
      </c>
      <c r="Q214" s="7"/>
      <c r="R214" s="7" t="s">
        <v>1400</v>
      </c>
      <c r="S214" s="7" t="s">
        <v>493</v>
      </c>
      <c r="T214" s="65">
        <v>2000.0</v>
      </c>
      <c r="U214" s="7"/>
      <c r="V214" s="7"/>
    </row>
    <row r="215">
      <c r="A215" s="45">
        <v>45856.72524305555</v>
      </c>
      <c r="B215" s="7" t="s">
        <v>1099</v>
      </c>
      <c r="C215" s="67" t="s">
        <v>1608</v>
      </c>
      <c r="D215" s="74">
        <v>1.0</v>
      </c>
      <c r="E215" s="74">
        <v>1.0</v>
      </c>
      <c r="F215" s="47">
        <v>138.11</v>
      </c>
      <c r="G215" s="47">
        <v>0.0</v>
      </c>
      <c r="H215" s="7"/>
      <c r="I215" s="47">
        <v>4.31</v>
      </c>
      <c r="J215" s="8"/>
      <c r="K215" s="7"/>
      <c r="L215" s="7"/>
      <c r="M215" s="7"/>
      <c r="N215" s="7"/>
      <c r="O215" s="7" t="s">
        <v>490</v>
      </c>
      <c r="P215" s="7" t="s">
        <v>1100</v>
      </c>
      <c r="Q215" s="7"/>
      <c r="R215" s="7" t="s">
        <v>1101</v>
      </c>
      <c r="S215" s="7" t="s">
        <v>493</v>
      </c>
      <c r="T215" s="65">
        <v>2007.0</v>
      </c>
      <c r="U215" s="7"/>
      <c r="V215" s="7"/>
    </row>
    <row r="216">
      <c r="A216" s="45">
        <v>45856.724375</v>
      </c>
      <c r="B216" s="7" t="s">
        <v>361</v>
      </c>
      <c r="C216" s="7" t="s">
        <v>63</v>
      </c>
      <c r="D216" s="74">
        <v>1.0</v>
      </c>
      <c r="E216" s="46"/>
      <c r="F216" s="47">
        <v>27.43</v>
      </c>
      <c r="G216" s="47">
        <v>0.0</v>
      </c>
      <c r="H216" s="7"/>
      <c r="I216" s="47">
        <v>1.1</v>
      </c>
      <c r="J216" s="8"/>
      <c r="K216" s="7"/>
      <c r="L216" s="7"/>
      <c r="M216" s="7"/>
      <c r="N216" s="7"/>
      <c r="O216" s="7" t="s">
        <v>490</v>
      </c>
      <c r="P216" s="7" t="s">
        <v>1269</v>
      </c>
      <c r="Q216" s="7" t="s">
        <v>1270</v>
      </c>
      <c r="R216" s="7" t="s">
        <v>1271</v>
      </c>
      <c r="S216" s="7" t="s">
        <v>493</v>
      </c>
      <c r="T216" s="65">
        <v>2005.0</v>
      </c>
      <c r="U216" s="7"/>
      <c r="V216" s="7"/>
    </row>
    <row r="217">
      <c r="A217" s="45">
        <v>45856.72385416667</v>
      </c>
      <c r="B217" s="7" t="s">
        <v>358</v>
      </c>
      <c r="C217" s="7" t="s">
        <v>63</v>
      </c>
      <c r="D217" s="74">
        <v>1.0</v>
      </c>
      <c r="E217" s="46"/>
      <c r="F217" s="47">
        <v>24.99</v>
      </c>
      <c r="G217" s="47">
        <v>0.0</v>
      </c>
      <c r="H217" s="7"/>
      <c r="I217" s="47">
        <v>1.02</v>
      </c>
      <c r="J217" s="8"/>
      <c r="K217" s="7"/>
      <c r="L217" s="7"/>
      <c r="M217" s="7"/>
      <c r="N217" s="7"/>
      <c r="O217" s="7" t="s">
        <v>490</v>
      </c>
      <c r="P217" s="7" t="s">
        <v>1176</v>
      </c>
      <c r="Q217" s="7"/>
      <c r="R217" s="7" t="s">
        <v>1147</v>
      </c>
      <c r="S217" s="7" t="s">
        <v>493</v>
      </c>
      <c r="T217" s="65">
        <v>2004.0</v>
      </c>
      <c r="U217" s="7"/>
      <c r="V217" s="7"/>
    </row>
    <row r="218">
      <c r="A218" s="45">
        <v>45856.723541666666</v>
      </c>
      <c r="B218" s="7" t="s">
        <v>208</v>
      </c>
      <c r="C218" s="67" t="s">
        <v>1608</v>
      </c>
      <c r="D218" s="74">
        <v>1.0</v>
      </c>
      <c r="E218" s="74">
        <v>1.0</v>
      </c>
      <c r="F218" s="47">
        <v>124.99</v>
      </c>
      <c r="G218" s="47">
        <v>0.0</v>
      </c>
      <c r="H218" s="7"/>
      <c r="I218" s="47">
        <v>3.92</v>
      </c>
      <c r="J218" s="8"/>
      <c r="K218" s="7"/>
      <c r="L218" s="7"/>
      <c r="M218" s="7"/>
      <c r="N218" s="7"/>
      <c r="O218" s="7" t="s">
        <v>490</v>
      </c>
      <c r="P218" s="7" t="s">
        <v>1278</v>
      </c>
      <c r="Q218" s="7" t="s">
        <v>1279</v>
      </c>
      <c r="R218" s="7" t="s">
        <v>1109</v>
      </c>
      <c r="S218" s="7" t="s">
        <v>493</v>
      </c>
      <c r="T218" s="65">
        <v>2003.0</v>
      </c>
      <c r="U218" s="7"/>
      <c r="V218" s="7"/>
    </row>
    <row r="219">
      <c r="A219" s="45">
        <v>45856.72337962963</v>
      </c>
      <c r="B219" s="7" t="s">
        <v>110</v>
      </c>
      <c r="C219" s="7" t="s">
        <v>63</v>
      </c>
      <c r="D219" s="74">
        <v>1.0</v>
      </c>
      <c r="E219" s="46"/>
      <c r="F219" s="47">
        <v>24.99</v>
      </c>
      <c r="G219" s="47">
        <v>0.0</v>
      </c>
      <c r="H219" s="7"/>
      <c r="I219" s="47">
        <v>1.4</v>
      </c>
      <c r="J219" s="8"/>
      <c r="K219" s="7"/>
      <c r="L219" s="7"/>
      <c r="M219" s="7"/>
      <c r="N219" s="7"/>
      <c r="O219" s="7" t="s">
        <v>490</v>
      </c>
      <c r="P219" s="7" t="s">
        <v>1143</v>
      </c>
      <c r="Q219" s="7"/>
      <c r="R219" s="7" t="s">
        <v>1144</v>
      </c>
      <c r="S219" s="7" t="s">
        <v>966</v>
      </c>
      <c r="T219" s="65">
        <v>2001.0</v>
      </c>
      <c r="U219" s="7"/>
      <c r="V219" s="7"/>
    </row>
    <row r="220">
      <c r="A220" s="45">
        <v>45856.72329861111</v>
      </c>
      <c r="B220" s="7" t="s">
        <v>374</v>
      </c>
      <c r="C220" s="67" t="s">
        <v>1608</v>
      </c>
      <c r="D220" s="74">
        <v>1.0</v>
      </c>
      <c r="E220" s="74">
        <v>1.0</v>
      </c>
      <c r="F220" s="47">
        <v>124.99</v>
      </c>
      <c r="G220" s="47">
        <v>0.0</v>
      </c>
      <c r="H220" s="7"/>
      <c r="I220" s="47">
        <v>5.8</v>
      </c>
      <c r="J220" s="8"/>
      <c r="K220" s="7"/>
      <c r="L220" s="7"/>
      <c r="M220" s="7"/>
      <c r="N220" s="7"/>
      <c r="O220" s="7" t="s">
        <v>490</v>
      </c>
      <c r="P220" s="7" t="s">
        <v>507</v>
      </c>
      <c r="Q220" s="7" t="s">
        <v>508</v>
      </c>
      <c r="R220" s="7" t="s">
        <v>1641</v>
      </c>
      <c r="S220" s="7" t="s">
        <v>510</v>
      </c>
      <c r="T220" s="65">
        <v>2002.0</v>
      </c>
      <c r="U220" s="7"/>
      <c r="V220" s="7"/>
    </row>
    <row r="221">
      <c r="A221" s="45">
        <v>45856.72256944444</v>
      </c>
      <c r="B221" s="7" t="s">
        <v>377</v>
      </c>
      <c r="C221" s="7" t="s">
        <v>63</v>
      </c>
      <c r="D221" s="74">
        <v>1.0</v>
      </c>
      <c r="E221" s="46"/>
      <c r="F221" s="47">
        <v>24.99</v>
      </c>
      <c r="G221" s="47">
        <v>0.0</v>
      </c>
      <c r="H221" s="7"/>
      <c r="I221" s="47">
        <v>1.02</v>
      </c>
      <c r="J221" s="8"/>
      <c r="K221" s="7"/>
      <c r="L221" s="7"/>
      <c r="M221" s="7"/>
      <c r="N221" s="7"/>
      <c r="O221" s="7" t="s">
        <v>490</v>
      </c>
      <c r="P221" s="7"/>
      <c r="Q221" s="7"/>
      <c r="R221" s="7"/>
      <c r="S221" s="7" t="s">
        <v>493</v>
      </c>
      <c r="T221" s="65">
        <v>1994.0</v>
      </c>
      <c r="U221" s="7"/>
      <c r="V221" s="7"/>
    </row>
    <row r="222">
      <c r="A222" s="45">
        <v>45856.72222222222</v>
      </c>
      <c r="B222" s="7" t="s">
        <v>1135</v>
      </c>
      <c r="C222" s="7" t="s">
        <v>63</v>
      </c>
      <c r="D222" s="74">
        <v>1.0</v>
      </c>
      <c r="E222" s="46"/>
      <c r="F222" s="47">
        <v>24.99</v>
      </c>
      <c r="G222" s="47">
        <v>0.0</v>
      </c>
      <c r="H222" s="7"/>
      <c r="I222" s="47">
        <v>1.4</v>
      </c>
      <c r="J222" s="8"/>
      <c r="K222" s="7"/>
      <c r="L222" s="7"/>
      <c r="M222" s="7"/>
      <c r="N222" s="7"/>
      <c r="O222" s="7" t="s">
        <v>490</v>
      </c>
      <c r="P222" s="7" t="s">
        <v>1136</v>
      </c>
      <c r="Q222" s="7"/>
      <c r="R222" s="7" t="s">
        <v>1137</v>
      </c>
      <c r="S222" s="7" t="s">
        <v>525</v>
      </c>
      <c r="T222" s="65">
        <v>1997.0</v>
      </c>
      <c r="U222" s="7"/>
      <c r="V222" s="7"/>
    </row>
    <row r="223">
      <c r="A223" s="45">
        <v>45856.72209490741</v>
      </c>
      <c r="B223" s="7" t="s">
        <v>438</v>
      </c>
      <c r="C223" s="67" t="s">
        <v>1608</v>
      </c>
      <c r="D223" s="74">
        <v>1.0</v>
      </c>
      <c r="E223" s="74">
        <v>1.0</v>
      </c>
      <c r="F223" s="47">
        <v>124.99</v>
      </c>
      <c r="G223" s="47">
        <v>0.0</v>
      </c>
      <c r="H223" s="7"/>
      <c r="I223" s="47">
        <v>5.8</v>
      </c>
      <c r="J223" s="8"/>
      <c r="K223" s="7"/>
      <c r="L223" s="7"/>
      <c r="M223" s="7"/>
      <c r="N223" s="7"/>
      <c r="O223" s="7" t="s">
        <v>490</v>
      </c>
      <c r="P223" s="7" t="s">
        <v>1642</v>
      </c>
      <c r="Q223" s="7" t="s">
        <v>1643</v>
      </c>
      <c r="R223" s="7" t="s">
        <v>1644</v>
      </c>
      <c r="S223" s="7" t="s">
        <v>497</v>
      </c>
      <c r="T223" s="65">
        <v>1992.0</v>
      </c>
      <c r="U223" s="7"/>
      <c r="V223" s="7"/>
    </row>
    <row r="224">
      <c r="A224" s="45">
        <v>45856.72175925926</v>
      </c>
      <c r="B224" s="7" t="s">
        <v>1645</v>
      </c>
      <c r="C224" s="7" t="s">
        <v>63</v>
      </c>
      <c r="D224" s="74">
        <v>1.0</v>
      </c>
      <c r="E224" s="46"/>
      <c r="F224" s="47">
        <v>24.99</v>
      </c>
      <c r="G224" s="47">
        <v>0.0</v>
      </c>
      <c r="H224" s="7"/>
      <c r="I224" s="47">
        <v>1.4</v>
      </c>
      <c r="J224" s="8"/>
      <c r="K224" s="7"/>
      <c r="L224" s="7"/>
      <c r="M224" s="7"/>
      <c r="N224" s="7"/>
      <c r="O224" s="7" t="s">
        <v>490</v>
      </c>
      <c r="P224" s="7" t="s">
        <v>649</v>
      </c>
      <c r="Q224" s="7" t="s">
        <v>1646</v>
      </c>
      <c r="R224" s="7" t="s">
        <v>651</v>
      </c>
      <c r="S224" s="7" t="s">
        <v>510</v>
      </c>
      <c r="T224" s="65">
        <v>1995.0</v>
      </c>
      <c r="U224" s="7"/>
      <c r="V224" s="7"/>
    </row>
    <row r="225">
      <c r="A225" s="45">
        <v>45856.721400462964</v>
      </c>
      <c r="B225" s="7" t="s">
        <v>1647</v>
      </c>
      <c r="C225" s="67" t="s">
        <v>1608</v>
      </c>
      <c r="D225" s="74">
        <v>1.0</v>
      </c>
      <c r="E225" s="74">
        <v>1.0</v>
      </c>
      <c r="F225" s="47">
        <v>124.99</v>
      </c>
      <c r="G225" s="47">
        <v>0.0</v>
      </c>
      <c r="H225" s="7"/>
      <c r="I225" s="47">
        <v>5.8</v>
      </c>
      <c r="J225" s="8"/>
      <c r="K225" s="7"/>
      <c r="L225" s="7"/>
      <c r="M225" s="7"/>
      <c r="N225" s="7"/>
      <c r="O225" s="7" t="s">
        <v>490</v>
      </c>
      <c r="P225" s="7" t="s">
        <v>1648</v>
      </c>
      <c r="Q225" s="7"/>
      <c r="R225" s="7" t="s">
        <v>572</v>
      </c>
      <c r="S225" s="7" t="s">
        <v>510</v>
      </c>
      <c r="T225" s="65">
        <v>1990.0</v>
      </c>
      <c r="U225" s="7"/>
      <c r="V225" s="7"/>
    </row>
    <row r="226">
      <c r="A226" s="45">
        <v>45856.72090277778</v>
      </c>
      <c r="B226" s="7" t="s">
        <v>275</v>
      </c>
      <c r="C226" s="67" t="s">
        <v>1608</v>
      </c>
      <c r="D226" s="74">
        <v>1.0</v>
      </c>
      <c r="E226" s="74">
        <v>1.0</v>
      </c>
      <c r="F226" s="47">
        <v>124.99</v>
      </c>
      <c r="G226" s="47">
        <v>0.0</v>
      </c>
      <c r="H226" s="7"/>
      <c r="I226" s="47">
        <v>3.92</v>
      </c>
      <c r="J226" s="8"/>
      <c r="K226" s="7"/>
      <c r="L226" s="7"/>
      <c r="M226" s="7"/>
      <c r="N226" s="7"/>
      <c r="O226" s="7" t="s">
        <v>490</v>
      </c>
      <c r="P226" s="7" t="s">
        <v>1331</v>
      </c>
      <c r="Q226" s="7"/>
      <c r="R226" s="7" t="s">
        <v>1332</v>
      </c>
      <c r="S226" s="7" t="s">
        <v>493</v>
      </c>
      <c r="T226" s="65">
        <v>1993.0</v>
      </c>
      <c r="U226" s="7"/>
      <c r="V226" s="7"/>
    </row>
    <row r="227">
      <c r="A227" s="45">
        <v>45856.71902777778</v>
      </c>
      <c r="B227" s="7" t="s">
        <v>206</v>
      </c>
      <c r="C227" s="7" t="s">
        <v>63</v>
      </c>
      <c r="D227" s="74">
        <v>1.0</v>
      </c>
      <c r="E227" s="46"/>
      <c r="F227" s="47">
        <v>24.99</v>
      </c>
      <c r="G227" s="47">
        <v>0.0</v>
      </c>
      <c r="H227" s="7"/>
      <c r="I227" s="47">
        <v>1.4</v>
      </c>
      <c r="J227" s="8"/>
      <c r="K227" s="7"/>
      <c r="L227" s="7"/>
      <c r="M227" s="7"/>
      <c r="N227" s="7"/>
      <c r="O227" s="7" t="s">
        <v>490</v>
      </c>
      <c r="P227" s="7" t="s">
        <v>1083</v>
      </c>
      <c r="Q227" s="7"/>
      <c r="R227" s="7" t="s">
        <v>1084</v>
      </c>
      <c r="S227" s="7" t="s">
        <v>617</v>
      </c>
      <c r="T227" s="65">
        <v>1989.0</v>
      </c>
      <c r="U227" s="7"/>
      <c r="V227" s="7"/>
    </row>
    <row r="228">
      <c r="A228" s="45">
        <v>45856.71888888889</v>
      </c>
      <c r="B228" s="7" t="s">
        <v>345</v>
      </c>
      <c r="C228" s="67" t="s">
        <v>1608</v>
      </c>
      <c r="D228" s="74">
        <v>1.0</v>
      </c>
      <c r="E228" s="74">
        <v>1.0</v>
      </c>
      <c r="F228" s="47">
        <v>135.3</v>
      </c>
      <c r="G228" s="47">
        <v>0.0</v>
      </c>
      <c r="H228" s="7"/>
      <c r="I228" s="47">
        <v>4.22</v>
      </c>
      <c r="J228" s="8"/>
      <c r="K228" s="7"/>
      <c r="L228" s="7"/>
      <c r="M228" s="7"/>
      <c r="N228" s="7"/>
      <c r="O228" s="7" t="s">
        <v>490</v>
      </c>
      <c r="P228" s="7" t="s">
        <v>1355</v>
      </c>
      <c r="Q228" s="7"/>
      <c r="R228" s="7" t="s">
        <v>1649</v>
      </c>
      <c r="S228" s="7" t="s">
        <v>493</v>
      </c>
      <c r="T228" s="65">
        <v>1988.0</v>
      </c>
      <c r="U228" s="7"/>
      <c r="V228" s="7"/>
    </row>
    <row r="229">
      <c r="A229" s="45">
        <v>45856.71873842592</v>
      </c>
      <c r="B229" s="7" t="s">
        <v>717</v>
      </c>
      <c r="C229" s="7" t="s">
        <v>63</v>
      </c>
      <c r="D229" s="74">
        <v>1.0</v>
      </c>
      <c r="E229" s="46"/>
      <c r="F229" s="47">
        <v>24.99</v>
      </c>
      <c r="G229" s="47">
        <v>0.0</v>
      </c>
      <c r="H229" s="7"/>
      <c r="I229" s="47">
        <v>1.02</v>
      </c>
      <c r="J229" s="8"/>
      <c r="K229" s="7"/>
      <c r="L229" s="7"/>
      <c r="M229" s="7"/>
      <c r="N229" s="7"/>
      <c r="O229" s="7" t="s">
        <v>490</v>
      </c>
      <c r="P229" s="7" t="s">
        <v>718</v>
      </c>
      <c r="Q229" s="7"/>
      <c r="R229" s="7" t="s">
        <v>719</v>
      </c>
      <c r="S229" s="7" t="s">
        <v>493</v>
      </c>
      <c r="T229" s="65">
        <v>1985.0</v>
      </c>
      <c r="U229" s="7"/>
      <c r="V229" s="7"/>
    </row>
    <row r="230">
      <c r="A230" s="45">
        <v>45856.718090277776</v>
      </c>
      <c r="B230" s="7" t="s">
        <v>383</v>
      </c>
      <c r="C230" s="7" t="s">
        <v>63</v>
      </c>
      <c r="D230" s="74">
        <v>1.0</v>
      </c>
      <c r="E230" s="46"/>
      <c r="F230" s="47">
        <v>24.99</v>
      </c>
      <c r="G230" s="47">
        <v>0.0</v>
      </c>
      <c r="H230" s="7"/>
      <c r="I230" s="47">
        <v>1.4</v>
      </c>
      <c r="J230" s="8"/>
      <c r="K230" s="7"/>
      <c r="L230" s="7"/>
      <c r="M230" s="7"/>
      <c r="N230" s="7"/>
      <c r="O230" s="7" t="s">
        <v>490</v>
      </c>
      <c r="P230" s="7" t="s">
        <v>961</v>
      </c>
      <c r="Q230" s="7"/>
      <c r="R230" s="7" t="s">
        <v>962</v>
      </c>
      <c r="S230" s="7" t="s">
        <v>726</v>
      </c>
      <c r="T230" s="65">
        <v>1983.0</v>
      </c>
      <c r="U230" s="7"/>
      <c r="V230" s="7"/>
    </row>
    <row r="231">
      <c r="A231" s="45">
        <v>45856.717569444445</v>
      </c>
      <c r="B231" s="7" t="s">
        <v>1153</v>
      </c>
      <c r="C231" s="7" t="s">
        <v>63</v>
      </c>
      <c r="D231" s="74">
        <v>1.0</v>
      </c>
      <c r="E231" s="46"/>
      <c r="F231" s="47">
        <v>24.99</v>
      </c>
      <c r="G231" s="47">
        <v>0.0</v>
      </c>
      <c r="H231" s="7"/>
      <c r="I231" s="47">
        <v>1.02</v>
      </c>
      <c r="J231" s="8"/>
      <c r="K231" s="7"/>
      <c r="L231" s="7"/>
      <c r="M231" s="7"/>
      <c r="N231" s="7"/>
      <c r="O231" s="7" t="s">
        <v>490</v>
      </c>
      <c r="P231" s="7" t="s">
        <v>1154</v>
      </c>
      <c r="Q231" s="7"/>
      <c r="R231" s="7" t="s">
        <v>1155</v>
      </c>
      <c r="S231" s="7" t="s">
        <v>493</v>
      </c>
      <c r="T231" s="65">
        <v>1982.0</v>
      </c>
      <c r="U231" s="7"/>
      <c r="V231" s="7"/>
    </row>
    <row r="232">
      <c r="A232" s="45">
        <v>45856.717314814814</v>
      </c>
      <c r="B232" s="7" t="s">
        <v>1339</v>
      </c>
      <c r="C232" s="7" t="s">
        <v>63</v>
      </c>
      <c r="D232" s="74">
        <v>1.0</v>
      </c>
      <c r="E232" s="46"/>
      <c r="F232" s="47">
        <v>24.99</v>
      </c>
      <c r="G232" s="47">
        <v>0.0</v>
      </c>
      <c r="H232" s="7"/>
      <c r="I232" s="47">
        <v>1.4</v>
      </c>
      <c r="J232" s="8"/>
      <c r="K232" s="7"/>
      <c r="L232" s="7"/>
      <c r="M232" s="7"/>
      <c r="N232" s="7"/>
      <c r="O232" s="7" t="s">
        <v>490</v>
      </c>
      <c r="P232" s="7" t="s">
        <v>1340</v>
      </c>
      <c r="Q232" s="7"/>
      <c r="R232" s="7" t="s">
        <v>1341</v>
      </c>
      <c r="S232" s="7" t="s">
        <v>525</v>
      </c>
      <c r="T232" s="65">
        <v>1980.0</v>
      </c>
      <c r="U232" s="7"/>
      <c r="V232" s="7"/>
    </row>
    <row r="233">
      <c r="A233" s="45">
        <v>45856.71673611111</v>
      </c>
      <c r="B233" s="7" t="s">
        <v>1650</v>
      </c>
      <c r="C233" s="7" t="s">
        <v>63</v>
      </c>
      <c r="D233" s="74">
        <v>1.0</v>
      </c>
      <c r="E233" s="46"/>
      <c r="F233" s="47">
        <v>34.46</v>
      </c>
      <c r="G233" s="47">
        <v>0.0</v>
      </c>
      <c r="H233" s="7"/>
      <c r="I233" s="47">
        <v>1.3</v>
      </c>
      <c r="J233" s="8"/>
      <c r="K233" s="7"/>
      <c r="L233" s="7"/>
      <c r="M233" s="7"/>
      <c r="N233" s="7"/>
      <c r="O233" s="7" t="s">
        <v>490</v>
      </c>
      <c r="P233" s="7" t="s">
        <v>1651</v>
      </c>
      <c r="Q233" s="7" t="s">
        <v>1652</v>
      </c>
      <c r="R233" s="7" t="s">
        <v>1653</v>
      </c>
      <c r="S233" s="7" t="s">
        <v>493</v>
      </c>
      <c r="T233" s="65">
        <v>1977.0</v>
      </c>
      <c r="U233" s="7"/>
      <c r="V233" s="7"/>
    </row>
    <row r="234">
      <c r="A234" s="45">
        <v>45856.71658564815</v>
      </c>
      <c r="B234" s="7" t="s">
        <v>399</v>
      </c>
      <c r="C234" s="7" t="s">
        <v>63</v>
      </c>
      <c r="D234" s="74">
        <v>1.0</v>
      </c>
      <c r="E234" s="46"/>
      <c r="F234" s="47">
        <v>24.99</v>
      </c>
      <c r="G234" s="47">
        <v>0.0</v>
      </c>
      <c r="H234" s="7"/>
      <c r="I234" s="47">
        <v>1.02</v>
      </c>
      <c r="J234" s="8"/>
      <c r="K234" s="7"/>
      <c r="L234" s="7"/>
      <c r="M234" s="7"/>
      <c r="N234" s="7"/>
      <c r="O234" s="7" t="s">
        <v>490</v>
      </c>
      <c r="P234" s="7" t="s">
        <v>1654</v>
      </c>
      <c r="Q234" s="65">
        <v>2.0</v>
      </c>
      <c r="R234" s="7" t="s">
        <v>1320</v>
      </c>
      <c r="S234" s="7" t="s">
        <v>493</v>
      </c>
      <c r="T234" s="65">
        <v>1979.0</v>
      </c>
      <c r="U234" s="7"/>
      <c r="V234" s="7"/>
    </row>
    <row r="235">
      <c r="A235" s="45">
        <v>45856.71649305556</v>
      </c>
      <c r="B235" s="7" t="s">
        <v>1017</v>
      </c>
      <c r="C235" s="7" t="s">
        <v>63</v>
      </c>
      <c r="D235" s="74">
        <v>1.0</v>
      </c>
      <c r="E235" s="46"/>
      <c r="F235" s="47">
        <v>26.93</v>
      </c>
      <c r="G235" s="47">
        <v>0.0</v>
      </c>
      <c r="H235" s="7"/>
      <c r="I235" s="47">
        <v>1.08</v>
      </c>
      <c r="J235" s="8"/>
      <c r="K235" s="7"/>
      <c r="L235" s="7"/>
      <c r="M235" s="7"/>
      <c r="N235" s="7"/>
      <c r="O235" s="7" t="s">
        <v>490</v>
      </c>
      <c r="P235" s="7" t="s">
        <v>1018</v>
      </c>
      <c r="Q235" s="7" t="s">
        <v>1019</v>
      </c>
      <c r="R235" s="7" t="s">
        <v>1020</v>
      </c>
      <c r="S235" s="7" t="s">
        <v>493</v>
      </c>
      <c r="T235" s="65">
        <v>1973.0</v>
      </c>
      <c r="U235" s="7"/>
      <c r="V235" s="7"/>
    </row>
    <row r="236">
      <c r="A236" s="45">
        <v>45856.71627314815</v>
      </c>
      <c r="B236" s="7" t="s">
        <v>144</v>
      </c>
      <c r="C236" s="7" t="s">
        <v>63</v>
      </c>
      <c r="D236" s="74">
        <v>1.0</v>
      </c>
      <c r="E236" s="46"/>
      <c r="F236" s="47">
        <v>24.99</v>
      </c>
      <c r="G236" s="47">
        <v>0.0</v>
      </c>
      <c r="H236" s="7"/>
      <c r="I236" s="47">
        <v>1.4</v>
      </c>
      <c r="J236" s="8"/>
      <c r="K236" s="7"/>
      <c r="L236" s="7"/>
      <c r="M236" s="7"/>
      <c r="N236" s="7"/>
      <c r="O236" s="7" t="s">
        <v>490</v>
      </c>
      <c r="P236" s="7" t="s">
        <v>1382</v>
      </c>
      <c r="Q236" s="7"/>
      <c r="R236" s="7" t="s">
        <v>1383</v>
      </c>
      <c r="S236" s="7" t="s">
        <v>51</v>
      </c>
      <c r="T236" s="65">
        <v>1978.0</v>
      </c>
      <c r="U236" s="7"/>
      <c r="V236" s="7"/>
    </row>
    <row r="237">
      <c r="A237" s="45">
        <v>45856.71623842593</v>
      </c>
      <c r="B237" s="7" t="s">
        <v>343</v>
      </c>
      <c r="C237" s="7" t="s">
        <v>63</v>
      </c>
      <c r="D237" s="74">
        <v>1.0</v>
      </c>
      <c r="E237" s="46"/>
      <c r="F237" s="47">
        <v>24.99</v>
      </c>
      <c r="G237" s="47">
        <v>0.0</v>
      </c>
      <c r="H237" s="7"/>
      <c r="I237" s="47">
        <v>1.4</v>
      </c>
      <c r="J237" s="8"/>
      <c r="K237" s="7"/>
      <c r="L237" s="7"/>
      <c r="M237" s="7"/>
      <c r="N237" s="7"/>
      <c r="O237" s="7" t="s">
        <v>490</v>
      </c>
      <c r="P237" s="7" t="s">
        <v>1655</v>
      </c>
      <c r="Q237" s="65">
        <v>35.0</v>
      </c>
      <c r="R237" s="7" t="s">
        <v>1065</v>
      </c>
      <c r="S237" s="7" t="s">
        <v>525</v>
      </c>
      <c r="T237" s="65">
        <v>1972.0</v>
      </c>
      <c r="U237" s="7"/>
      <c r="V237" s="7"/>
    </row>
    <row r="238">
      <c r="A238" s="45">
        <v>45856.71619212963</v>
      </c>
      <c r="B238" s="7" t="s">
        <v>407</v>
      </c>
      <c r="C238" s="7" t="s">
        <v>63</v>
      </c>
      <c r="D238" s="74">
        <v>1.0</v>
      </c>
      <c r="E238" s="46"/>
      <c r="F238" s="47">
        <v>24.99</v>
      </c>
      <c r="G238" s="47">
        <v>0.0</v>
      </c>
      <c r="H238" s="7"/>
      <c r="I238" s="47">
        <v>1.4</v>
      </c>
      <c r="J238" s="8"/>
      <c r="K238" s="7"/>
      <c r="L238" s="7"/>
      <c r="M238" s="7"/>
      <c r="N238" s="7"/>
      <c r="O238" s="7" t="s">
        <v>490</v>
      </c>
      <c r="P238" s="7" t="s">
        <v>1299</v>
      </c>
      <c r="Q238" s="7"/>
      <c r="R238" s="7" t="s">
        <v>1300</v>
      </c>
      <c r="S238" s="7" t="s">
        <v>633</v>
      </c>
      <c r="T238" s="65">
        <v>1962.0</v>
      </c>
      <c r="U238" s="7"/>
      <c r="V238" s="7"/>
    </row>
    <row r="239">
      <c r="A239" s="45">
        <v>45856.71592592593</v>
      </c>
      <c r="B239" s="7" t="s">
        <v>253</v>
      </c>
      <c r="C239" s="7" t="s">
        <v>63</v>
      </c>
      <c r="D239" s="74">
        <v>1.0</v>
      </c>
      <c r="E239" s="46"/>
      <c r="F239" s="47">
        <v>24.99</v>
      </c>
      <c r="G239" s="47">
        <v>0.0</v>
      </c>
      <c r="H239" s="7"/>
      <c r="I239" s="47">
        <v>1.02</v>
      </c>
      <c r="J239" s="8"/>
      <c r="K239" s="7"/>
      <c r="L239" s="7"/>
      <c r="M239" s="7"/>
      <c r="N239" s="7"/>
      <c r="O239" s="7" t="s">
        <v>490</v>
      </c>
      <c r="P239" s="7" t="s">
        <v>927</v>
      </c>
      <c r="Q239" s="7"/>
      <c r="R239" s="7" t="s">
        <v>928</v>
      </c>
      <c r="S239" s="7" t="s">
        <v>493</v>
      </c>
      <c r="T239" s="65">
        <v>1970.0</v>
      </c>
      <c r="U239" s="7"/>
      <c r="V239" s="7"/>
    </row>
    <row r="240">
      <c r="A240" s="45">
        <v>45856.71575231481</v>
      </c>
      <c r="B240" s="7" t="s">
        <v>299</v>
      </c>
      <c r="C240" s="67" t="s">
        <v>1608</v>
      </c>
      <c r="D240" s="74">
        <v>1.0</v>
      </c>
      <c r="E240" s="74">
        <v>1.0</v>
      </c>
      <c r="F240" s="47">
        <v>124.99</v>
      </c>
      <c r="G240" s="47">
        <v>0.0</v>
      </c>
      <c r="H240" s="7"/>
      <c r="I240" s="47">
        <v>5.8</v>
      </c>
      <c r="J240" s="8"/>
      <c r="K240" s="7"/>
      <c r="L240" s="7"/>
      <c r="M240" s="7"/>
      <c r="N240" s="7"/>
      <c r="O240" s="7" t="s">
        <v>490</v>
      </c>
      <c r="P240" s="7" t="s">
        <v>1374</v>
      </c>
      <c r="Q240" s="7"/>
      <c r="R240" s="7" t="s">
        <v>1375</v>
      </c>
      <c r="S240" s="7" t="s">
        <v>633</v>
      </c>
      <c r="T240" s="65">
        <v>1961.0</v>
      </c>
      <c r="U240" s="7"/>
      <c r="V240" s="7"/>
    </row>
    <row r="241">
      <c r="A241" s="45">
        <v>45856.71574074074</v>
      </c>
      <c r="B241" s="7" t="s">
        <v>1656</v>
      </c>
      <c r="C241" s="67" t="s">
        <v>1608</v>
      </c>
      <c r="D241" s="74">
        <v>1.0</v>
      </c>
      <c r="E241" s="74">
        <v>1.0</v>
      </c>
      <c r="F241" s="47">
        <v>124.99</v>
      </c>
      <c r="G241" s="47">
        <v>0.0</v>
      </c>
      <c r="H241" s="7"/>
      <c r="I241" s="47">
        <v>3.92</v>
      </c>
      <c r="J241" s="8"/>
      <c r="K241" s="7"/>
      <c r="L241" s="7"/>
      <c r="M241" s="7"/>
      <c r="N241" s="7"/>
      <c r="O241" s="7" t="s">
        <v>490</v>
      </c>
      <c r="P241" s="7" t="s">
        <v>1657</v>
      </c>
      <c r="Q241" s="7"/>
      <c r="R241" s="7" t="s">
        <v>1068</v>
      </c>
      <c r="S241" s="7" t="s">
        <v>493</v>
      </c>
      <c r="T241" s="65">
        <v>1963.0</v>
      </c>
      <c r="U241" s="7"/>
      <c r="V241" s="7"/>
    </row>
    <row r="242">
      <c r="A242" s="45">
        <v>45856.71512731481</v>
      </c>
      <c r="B242" s="7" t="s">
        <v>360</v>
      </c>
      <c r="C242" s="7" t="s">
        <v>63</v>
      </c>
      <c r="D242" s="74">
        <v>1.0</v>
      </c>
      <c r="E242" s="46"/>
      <c r="F242" s="47">
        <v>24.99</v>
      </c>
      <c r="G242" s="47">
        <v>0.0</v>
      </c>
      <c r="H242" s="7"/>
      <c r="I242" s="47">
        <v>1.4</v>
      </c>
      <c r="J242" s="8"/>
      <c r="K242" s="7"/>
      <c r="L242" s="7"/>
      <c r="M242" s="7"/>
      <c r="N242" s="7"/>
      <c r="O242" s="7" t="s">
        <v>490</v>
      </c>
      <c r="P242" s="7" t="s">
        <v>1265</v>
      </c>
      <c r="Q242" s="7"/>
      <c r="R242" s="7" t="s">
        <v>1266</v>
      </c>
      <c r="S242" s="7" t="s">
        <v>542</v>
      </c>
      <c r="T242" s="65">
        <v>1968.0</v>
      </c>
      <c r="U242" s="7"/>
      <c r="V242" s="7"/>
    </row>
    <row r="243">
      <c r="A243" s="45">
        <v>45856.71501157407</v>
      </c>
      <c r="B243" s="7" t="s">
        <v>1658</v>
      </c>
      <c r="C243" s="7" t="s">
        <v>63</v>
      </c>
      <c r="D243" s="74">
        <v>1.0</v>
      </c>
      <c r="E243" s="46"/>
      <c r="F243" s="47">
        <v>24.99</v>
      </c>
      <c r="G243" s="47">
        <v>0.0</v>
      </c>
      <c r="H243" s="7"/>
      <c r="I243" s="47">
        <v>1.4</v>
      </c>
      <c r="J243" s="8"/>
      <c r="K243" s="7"/>
      <c r="L243" s="7"/>
      <c r="M243" s="7"/>
      <c r="N243" s="7"/>
      <c r="O243" s="7" t="s">
        <v>490</v>
      </c>
      <c r="P243" s="7" t="s">
        <v>1272</v>
      </c>
      <c r="Q243" s="7"/>
      <c r="R243" s="7" t="s">
        <v>1659</v>
      </c>
      <c r="S243" s="7" t="s">
        <v>521</v>
      </c>
      <c r="T243" s="65">
        <v>1949.0</v>
      </c>
      <c r="U243" s="7"/>
      <c r="V243" s="7"/>
    </row>
    <row r="244">
      <c r="A244" s="45">
        <v>45856.71476851852</v>
      </c>
      <c r="B244" s="7" t="s">
        <v>354</v>
      </c>
      <c r="C244" s="7" t="s">
        <v>63</v>
      </c>
      <c r="D244" s="74">
        <v>1.0</v>
      </c>
      <c r="E244" s="46"/>
      <c r="F244" s="47">
        <v>57.81</v>
      </c>
      <c r="G244" s="47">
        <v>0.0</v>
      </c>
      <c r="H244" s="7"/>
      <c r="I244" s="47">
        <v>2.84</v>
      </c>
      <c r="J244" s="8"/>
      <c r="K244" s="7"/>
      <c r="L244" s="7"/>
      <c r="M244" s="7"/>
      <c r="N244" s="7"/>
      <c r="O244" s="7" t="s">
        <v>490</v>
      </c>
      <c r="P244" s="7" t="s">
        <v>1660</v>
      </c>
      <c r="Q244" s="7"/>
      <c r="R244" s="7" t="s">
        <v>1661</v>
      </c>
      <c r="S244" s="7" t="s">
        <v>521</v>
      </c>
      <c r="T244" s="65">
        <v>1965.0</v>
      </c>
      <c r="U244" s="7"/>
      <c r="V244" s="7"/>
    </row>
    <row r="245">
      <c r="A245" s="45">
        <v>45856.71476851852</v>
      </c>
      <c r="B245" s="7" t="s">
        <v>409</v>
      </c>
      <c r="C245" s="7" t="s">
        <v>63</v>
      </c>
      <c r="D245" s="74">
        <v>1.0</v>
      </c>
      <c r="E245" s="46"/>
      <c r="F245" s="47">
        <v>24.99</v>
      </c>
      <c r="G245" s="47">
        <v>0.0</v>
      </c>
      <c r="H245" s="7"/>
      <c r="I245" s="47">
        <v>1.02</v>
      </c>
      <c r="J245" s="8"/>
      <c r="K245" s="7"/>
      <c r="L245" s="7"/>
      <c r="M245" s="7"/>
      <c r="N245" s="7"/>
      <c r="O245" s="7" t="s">
        <v>490</v>
      </c>
      <c r="P245" s="7" t="s">
        <v>1421</v>
      </c>
      <c r="Q245" s="7"/>
      <c r="R245" s="7" t="s">
        <v>1249</v>
      </c>
      <c r="S245" s="7" t="s">
        <v>493</v>
      </c>
      <c r="T245" s="65">
        <v>1966.0</v>
      </c>
      <c r="U245" s="7"/>
      <c r="V245" s="7"/>
    </row>
    <row r="246">
      <c r="A246" s="45">
        <v>45856.71454861111</v>
      </c>
      <c r="B246" s="7" t="s">
        <v>392</v>
      </c>
      <c r="C246" s="7" t="s">
        <v>63</v>
      </c>
      <c r="D246" s="74">
        <v>1.0</v>
      </c>
      <c r="E246" s="46"/>
      <c r="F246" s="47">
        <v>24.99</v>
      </c>
      <c r="G246" s="47">
        <v>0.0</v>
      </c>
      <c r="H246" s="7"/>
      <c r="I246" s="47">
        <v>1.02</v>
      </c>
      <c r="J246" s="8"/>
      <c r="K246" s="7"/>
      <c r="L246" s="7"/>
      <c r="M246" s="7"/>
      <c r="N246" s="7"/>
      <c r="O246" s="7" t="s">
        <v>490</v>
      </c>
      <c r="P246" s="7" t="s">
        <v>1133</v>
      </c>
      <c r="Q246" s="7" t="s">
        <v>1134</v>
      </c>
      <c r="R246" s="7" t="s">
        <v>947</v>
      </c>
      <c r="S246" s="7" t="s">
        <v>493</v>
      </c>
      <c r="T246" s="65">
        <v>1934.0</v>
      </c>
      <c r="U246" s="7"/>
      <c r="V246" s="7"/>
    </row>
    <row r="247">
      <c r="A247" s="45">
        <v>45856.71451388889</v>
      </c>
      <c r="B247" s="7" t="s">
        <v>430</v>
      </c>
      <c r="C247" s="7" t="s">
        <v>63</v>
      </c>
      <c r="D247" s="74">
        <v>1.0</v>
      </c>
      <c r="E247" s="46"/>
      <c r="F247" s="47">
        <v>24.99</v>
      </c>
      <c r="G247" s="47">
        <v>0.0</v>
      </c>
      <c r="H247" s="7"/>
      <c r="I247" s="47">
        <v>1.02</v>
      </c>
      <c r="J247" s="8"/>
      <c r="K247" s="7"/>
      <c r="L247" s="7"/>
      <c r="M247" s="7"/>
      <c r="N247" s="7"/>
      <c r="O247" s="7" t="s">
        <v>490</v>
      </c>
      <c r="P247" s="7" t="s">
        <v>1662</v>
      </c>
      <c r="Q247" s="7"/>
      <c r="R247" s="7" t="s">
        <v>1118</v>
      </c>
      <c r="S247" s="7" t="s">
        <v>493</v>
      </c>
      <c r="T247" s="65">
        <v>1957.0</v>
      </c>
      <c r="U247" s="7"/>
      <c r="V247" s="7"/>
    </row>
    <row r="248">
      <c r="A248" s="45">
        <v>45856.714467592596</v>
      </c>
      <c r="B248" s="7" t="s">
        <v>1663</v>
      </c>
      <c r="C248" s="67" t="s">
        <v>1608</v>
      </c>
      <c r="D248" s="74">
        <v>1.0</v>
      </c>
      <c r="E248" s="74">
        <v>1.0</v>
      </c>
      <c r="F248" s="47">
        <v>149.79</v>
      </c>
      <c r="G248" s="47">
        <v>0.0</v>
      </c>
      <c r="H248" s="7"/>
      <c r="I248" s="47">
        <v>6.89</v>
      </c>
      <c r="J248" s="8"/>
      <c r="K248" s="7"/>
      <c r="L248" s="7"/>
      <c r="M248" s="7"/>
      <c r="N248" s="7"/>
      <c r="O248" s="7" t="s">
        <v>490</v>
      </c>
      <c r="P248" s="7" t="s">
        <v>1322</v>
      </c>
      <c r="Q248" s="7"/>
      <c r="R248" s="7" t="s">
        <v>1664</v>
      </c>
      <c r="S248" s="7" t="s">
        <v>542</v>
      </c>
      <c r="T248" s="65">
        <v>1889.0</v>
      </c>
      <c r="U248" s="7"/>
      <c r="V248" s="7"/>
    </row>
    <row r="249">
      <c r="A249" s="45">
        <v>45856.714050925926</v>
      </c>
      <c r="B249" s="7" t="s">
        <v>352</v>
      </c>
      <c r="C249" s="7" t="s">
        <v>63</v>
      </c>
      <c r="D249" s="74">
        <v>1.0</v>
      </c>
      <c r="E249" s="46"/>
      <c r="F249" s="47">
        <v>24.99</v>
      </c>
      <c r="G249" s="47">
        <v>0.0</v>
      </c>
      <c r="H249" s="7"/>
      <c r="I249" s="47">
        <v>1.4</v>
      </c>
      <c r="J249" s="8"/>
      <c r="K249" s="7"/>
      <c r="L249" s="7"/>
      <c r="M249" s="7"/>
      <c r="N249" s="7"/>
      <c r="O249" s="7" t="s">
        <v>490</v>
      </c>
      <c r="P249" s="7"/>
      <c r="Q249" s="7"/>
      <c r="R249" s="7"/>
      <c r="S249" s="7" t="s">
        <v>973</v>
      </c>
      <c r="T249" s="65">
        <v>1932.0</v>
      </c>
      <c r="U249" s="7"/>
      <c r="V249" s="7"/>
    </row>
    <row r="250">
      <c r="A250" s="45">
        <v>45856.713958333334</v>
      </c>
      <c r="B250" s="7" t="s">
        <v>1350</v>
      </c>
      <c r="C250" s="7" t="s">
        <v>63</v>
      </c>
      <c r="D250" s="74">
        <v>1.0</v>
      </c>
      <c r="E250" s="46"/>
      <c r="F250" s="47">
        <v>24.99</v>
      </c>
      <c r="G250" s="47">
        <v>0.0</v>
      </c>
      <c r="H250" s="7"/>
      <c r="I250" s="47">
        <v>1.4</v>
      </c>
      <c r="J250" s="8"/>
      <c r="K250" s="7"/>
      <c r="L250" s="7"/>
      <c r="M250" s="7"/>
      <c r="N250" s="7"/>
      <c r="O250" s="7" t="s">
        <v>490</v>
      </c>
      <c r="P250" s="7" t="s">
        <v>1351</v>
      </c>
      <c r="Q250" s="7"/>
      <c r="R250" s="7" t="s">
        <v>1352</v>
      </c>
      <c r="S250" s="7" t="s">
        <v>545</v>
      </c>
      <c r="T250" s="65">
        <v>1946.0</v>
      </c>
      <c r="U250" s="7"/>
      <c r="V250" s="7"/>
    </row>
    <row r="251">
      <c r="A251" s="45">
        <v>45856.71392361111</v>
      </c>
      <c r="B251" s="7" t="s">
        <v>416</v>
      </c>
      <c r="C251" s="7" t="s">
        <v>63</v>
      </c>
      <c r="D251" s="74">
        <v>1.0</v>
      </c>
      <c r="E251" s="46"/>
      <c r="F251" s="47">
        <v>34.46</v>
      </c>
      <c r="G251" s="47">
        <v>0.0</v>
      </c>
      <c r="H251" s="7"/>
      <c r="I251" s="47">
        <v>1.3</v>
      </c>
      <c r="J251" s="8"/>
      <c r="K251" s="7"/>
      <c r="L251" s="7"/>
      <c r="M251" s="7"/>
      <c r="N251" s="7"/>
      <c r="O251" s="7" t="s">
        <v>490</v>
      </c>
      <c r="P251" s="7" t="s">
        <v>1440</v>
      </c>
      <c r="Q251" s="7" t="s">
        <v>1441</v>
      </c>
      <c r="R251" s="7" t="s">
        <v>1442</v>
      </c>
      <c r="S251" s="7" t="s">
        <v>493</v>
      </c>
      <c r="T251" s="65">
        <v>1956.0</v>
      </c>
      <c r="U251" s="7"/>
      <c r="V251" s="7"/>
    </row>
    <row r="252">
      <c r="A252" s="45">
        <v>45856.71387731482</v>
      </c>
      <c r="B252" s="7" t="s">
        <v>1259</v>
      </c>
      <c r="C252" s="7" t="s">
        <v>63</v>
      </c>
      <c r="D252" s="74">
        <v>1.0</v>
      </c>
      <c r="E252" s="46"/>
      <c r="F252" s="47">
        <v>37.25</v>
      </c>
      <c r="G252" s="47">
        <v>0.0</v>
      </c>
      <c r="H252" s="7"/>
      <c r="I252" s="47">
        <v>1.38</v>
      </c>
      <c r="J252" s="8"/>
      <c r="K252" s="7"/>
      <c r="L252" s="7"/>
      <c r="M252" s="7"/>
      <c r="N252" s="7"/>
      <c r="O252" s="7" t="s">
        <v>490</v>
      </c>
      <c r="P252" s="7" t="s">
        <v>1260</v>
      </c>
      <c r="Q252" s="7"/>
      <c r="R252" s="7" t="s">
        <v>1261</v>
      </c>
      <c r="S252" s="7" t="s">
        <v>493</v>
      </c>
      <c r="T252" s="65">
        <v>1954.0</v>
      </c>
      <c r="U252" s="7"/>
      <c r="V252" s="7"/>
    </row>
    <row r="253">
      <c r="A253" s="45">
        <v>45856.71376157407</v>
      </c>
      <c r="B253" s="7" t="s">
        <v>388</v>
      </c>
      <c r="C253" s="7" t="s">
        <v>63</v>
      </c>
      <c r="D253" s="74">
        <v>1.0</v>
      </c>
      <c r="E253" s="46"/>
      <c r="F253" s="47">
        <v>24.99</v>
      </c>
      <c r="G253" s="47">
        <v>0.0</v>
      </c>
      <c r="H253" s="7"/>
      <c r="I253" s="47">
        <v>1.4</v>
      </c>
      <c r="J253" s="8"/>
      <c r="K253" s="7"/>
      <c r="L253" s="7"/>
      <c r="M253" s="7"/>
      <c r="N253" s="7"/>
      <c r="O253" s="7" t="s">
        <v>490</v>
      </c>
      <c r="P253" s="7" t="s">
        <v>1665</v>
      </c>
      <c r="Q253" s="7"/>
      <c r="R253" s="7" t="s">
        <v>1666</v>
      </c>
      <c r="S253" s="7" t="s">
        <v>555</v>
      </c>
      <c r="T253" s="65">
        <v>1951.0</v>
      </c>
      <c r="U253" s="7"/>
      <c r="V253" s="7"/>
    </row>
    <row r="254">
      <c r="A254" s="45">
        <v>45856.71375</v>
      </c>
      <c r="B254" s="7" t="s">
        <v>1104</v>
      </c>
      <c r="C254" s="7" t="s">
        <v>63</v>
      </c>
      <c r="D254" s="74">
        <v>1.0</v>
      </c>
      <c r="E254" s="46"/>
      <c r="F254" s="47">
        <v>24.99</v>
      </c>
      <c r="G254" s="47">
        <v>0.0</v>
      </c>
      <c r="H254" s="7"/>
      <c r="I254" s="47">
        <v>1.02</v>
      </c>
      <c r="J254" s="8"/>
      <c r="K254" s="7"/>
      <c r="L254" s="7"/>
      <c r="M254" s="7"/>
      <c r="N254" s="7"/>
      <c r="O254" s="7" t="s">
        <v>490</v>
      </c>
      <c r="P254" s="7" t="s">
        <v>1667</v>
      </c>
      <c r="Q254" s="7"/>
      <c r="R254" s="7" t="s">
        <v>1106</v>
      </c>
      <c r="S254" s="7" t="s">
        <v>493</v>
      </c>
      <c r="T254" s="65">
        <v>1945.0</v>
      </c>
      <c r="U254" s="7"/>
      <c r="V254" s="7"/>
    </row>
    <row r="255">
      <c r="A255" s="45">
        <v>45856.71363425926</v>
      </c>
      <c r="B255" s="7" t="s">
        <v>418</v>
      </c>
      <c r="C255" s="7" t="s">
        <v>63</v>
      </c>
      <c r="D255" s="74">
        <v>1.0</v>
      </c>
      <c r="E255" s="46"/>
      <c r="F255" s="47">
        <v>24.99</v>
      </c>
      <c r="G255" s="47">
        <v>0.0</v>
      </c>
      <c r="H255" s="7"/>
      <c r="I255" s="47">
        <v>1.4</v>
      </c>
      <c r="J255" s="8"/>
      <c r="K255" s="7"/>
      <c r="L255" s="7"/>
      <c r="M255" s="7"/>
      <c r="N255" s="7"/>
      <c r="O255" s="7" t="s">
        <v>490</v>
      </c>
      <c r="P255" s="7" t="s">
        <v>1335</v>
      </c>
      <c r="Q255" s="7"/>
      <c r="R255" s="7" t="s">
        <v>1336</v>
      </c>
      <c r="S255" s="7" t="s">
        <v>545</v>
      </c>
      <c r="T255" s="65">
        <v>1953.0</v>
      </c>
      <c r="U255" s="7"/>
      <c r="V255" s="7"/>
    </row>
    <row r="256">
      <c r="A256" s="45">
        <v>45856.71340277778</v>
      </c>
      <c r="B256" s="7" t="s">
        <v>250</v>
      </c>
      <c r="C256" s="7" t="s">
        <v>63</v>
      </c>
      <c r="D256" s="74">
        <v>1.0</v>
      </c>
      <c r="E256" s="46"/>
      <c r="F256" s="47">
        <v>24.99</v>
      </c>
      <c r="G256" s="47">
        <v>0.0</v>
      </c>
      <c r="H256" s="7"/>
      <c r="I256" s="47">
        <v>1.4</v>
      </c>
      <c r="J256" s="8"/>
      <c r="K256" s="7"/>
      <c r="L256" s="7"/>
      <c r="M256" s="7"/>
      <c r="N256" s="7"/>
      <c r="O256" s="7" t="s">
        <v>490</v>
      </c>
      <c r="P256" s="7" t="s">
        <v>1075</v>
      </c>
      <c r="Q256" s="7"/>
      <c r="R256" s="7" t="s">
        <v>1076</v>
      </c>
      <c r="S256" s="7" t="s">
        <v>525</v>
      </c>
      <c r="T256" s="65">
        <v>1935.0</v>
      </c>
      <c r="U256" s="7"/>
      <c r="V256" s="7"/>
    </row>
    <row r="257">
      <c r="A257" s="45">
        <v>45856.71331018519</v>
      </c>
      <c r="B257" s="7" t="s">
        <v>608</v>
      </c>
      <c r="C257" s="67" t="s">
        <v>1608</v>
      </c>
      <c r="D257" s="74">
        <v>1.0</v>
      </c>
      <c r="E257" s="74">
        <v>1.0</v>
      </c>
      <c r="F257" s="47">
        <v>124.99</v>
      </c>
      <c r="G257" s="47">
        <v>0.0</v>
      </c>
      <c r="H257" s="7"/>
      <c r="I257" s="47">
        <v>5.8</v>
      </c>
      <c r="J257" s="8"/>
      <c r="K257" s="7"/>
      <c r="L257" s="7"/>
      <c r="M257" s="7"/>
      <c r="N257" s="7"/>
      <c r="O257" s="7" t="s">
        <v>490</v>
      </c>
      <c r="P257" s="7" t="s">
        <v>609</v>
      </c>
      <c r="Q257" s="7" t="s">
        <v>610</v>
      </c>
      <c r="R257" s="7" t="s">
        <v>611</v>
      </c>
      <c r="S257" s="7" t="s">
        <v>542</v>
      </c>
      <c r="T257" s="65">
        <v>1940.0</v>
      </c>
      <c r="U257" s="7"/>
      <c r="V257" s="7"/>
    </row>
    <row r="258">
      <c r="A258" s="45">
        <v>45856.71313657407</v>
      </c>
      <c r="B258" s="7" t="s">
        <v>429</v>
      </c>
      <c r="C258" s="7" t="s">
        <v>63</v>
      </c>
      <c r="D258" s="74">
        <v>1.0</v>
      </c>
      <c r="E258" s="46"/>
      <c r="F258" s="47">
        <v>24.99</v>
      </c>
      <c r="G258" s="47">
        <v>0.0</v>
      </c>
      <c r="H258" s="7"/>
      <c r="I258" s="47">
        <v>1.4</v>
      </c>
      <c r="J258" s="8"/>
      <c r="K258" s="7"/>
      <c r="L258" s="7"/>
      <c r="M258" s="7"/>
      <c r="N258" s="7"/>
      <c r="O258" s="7" t="s">
        <v>490</v>
      </c>
      <c r="P258" s="7" t="s">
        <v>1438</v>
      </c>
      <c r="Q258" s="7"/>
      <c r="R258" s="7" t="s">
        <v>1439</v>
      </c>
      <c r="S258" s="7" t="s">
        <v>939</v>
      </c>
      <c r="T258" s="65">
        <v>1942.0</v>
      </c>
      <c r="U258" s="7"/>
      <c r="V258" s="7"/>
    </row>
    <row r="259">
      <c r="A259" s="45">
        <v>45856.712789351855</v>
      </c>
      <c r="B259" s="7" t="s">
        <v>170</v>
      </c>
      <c r="C259" s="7" t="s">
        <v>63</v>
      </c>
      <c r="D259" s="74">
        <v>1.0</v>
      </c>
      <c r="E259" s="46"/>
      <c r="F259" s="47">
        <v>24.99</v>
      </c>
      <c r="G259" s="47">
        <v>0.0</v>
      </c>
      <c r="H259" s="7"/>
      <c r="I259" s="47">
        <v>1.4</v>
      </c>
      <c r="J259" s="8"/>
      <c r="K259" s="7"/>
      <c r="L259" s="7"/>
      <c r="M259" s="7"/>
      <c r="N259" s="7"/>
      <c r="O259" s="7" t="s">
        <v>490</v>
      </c>
      <c r="P259" s="7" t="s">
        <v>1366</v>
      </c>
      <c r="Q259" s="7"/>
      <c r="R259" s="7" t="s">
        <v>1367</v>
      </c>
      <c r="S259" s="7" t="s">
        <v>1368</v>
      </c>
      <c r="T259" s="65">
        <v>1950.0</v>
      </c>
      <c r="U259" s="7"/>
      <c r="V259" s="7"/>
    </row>
    <row r="260">
      <c r="A260" s="45">
        <v>45856.71270833333</v>
      </c>
      <c r="B260" s="7" t="s">
        <v>408</v>
      </c>
      <c r="C260" s="7" t="s">
        <v>63</v>
      </c>
      <c r="D260" s="74">
        <v>1.0</v>
      </c>
      <c r="E260" s="46"/>
      <c r="F260" s="47">
        <v>24.99</v>
      </c>
      <c r="G260" s="47">
        <v>0.0</v>
      </c>
      <c r="H260" s="7"/>
      <c r="I260" s="47">
        <v>1.02</v>
      </c>
      <c r="J260" s="8"/>
      <c r="K260" s="7"/>
      <c r="L260" s="7"/>
      <c r="M260" s="7"/>
      <c r="N260" s="7"/>
      <c r="O260" s="7" t="s">
        <v>490</v>
      </c>
      <c r="P260" s="7" t="s">
        <v>1013</v>
      </c>
      <c r="Q260" s="7"/>
      <c r="R260" s="7" t="s">
        <v>1014</v>
      </c>
      <c r="S260" s="7" t="s">
        <v>493</v>
      </c>
      <c r="T260" s="65">
        <v>1909.0</v>
      </c>
      <c r="U260" s="7"/>
      <c r="V260" s="7"/>
    </row>
    <row r="261">
      <c r="A261" s="45">
        <v>45856.71260416666</v>
      </c>
      <c r="B261" s="7" t="s">
        <v>812</v>
      </c>
      <c r="C261" s="67" t="s">
        <v>1608</v>
      </c>
      <c r="D261" s="74">
        <v>1.0</v>
      </c>
      <c r="E261" s="74">
        <v>1.0</v>
      </c>
      <c r="F261" s="47">
        <v>124.99</v>
      </c>
      <c r="G261" s="47">
        <v>0.0</v>
      </c>
      <c r="H261" s="7"/>
      <c r="I261" s="47">
        <v>5.8</v>
      </c>
      <c r="J261" s="8"/>
      <c r="K261" s="7"/>
      <c r="L261" s="7"/>
      <c r="M261" s="7"/>
      <c r="N261" s="7"/>
      <c r="O261" s="7" t="s">
        <v>490</v>
      </c>
      <c r="P261" s="7" t="s">
        <v>813</v>
      </c>
      <c r="Q261" s="7" t="s">
        <v>1668</v>
      </c>
      <c r="R261" s="7" t="s">
        <v>815</v>
      </c>
      <c r="S261" s="7" t="s">
        <v>555</v>
      </c>
      <c r="T261" s="65">
        <v>1939.0</v>
      </c>
      <c r="U261" s="7"/>
      <c r="V261" s="7"/>
    </row>
    <row r="262">
      <c r="A262" s="45">
        <v>45856.712233796294</v>
      </c>
      <c r="B262" s="7" t="s">
        <v>464</v>
      </c>
      <c r="C262" s="7" t="s">
        <v>63</v>
      </c>
      <c r="D262" s="74">
        <v>1.0</v>
      </c>
      <c r="E262" s="46"/>
      <c r="F262" s="47">
        <v>24.99</v>
      </c>
      <c r="G262" s="47">
        <v>0.0</v>
      </c>
      <c r="H262" s="7"/>
      <c r="I262" s="47">
        <v>1.02</v>
      </c>
      <c r="J262" s="8"/>
      <c r="K262" s="7"/>
      <c r="L262" s="7"/>
      <c r="M262" s="7"/>
      <c r="N262" s="7"/>
      <c r="O262" s="7" t="s">
        <v>490</v>
      </c>
      <c r="P262" s="7" t="s">
        <v>1369</v>
      </c>
      <c r="Q262" s="7"/>
      <c r="R262" s="7" t="s">
        <v>1370</v>
      </c>
      <c r="S262" s="7" t="s">
        <v>493</v>
      </c>
      <c r="T262" s="65">
        <v>1947.0</v>
      </c>
      <c r="U262" s="7"/>
      <c r="V262" s="7"/>
    </row>
    <row r="263">
      <c r="A263" s="45">
        <v>45856.7121875</v>
      </c>
      <c r="B263" s="7" t="s">
        <v>1669</v>
      </c>
      <c r="C263" s="7" t="s">
        <v>63</v>
      </c>
      <c r="D263" s="74">
        <v>1.0</v>
      </c>
      <c r="E263" s="46"/>
      <c r="F263" s="47">
        <v>24.99</v>
      </c>
      <c r="G263" s="47">
        <v>0.0</v>
      </c>
      <c r="H263" s="7"/>
      <c r="I263" s="47">
        <v>1.4</v>
      </c>
      <c r="J263" s="8"/>
      <c r="K263" s="7"/>
      <c r="L263" s="7"/>
      <c r="M263" s="7"/>
      <c r="N263" s="7"/>
      <c r="O263" s="7" t="s">
        <v>490</v>
      </c>
      <c r="P263" s="7" t="s">
        <v>1670</v>
      </c>
      <c r="Q263" s="7"/>
      <c r="R263" s="7" t="s">
        <v>708</v>
      </c>
      <c r="S263" s="7" t="s">
        <v>521</v>
      </c>
      <c r="T263" s="65">
        <v>1941.0</v>
      </c>
      <c r="U263" s="7"/>
      <c r="V263" s="7"/>
    </row>
    <row r="264">
      <c r="A264" s="45">
        <v>45856.71197916667</v>
      </c>
      <c r="B264" s="7" t="s">
        <v>286</v>
      </c>
      <c r="C264" s="7" t="s">
        <v>63</v>
      </c>
      <c r="D264" s="74">
        <v>1.0</v>
      </c>
      <c r="E264" s="46"/>
      <c r="F264" s="47">
        <v>38.68</v>
      </c>
      <c r="G264" s="47">
        <v>0.0</v>
      </c>
      <c r="H264" s="7"/>
      <c r="I264" s="47">
        <v>1.42</v>
      </c>
      <c r="J264" s="8"/>
      <c r="K264" s="7"/>
      <c r="L264" s="7"/>
      <c r="M264" s="7"/>
      <c r="N264" s="7"/>
      <c r="O264" s="7" t="s">
        <v>490</v>
      </c>
      <c r="P264" s="7" t="s">
        <v>1357</v>
      </c>
      <c r="Q264" s="7"/>
      <c r="R264" s="7" t="s">
        <v>1358</v>
      </c>
      <c r="S264" s="7" t="s">
        <v>493</v>
      </c>
      <c r="T264" s="65">
        <v>1944.0</v>
      </c>
      <c r="U264" s="7"/>
      <c r="V264" s="7"/>
    </row>
    <row r="265">
      <c r="A265" s="45">
        <v>45856.71181712963</v>
      </c>
      <c r="B265" s="7" t="s">
        <v>1671</v>
      </c>
      <c r="C265" s="7" t="s">
        <v>63</v>
      </c>
      <c r="D265" s="74">
        <v>1.0</v>
      </c>
      <c r="E265" s="46"/>
      <c r="F265" s="47">
        <v>24.99</v>
      </c>
      <c r="G265" s="47">
        <v>0.0</v>
      </c>
      <c r="H265" s="7"/>
      <c r="I265" s="47">
        <v>1.4</v>
      </c>
      <c r="J265" s="8"/>
      <c r="K265" s="7"/>
      <c r="L265" s="7"/>
      <c r="M265" s="7"/>
      <c r="N265" s="7"/>
      <c r="O265" s="7" t="s">
        <v>490</v>
      </c>
      <c r="P265" s="7" t="s">
        <v>1407</v>
      </c>
      <c r="Q265" s="7" t="s">
        <v>1408</v>
      </c>
      <c r="R265" s="7" t="s">
        <v>1409</v>
      </c>
      <c r="S265" s="7" t="s">
        <v>542</v>
      </c>
      <c r="T265" s="65">
        <v>1938.0</v>
      </c>
      <c r="U265" s="7"/>
      <c r="V265" s="7"/>
    </row>
    <row r="266">
      <c r="A266" s="45">
        <v>45856.711747685185</v>
      </c>
      <c r="B266" s="7" t="s">
        <v>443</v>
      </c>
      <c r="C266" s="7" t="s">
        <v>63</v>
      </c>
      <c r="D266" s="74">
        <v>1.0</v>
      </c>
      <c r="E266" s="46"/>
      <c r="F266" s="47">
        <v>24.99</v>
      </c>
      <c r="G266" s="47">
        <v>0.0</v>
      </c>
      <c r="H266" s="7"/>
      <c r="I266" s="47">
        <v>1.02</v>
      </c>
      <c r="J266" s="8"/>
      <c r="K266" s="7"/>
      <c r="L266" s="7"/>
      <c r="M266" s="7"/>
      <c r="N266" s="7"/>
      <c r="O266" s="7" t="s">
        <v>490</v>
      </c>
      <c r="P266" s="7" t="s">
        <v>1145</v>
      </c>
      <c r="Q266" s="65">
        <v>237.0</v>
      </c>
      <c r="R266" s="7" t="s">
        <v>1147</v>
      </c>
      <c r="S266" s="7" t="s">
        <v>493</v>
      </c>
      <c r="T266" s="65">
        <v>1936.0</v>
      </c>
      <c r="U266" s="7"/>
      <c r="V266" s="7"/>
    </row>
    <row r="267">
      <c r="A267" s="45">
        <v>45856.711689814816</v>
      </c>
      <c r="B267" s="7" t="s">
        <v>394</v>
      </c>
      <c r="C267" s="7" t="s">
        <v>63</v>
      </c>
      <c r="D267" s="74">
        <v>1.0</v>
      </c>
      <c r="E267" s="46"/>
      <c r="F267" s="47">
        <v>24.99</v>
      </c>
      <c r="G267" s="47">
        <v>0.0</v>
      </c>
      <c r="H267" s="7"/>
      <c r="I267" s="47">
        <v>1.4</v>
      </c>
      <c r="J267" s="8"/>
      <c r="K267" s="7"/>
      <c r="L267" s="7"/>
      <c r="M267" s="7"/>
      <c r="N267" s="7"/>
      <c r="O267" s="7" t="s">
        <v>490</v>
      </c>
      <c r="P267" s="7" t="s">
        <v>1346</v>
      </c>
      <c r="Q267" s="7"/>
      <c r="R267" s="7" t="s">
        <v>1672</v>
      </c>
      <c r="S267" s="7" t="s">
        <v>521</v>
      </c>
      <c r="T267" s="65">
        <v>1926.0</v>
      </c>
      <c r="U267" s="7"/>
      <c r="V267" s="7"/>
    </row>
    <row r="268">
      <c r="A268" s="45">
        <v>45856.71123842592</v>
      </c>
      <c r="B268" s="7" t="s">
        <v>1673</v>
      </c>
      <c r="C268" s="7" t="s">
        <v>63</v>
      </c>
      <c r="D268" s="74">
        <v>1.0</v>
      </c>
      <c r="E268" s="46"/>
      <c r="F268" s="47">
        <v>24.99</v>
      </c>
      <c r="G268" s="47">
        <v>0.0</v>
      </c>
      <c r="H268" s="7"/>
      <c r="I268" s="47">
        <v>1.4</v>
      </c>
      <c r="J268" s="8"/>
      <c r="K268" s="7"/>
      <c r="L268" s="7"/>
      <c r="M268" s="7"/>
      <c r="N268" s="7"/>
      <c r="O268" s="7" t="s">
        <v>490</v>
      </c>
      <c r="P268" s="7" t="s">
        <v>1674</v>
      </c>
      <c r="Q268" s="7"/>
      <c r="R268" s="7" t="s">
        <v>1675</v>
      </c>
      <c r="S268" s="7" t="s">
        <v>726</v>
      </c>
      <c r="T268" s="65">
        <v>1916.0</v>
      </c>
      <c r="U268" s="7"/>
      <c r="V268" s="7"/>
    </row>
    <row r="269">
      <c r="A269" s="45">
        <v>45856.711226851854</v>
      </c>
      <c r="B269" s="7" t="s">
        <v>387</v>
      </c>
      <c r="C269" s="7" t="s">
        <v>63</v>
      </c>
      <c r="D269" s="74">
        <v>1.0</v>
      </c>
      <c r="E269" s="46"/>
      <c r="F269" s="47">
        <v>24.99</v>
      </c>
      <c r="G269" s="47">
        <v>0.0</v>
      </c>
      <c r="H269" s="7"/>
      <c r="I269" s="47">
        <v>1.4</v>
      </c>
      <c r="J269" s="8"/>
      <c r="K269" s="7"/>
      <c r="L269" s="7"/>
      <c r="M269" s="7"/>
      <c r="N269" s="7"/>
      <c r="O269" s="7" t="s">
        <v>490</v>
      </c>
      <c r="P269" s="7" t="s">
        <v>1453</v>
      </c>
      <c r="Q269" s="7"/>
      <c r="R269" s="7" t="s">
        <v>1454</v>
      </c>
      <c r="S269" s="7" t="s">
        <v>726</v>
      </c>
      <c r="T269" s="65">
        <v>1928.0</v>
      </c>
      <c r="U269" s="7"/>
      <c r="V269" s="7"/>
    </row>
    <row r="270">
      <c r="A270" s="45">
        <v>45856.711180555554</v>
      </c>
      <c r="B270" s="7" t="s">
        <v>424</v>
      </c>
      <c r="C270" s="67" t="s">
        <v>1608</v>
      </c>
      <c r="D270" s="74">
        <v>1.0</v>
      </c>
      <c r="E270" s="74">
        <v>1.0</v>
      </c>
      <c r="F270" s="47">
        <v>124.99</v>
      </c>
      <c r="G270" s="47">
        <v>0.0</v>
      </c>
      <c r="H270" s="7"/>
      <c r="I270" s="47">
        <v>3.92</v>
      </c>
      <c r="J270" s="8"/>
      <c r="K270" s="7"/>
      <c r="L270" s="7"/>
      <c r="M270" s="7"/>
      <c r="N270" s="7"/>
      <c r="O270" s="7" t="s">
        <v>490</v>
      </c>
      <c r="P270" s="7" t="s">
        <v>1676</v>
      </c>
      <c r="Q270" s="7"/>
      <c r="R270" s="7" t="s">
        <v>1373</v>
      </c>
      <c r="S270" s="7" t="s">
        <v>493</v>
      </c>
      <c r="T270" s="65">
        <v>1929.0</v>
      </c>
      <c r="U270" s="7"/>
      <c r="V270" s="7"/>
    </row>
    <row r="271">
      <c r="A271" s="45">
        <v>45856.71084490741</v>
      </c>
      <c r="B271" s="7" t="s">
        <v>296</v>
      </c>
      <c r="C271" s="7" t="s">
        <v>63</v>
      </c>
      <c r="D271" s="74">
        <v>1.0</v>
      </c>
      <c r="E271" s="46"/>
      <c r="F271" s="47">
        <v>24.99</v>
      </c>
      <c r="G271" s="47">
        <v>0.0</v>
      </c>
      <c r="H271" s="7"/>
      <c r="I271" s="47">
        <v>1.4</v>
      </c>
      <c r="J271" s="8"/>
      <c r="K271" s="7"/>
      <c r="L271" s="7"/>
      <c r="M271" s="7"/>
      <c r="N271" s="7"/>
      <c r="O271" s="7" t="s">
        <v>490</v>
      </c>
      <c r="P271" s="7" t="s">
        <v>968</v>
      </c>
      <c r="Q271" s="7"/>
      <c r="R271" s="7" t="s">
        <v>969</v>
      </c>
      <c r="S271" s="7" t="s">
        <v>617</v>
      </c>
      <c r="T271" s="65">
        <v>1918.0</v>
      </c>
      <c r="U271" s="7"/>
      <c r="V271" s="7"/>
    </row>
    <row r="272">
      <c r="A272" s="45">
        <v>45856.710752314815</v>
      </c>
      <c r="B272" s="7" t="s">
        <v>1677</v>
      </c>
      <c r="C272" s="7" t="s">
        <v>63</v>
      </c>
      <c r="D272" s="74">
        <v>1.0</v>
      </c>
      <c r="E272" s="46"/>
      <c r="F272" s="47">
        <v>24.99</v>
      </c>
      <c r="G272" s="47">
        <v>0.0</v>
      </c>
      <c r="H272" s="7"/>
      <c r="I272" s="47">
        <v>1.02</v>
      </c>
      <c r="J272" s="8"/>
      <c r="K272" s="7"/>
      <c r="L272" s="7"/>
      <c r="M272" s="7"/>
      <c r="N272" s="7"/>
      <c r="O272" s="7" t="s">
        <v>490</v>
      </c>
      <c r="P272" s="7" t="s">
        <v>1460</v>
      </c>
      <c r="Q272" s="7"/>
      <c r="R272" s="7" t="s">
        <v>1461</v>
      </c>
      <c r="S272" s="7" t="s">
        <v>493</v>
      </c>
      <c r="T272" s="65">
        <v>1924.0</v>
      </c>
      <c r="U272" s="7"/>
      <c r="V272" s="7"/>
    </row>
    <row r="273">
      <c r="A273" s="45">
        <v>45856.71063657408</v>
      </c>
      <c r="B273" s="7" t="s">
        <v>441</v>
      </c>
      <c r="C273" s="7" t="s">
        <v>63</v>
      </c>
      <c r="D273" s="74">
        <v>1.0</v>
      </c>
      <c r="E273" s="46"/>
      <c r="F273" s="47">
        <v>24.99</v>
      </c>
      <c r="G273" s="47">
        <v>0.0</v>
      </c>
      <c r="H273" s="7"/>
      <c r="I273" s="47">
        <v>1.02</v>
      </c>
      <c r="J273" s="8"/>
      <c r="K273" s="7"/>
      <c r="L273" s="7"/>
      <c r="M273" s="7"/>
      <c r="N273" s="7"/>
      <c r="O273" s="7" t="s">
        <v>490</v>
      </c>
      <c r="P273" s="7" t="s">
        <v>1410</v>
      </c>
      <c r="Q273" s="7"/>
      <c r="R273" s="7" t="s">
        <v>1411</v>
      </c>
      <c r="S273" s="7" t="s">
        <v>493</v>
      </c>
      <c r="T273" s="65">
        <v>1925.0</v>
      </c>
      <c r="U273" s="7"/>
      <c r="V273" s="7"/>
    </row>
    <row r="274">
      <c r="A274" s="45">
        <v>45856.71063657408</v>
      </c>
      <c r="B274" s="7" t="s">
        <v>460</v>
      </c>
      <c r="C274" s="7" t="s">
        <v>63</v>
      </c>
      <c r="D274" s="74">
        <v>1.0</v>
      </c>
      <c r="E274" s="46"/>
      <c r="F274" s="47">
        <v>24.99</v>
      </c>
      <c r="G274" s="47">
        <v>0.0</v>
      </c>
      <c r="H274" s="7"/>
      <c r="I274" s="47">
        <v>1.4</v>
      </c>
      <c r="J274" s="8"/>
      <c r="K274" s="7"/>
      <c r="L274" s="7"/>
      <c r="M274" s="7"/>
      <c r="N274" s="7"/>
      <c r="O274" s="7" t="s">
        <v>490</v>
      </c>
      <c r="P274" s="7" t="s">
        <v>763</v>
      </c>
      <c r="Q274" s="7"/>
      <c r="R274" s="7" t="s">
        <v>764</v>
      </c>
      <c r="S274" s="7" t="s">
        <v>542</v>
      </c>
      <c r="T274" s="65">
        <v>1930.0</v>
      </c>
      <c r="U274" s="7"/>
      <c r="V274" s="7"/>
    </row>
    <row r="275">
      <c r="A275" s="45">
        <v>45856.7103587963</v>
      </c>
      <c r="B275" s="7" t="s">
        <v>356</v>
      </c>
      <c r="C275" s="7" t="s">
        <v>63</v>
      </c>
      <c r="D275" s="74">
        <v>1.0</v>
      </c>
      <c r="E275" s="46"/>
      <c r="F275" s="47">
        <v>24.99</v>
      </c>
      <c r="G275" s="47">
        <v>0.0</v>
      </c>
      <c r="H275" s="7"/>
      <c r="I275" s="47">
        <v>1.4</v>
      </c>
      <c r="J275" s="8"/>
      <c r="K275" s="7"/>
      <c r="L275" s="7"/>
      <c r="M275" s="7"/>
      <c r="N275" s="7"/>
      <c r="O275" s="7" t="s">
        <v>490</v>
      </c>
      <c r="P275" s="7" t="s">
        <v>797</v>
      </c>
      <c r="Q275" s="7"/>
      <c r="R275" s="7" t="s">
        <v>798</v>
      </c>
      <c r="S275" s="7" t="s">
        <v>525</v>
      </c>
      <c r="T275" s="65">
        <v>1927.0</v>
      </c>
      <c r="U275" s="7"/>
      <c r="V275" s="7"/>
    </row>
    <row r="276">
      <c r="A276" s="45">
        <v>45856.7103125</v>
      </c>
      <c r="B276" s="7" t="s">
        <v>1678</v>
      </c>
      <c r="C276" s="67" t="s">
        <v>1608</v>
      </c>
      <c r="D276" s="74">
        <v>1.0</v>
      </c>
      <c r="E276" s="74">
        <v>1.0</v>
      </c>
      <c r="F276" s="47">
        <v>124.99</v>
      </c>
      <c r="G276" s="47">
        <v>0.0</v>
      </c>
      <c r="H276" s="7"/>
      <c r="I276" s="47">
        <v>3.92</v>
      </c>
      <c r="J276" s="8"/>
      <c r="K276" s="7"/>
      <c r="L276" s="7"/>
      <c r="M276" s="7"/>
      <c r="N276" s="7"/>
      <c r="O276" s="7" t="s">
        <v>490</v>
      </c>
      <c r="P276" s="7" t="s">
        <v>655</v>
      </c>
      <c r="Q276" s="7"/>
      <c r="R276" s="7" t="s">
        <v>656</v>
      </c>
      <c r="S276" s="7" t="s">
        <v>493</v>
      </c>
      <c r="T276" s="65">
        <v>1912.0</v>
      </c>
      <c r="U276" s="7"/>
      <c r="V276" s="7"/>
    </row>
    <row r="277">
      <c r="A277" s="45">
        <v>45856.7103125</v>
      </c>
      <c r="B277" s="7" t="s">
        <v>417</v>
      </c>
      <c r="C277" s="7" t="s">
        <v>63</v>
      </c>
      <c r="D277" s="74">
        <v>1.0</v>
      </c>
      <c r="E277" s="46"/>
      <c r="F277" s="47">
        <v>24.99</v>
      </c>
      <c r="G277" s="47">
        <v>0.0</v>
      </c>
      <c r="H277" s="7"/>
      <c r="I277" s="47">
        <v>1.4</v>
      </c>
      <c r="J277" s="8"/>
      <c r="K277" s="7"/>
      <c r="L277" s="7"/>
      <c r="M277" s="7"/>
      <c r="N277" s="7"/>
      <c r="O277" s="7" t="s">
        <v>490</v>
      </c>
      <c r="P277" s="7" t="s">
        <v>1679</v>
      </c>
      <c r="Q277" s="65">
        <v>26.0</v>
      </c>
      <c r="R277" s="7" t="s">
        <v>1398</v>
      </c>
      <c r="S277" s="7" t="s">
        <v>726</v>
      </c>
      <c r="T277" s="65">
        <v>1917.0</v>
      </c>
      <c r="U277" s="7"/>
      <c r="V277" s="7"/>
    </row>
    <row r="278">
      <c r="A278" s="45">
        <v>45856.71028935185</v>
      </c>
      <c r="B278" s="7" t="s">
        <v>1680</v>
      </c>
      <c r="C278" s="67" t="s">
        <v>1608</v>
      </c>
      <c r="D278" s="74">
        <v>1.0</v>
      </c>
      <c r="E278" s="74">
        <v>1.0</v>
      </c>
      <c r="F278" s="47">
        <v>134.46</v>
      </c>
      <c r="G278" s="47">
        <v>0.0</v>
      </c>
      <c r="H278" s="7"/>
      <c r="I278" s="47">
        <v>6.22</v>
      </c>
      <c r="J278" s="8"/>
      <c r="K278" s="7"/>
      <c r="L278" s="7"/>
      <c r="M278" s="7"/>
      <c r="N278" s="7"/>
      <c r="O278" s="7" t="s">
        <v>490</v>
      </c>
      <c r="P278" s="7"/>
      <c r="Q278" s="7"/>
      <c r="R278" s="7"/>
      <c r="S278" s="7" t="s">
        <v>948</v>
      </c>
      <c r="T278" s="65">
        <v>1906.0</v>
      </c>
      <c r="U278" s="7"/>
      <c r="V278" s="7"/>
    </row>
    <row r="279">
      <c r="A279" s="45">
        <v>45856.71010416667</v>
      </c>
      <c r="B279" s="7" t="s">
        <v>336</v>
      </c>
      <c r="C279" s="67" t="s">
        <v>1608</v>
      </c>
      <c r="D279" s="74">
        <v>1.0</v>
      </c>
      <c r="E279" s="74">
        <v>1.0</v>
      </c>
      <c r="F279" s="47">
        <v>124.99</v>
      </c>
      <c r="G279" s="47">
        <v>0.0</v>
      </c>
      <c r="H279" s="7"/>
      <c r="I279" s="47">
        <v>3.92</v>
      </c>
      <c r="J279" s="8"/>
      <c r="K279" s="7"/>
      <c r="L279" s="7"/>
      <c r="M279" s="7"/>
      <c r="N279" s="7"/>
      <c r="O279" s="7" t="s">
        <v>490</v>
      </c>
      <c r="P279" s="7" t="s">
        <v>1681</v>
      </c>
      <c r="Q279" s="7"/>
      <c r="R279" s="7" t="s">
        <v>1431</v>
      </c>
      <c r="S279" s="7" t="s">
        <v>493</v>
      </c>
      <c r="T279" s="65">
        <v>1921.0</v>
      </c>
      <c r="U279" s="7"/>
      <c r="V279" s="7"/>
    </row>
    <row r="280">
      <c r="A280" s="45">
        <v>45856.70994212963</v>
      </c>
      <c r="B280" s="7" t="s">
        <v>1682</v>
      </c>
      <c r="C280" s="67" t="s">
        <v>1608</v>
      </c>
      <c r="D280" s="74">
        <v>1.0</v>
      </c>
      <c r="E280" s="74">
        <v>1.0</v>
      </c>
      <c r="F280" s="47">
        <v>124.99</v>
      </c>
      <c r="G280" s="47">
        <v>0.0</v>
      </c>
      <c r="H280" s="7"/>
      <c r="I280" s="47">
        <v>5.8</v>
      </c>
      <c r="J280" s="8"/>
      <c r="K280" s="7"/>
      <c r="L280" s="7"/>
      <c r="M280" s="7"/>
      <c r="N280" s="7"/>
      <c r="O280" s="7" t="s">
        <v>490</v>
      </c>
      <c r="P280" s="7" t="s">
        <v>1683</v>
      </c>
      <c r="Q280" s="7"/>
      <c r="R280" s="7" t="s">
        <v>509</v>
      </c>
      <c r="S280" s="7" t="s">
        <v>510</v>
      </c>
      <c r="T280" s="65">
        <v>1920.0</v>
      </c>
      <c r="U280" s="7"/>
      <c r="V280" s="7"/>
    </row>
    <row r="281">
      <c r="A281" s="45">
        <v>45856.70974537037</v>
      </c>
      <c r="B281" s="7" t="s">
        <v>412</v>
      </c>
      <c r="C281" s="7" t="s">
        <v>63</v>
      </c>
      <c r="D281" s="74">
        <v>1.0</v>
      </c>
      <c r="E281" s="46"/>
      <c r="F281" s="47">
        <v>24.99</v>
      </c>
      <c r="G281" s="47">
        <v>0.0</v>
      </c>
      <c r="H281" s="7"/>
      <c r="I281" s="47">
        <v>1.02</v>
      </c>
      <c r="J281" s="8"/>
      <c r="K281" s="7"/>
      <c r="L281" s="7"/>
      <c r="M281" s="7"/>
      <c r="N281" s="7"/>
      <c r="O281" s="7" t="s">
        <v>490</v>
      </c>
      <c r="P281" s="7" t="s">
        <v>1297</v>
      </c>
      <c r="Q281" s="7"/>
      <c r="R281" s="7" t="s">
        <v>1298</v>
      </c>
      <c r="S281" s="7" t="s">
        <v>493</v>
      </c>
      <c r="T281" s="65">
        <v>1919.0</v>
      </c>
      <c r="U281" s="7"/>
      <c r="V281" s="7"/>
    </row>
    <row r="282">
      <c r="A282" s="45">
        <v>45856.70974537037</v>
      </c>
      <c r="B282" s="7" t="s">
        <v>847</v>
      </c>
      <c r="C282" s="67" t="s">
        <v>1608</v>
      </c>
      <c r="D282" s="74">
        <v>1.0</v>
      </c>
      <c r="E282" s="74">
        <v>1.0</v>
      </c>
      <c r="F282" s="47">
        <v>124.99</v>
      </c>
      <c r="G282" s="47">
        <v>0.0</v>
      </c>
      <c r="H282" s="7"/>
      <c r="I282" s="47">
        <v>3.92</v>
      </c>
      <c r="J282" s="8"/>
      <c r="K282" s="7"/>
      <c r="L282" s="7"/>
      <c r="M282" s="7"/>
      <c r="N282" s="7"/>
      <c r="O282" s="7" t="s">
        <v>490</v>
      </c>
      <c r="P282" s="7" t="s">
        <v>848</v>
      </c>
      <c r="Q282" s="7" t="s">
        <v>849</v>
      </c>
      <c r="R282" s="7" t="s">
        <v>850</v>
      </c>
      <c r="S282" s="7" t="s">
        <v>493</v>
      </c>
      <c r="T282" s="65">
        <v>1911.0</v>
      </c>
      <c r="U282" s="7"/>
      <c r="V282" s="7"/>
    </row>
    <row r="283">
      <c r="A283" s="45">
        <v>45856.70943287037</v>
      </c>
      <c r="B283" s="7" t="s">
        <v>434</v>
      </c>
      <c r="C283" s="7" t="s">
        <v>63</v>
      </c>
      <c r="D283" s="74">
        <v>1.0</v>
      </c>
      <c r="E283" s="46"/>
      <c r="F283" s="47">
        <v>26.49</v>
      </c>
      <c r="G283" s="47">
        <v>0.0</v>
      </c>
      <c r="H283" s="7"/>
      <c r="I283" s="47">
        <v>1.07</v>
      </c>
      <c r="J283" s="8"/>
      <c r="K283" s="7"/>
      <c r="L283" s="7"/>
      <c r="M283" s="7"/>
      <c r="N283" s="7"/>
      <c r="O283" s="7" t="s">
        <v>490</v>
      </c>
      <c r="P283" s="7" t="s">
        <v>1342</v>
      </c>
      <c r="Q283" s="7"/>
      <c r="R283" s="7" t="s">
        <v>1343</v>
      </c>
      <c r="S283" s="7" t="s">
        <v>493</v>
      </c>
      <c r="T283" s="65">
        <v>1915.0</v>
      </c>
      <c r="U283" s="7"/>
      <c r="V283" s="7"/>
    </row>
    <row r="284">
      <c r="A284" s="45">
        <v>45856.709386574075</v>
      </c>
      <c r="B284" s="7" t="s">
        <v>1324</v>
      </c>
      <c r="C284" s="67" t="s">
        <v>1608</v>
      </c>
      <c r="D284" s="74">
        <v>1.0</v>
      </c>
      <c r="E284" s="74">
        <v>1.0</v>
      </c>
      <c r="F284" s="47">
        <v>124.99</v>
      </c>
      <c r="G284" s="47">
        <v>0.0</v>
      </c>
      <c r="H284" s="7"/>
      <c r="I284" s="47">
        <v>5.8</v>
      </c>
      <c r="J284" s="8"/>
      <c r="K284" s="7"/>
      <c r="L284" s="7"/>
      <c r="M284" s="7"/>
      <c r="N284" s="7"/>
      <c r="O284" s="7" t="s">
        <v>490</v>
      </c>
      <c r="P284" s="7" t="s">
        <v>1325</v>
      </c>
      <c r="Q284" s="7"/>
      <c r="R284" s="7" t="s">
        <v>1326</v>
      </c>
      <c r="S284" s="7" t="s">
        <v>545</v>
      </c>
      <c r="T284" s="65">
        <v>1913.0</v>
      </c>
      <c r="U284" s="7"/>
      <c r="V284" s="7"/>
    </row>
    <row r="285">
      <c r="A285" s="45">
        <v>45856.709375</v>
      </c>
      <c r="B285" s="7" t="s">
        <v>422</v>
      </c>
      <c r="C285" s="67" t="s">
        <v>1608</v>
      </c>
      <c r="D285" s="74">
        <v>1.0</v>
      </c>
      <c r="E285" s="74">
        <v>1.0</v>
      </c>
      <c r="F285" s="47">
        <v>124.99</v>
      </c>
      <c r="G285" s="47">
        <v>0.0</v>
      </c>
      <c r="H285" s="7"/>
      <c r="I285" s="47">
        <v>5.8</v>
      </c>
      <c r="J285" s="8"/>
      <c r="K285" s="7"/>
      <c r="L285" s="7"/>
      <c r="M285" s="7"/>
      <c r="N285" s="7"/>
      <c r="O285" s="7" t="s">
        <v>490</v>
      </c>
      <c r="P285" s="7" t="s">
        <v>1684</v>
      </c>
      <c r="Q285" s="7"/>
      <c r="R285" s="7" t="s">
        <v>1685</v>
      </c>
      <c r="S285" s="7" t="s">
        <v>525</v>
      </c>
      <c r="T285" s="65">
        <v>1904.0</v>
      </c>
      <c r="U285" s="7"/>
      <c r="V285" s="7"/>
    </row>
    <row r="286">
      <c r="A286" s="45">
        <v>45856.70924768518</v>
      </c>
      <c r="B286" s="7" t="s">
        <v>356</v>
      </c>
      <c r="C286" s="7" t="s">
        <v>63</v>
      </c>
      <c r="D286" s="74">
        <v>1.0</v>
      </c>
      <c r="E286" s="46"/>
      <c r="F286" s="47">
        <v>24.99</v>
      </c>
      <c r="G286" s="47">
        <v>0.0</v>
      </c>
      <c r="H286" s="7"/>
      <c r="I286" s="47">
        <v>1.4</v>
      </c>
      <c r="J286" s="8"/>
      <c r="K286" s="7"/>
      <c r="L286" s="7"/>
      <c r="M286" s="7"/>
      <c r="N286" s="7"/>
      <c r="O286" s="7" t="s">
        <v>490</v>
      </c>
      <c r="P286" s="7" t="s">
        <v>797</v>
      </c>
      <c r="Q286" s="7"/>
      <c r="R286" s="7" t="s">
        <v>798</v>
      </c>
      <c r="S286" s="7" t="s">
        <v>525</v>
      </c>
      <c r="T286" s="65">
        <v>1914.0</v>
      </c>
      <c r="U286" s="7"/>
      <c r="V286" s="7"/>
    </row>
    <row r="287">
      <c r="A287" s="45">
        <v>45856.70916666667</v>
      </c>
      <c r="B287" s="7" t="s">
        <v>1191</v>
      </c>
      <c r="C287" s="7" t="s">
        <v>63</v>
      </c>
      <c r="D287" s="74">
        <v>1.0</v>
      </c>
      <c r="E287" s="46"/>
      <c r="F287" s="47">
        <v>27.3</v>
      </c>
      <c r="G287" s="47">
        <v>0.0</v>
      </c>
      <c r="H287" s="7"/>
      <c r="I287" s="47">
        <v>1.09</v>
      </c>
      <c r="J287" s="8"/>
      <c r="K287" s="7"/>
      <c r="L287" s="7"/>
      <c r="M287" s="7"/>
      <c r="N287" s="7"/>
      <c r="O287" s="7" t="s">
        <v>490</v>
      </c>
      <c r="P287" s="7" t="s">
        <v>1192</v>
      </c>
      <c r="Q287" s="7"/>
      <c r="R287" s="7" t="s">
        <v>1193</v>
      </c>
      <c r="S287" s="7" t="s">
        <v>493</v>
      </c>
      <c r="T287" s="65">
        <v>1908.0</v>
      </c>
      <c r="U287" s="7"/>
      <c r="V287" s="7"/>
    </row>
    <row r="288">
      <c r="A288" s="45">
        <v>45856.709027777775</v>
      </c>
      <c r="B288" s="7" t="s">
        <v>398</v>
      </c>
      <c r="C288" s="67" t="s">
        <v>1608</v>
      </c>
      <c r="D288" s="74">
        <v>1.0</v>
      </c>
      <c r="E288" s="74">
        <v>1.0</v>
      </c>
      <c r="F288" s="47">
        <v>124.99</v>
      </c>
      <c r="G288" s="47">
        <v>0.0</v>
      </c>
      <c r="H288" s="7"/>
      <c r="I288" s="47">
        <v>3.92</v>
      </c>
      <c r="J288" s="8"/>
      <c r="K288" s="7"/>
      <c r="L288" s="7"/>
      <c r="M288" s="7"/>
      <c r="N288" s="7"/>
      <c r="O288" s="7" t="s">
        <v>490</v>
      </c>
      <c r="P288" s="7" t="s">
        <v>1138</v>
      </c>
      <c r="Q288" s="7"/>
      <c r="R288" s="7" t="s">
        <v>1139</v>
      </c>
      <c r="S288" s="7" t="s">
        <v>493</v>
      </c>
      <c r="T288" s="65">
        <v>1907.0</v>
      </c>
      <c r="U288" s="7"/>
      <c r="V288" s="7"/>
    </row>
    <row r="289">
      <c r="A289" s="45">
        <v>45856.70891203704</v>
      </c>
      <c r="B289" s="7" t="s">
        <v>396</v>
      </c>
      <c r="C289" s="67" t="s">
        <v>1608</v>
      </c>
      <c r="D289" s="74">
        <v>1.0</v>
      </c>
      <c r="E289" s="74">
        <v>1.0</v>
      </c>
      <c r="F289" s="47">
        <v>124.99</v>
      </c>
      <c r="G289" s="47">
        <v>0.0</v>
      </c>
      <c r="H289" s="7"/>
      <c r="I289" s="47">
        <v>3.92</v>
      </c>
      <c r="J289" s="8"/>
      <c r="K289" s="7"/>
      <c r="L289" s="7"/>
      <c r="M289" s="7"/>
      <c r="N289" s="7"/>
      <c r="O289" s="7" t="s">
        <v>490</v>
      </c>
      <c r="P289" s="7" t="s">
        <v>1361</v>
      </c>
      <c r="Q289" s="7" t="s">
        <v>1362</v>
      </c>
      <c r="R289" s="7" t="s">
        <v>1363</v>
      </c>
      <c r="S289" s="7" t="s">
        <v>493</v>
      </c>
      <c r="T289" s="65">
        <v>1893.0</v>
      </c>
      <c r="U289" s="7"/>
      <c r="V289" s="7"/>
    </row>
    <row r="290">
      <c r="A290" s="45">
        <v>45856.70888888889</v>
      </c>
      <c r="B290" s="7" t="s">
        <v>427</v>
      </c>
      <c r="C290" s="67" t="s">
        <v>1608</v>
      </c>
      <c r="D290" s="74">
        <v>1.0</v>
      </c>
      <c r="E290" s="74">
        <v>1.0</v>
      </c>
      <c r="F290" s="47">
        <v>124.99</v>
      </c>
      <c r="G290" s="47">
        <v>0.0</v>
      </c>
      <c r="H290" s="7"/>
      <c r="I290" s="47">
        <v>3.92</v>
      </c>
      <c r="J290" s="8"/>
      <c r="K290" s="7"/>
      <c r="L290" s="7"/>
      <c r="M290" s="7"/>
      <c r="N290" s="7"/>
      <c r="O290" s="7" t="s">
        <v>490</v>
      </c>
      <c r="P290" s="7" t="s">
        <v>1359</v>
      </c>
      <c r="Q290" s="7"/>
      <c r="R290" s="7" t="s">
        <v>1360</v>
      </c>
      <c r="S290" s="7" t="s">
        <v>493</v>
      </c>
      <c r="T290" s="65">
        <v>1903.0</v>
      </c>
      <c r="U290" s="7"/>
      <c r="V290" s="7"/>
    </row>
    <row r="291">
      <c r="A291" s="45">
        <v>45856.70862268518</v>
      </c>
      <c r="B291" s="7" t="s">
        <v>1121</v>
      </c>
      <c r="C291" s="7" t="s">
        <v>63</v>
      </c>
      <c r="D291" s="74">
        <v>1.0</v>
      </c>
      <c r="E291" s="46"/>
      <c r="F291" s="47">
        <v>24.99</v>
      </c>
      <c r="G291" s="47">
        <v>0.0</v>
      </c>
      <c r="H291" s="7"/>
      <c r="I291" s="47">
        <v>1.4</v>
      </c>
      <c r="J291" s="8"/>
      <c r="K291" s="7"/>
      <c r="L291" s="7"/>
      <c r="M291" s="7"/>
      <c r="N291" s="7"/>
      <c r="O291" s="7" t="s">
        <v>490</v>
      </c>
      <c r="P291" s="7" t="s">
        <v>1122</v>
      </c>
      <c r="Q291" s="7"/>
      <c r="R291" s="7" t="s">
        <v>1123</v>
      </c>
      <c r="S291" s="7" t="s">
        <v>525</v>
      </c>
      <c r="T291" s="65">
        <v>1901.0</v>
      </c>
      <c r="U291" s="7"/>
      <c r="V291" s="7"/>
    </row>
    <row r="292">
      <c r="A292" s="45">
        <v>45856.70783564815</v>
      </c>
      <c r="B292" s="7" t="s">
        <v>1162</v>
      </c>
      <c r="C292" s="7" t="s">
        <v>63</v>
      </c>
      <c r="D292" s="74">
        <v>1.0</v>
      </c>
      <c r="E292" s="46"/>
      <c r="F292" s="47">
        <v>36.68</v>
      </c>
      <c r="G292" s="47">
        <v>0.0</v>
      </c>
      <c r="H292" s="7"/>
      <c r="I292" s="47">
        <v>1.36</v>
      </c>
      <c r="J292" s="8"/>
      <c r="K292" s="7"/>
      <c r="L292" s="7"/>
      <c r="M292" s="7"/>
      <c r="N292" s="7"/>
      <c r="O292" s="7" t="s">
        <v>490</v>
      </c>
      <c r="P292" s="7" t="s">
        <v>1163</v>
      </c>
      <c r="Q292" s="7"/>
      <c r="R292" s="7" t="s">
        <v>653</v>
      </c>
      <c r="S292" s="7" t="s">
        <v>493</v>
      </c>
      <c r="T292" s="65">
        <v>1899.0</v>
      </c>
      <c r="U292" s="7"/>
      <c r="V292" s="7"/>
    </row>
    <row r="293">
      <c r="A293" s="45">
        <v>45856.70767361111</v>
      </c>
      <c r="B293" s="7" t="s">
        <v>389</v>
      </c>
      <c r="C293" s="67" t="s">
        <v>1608</v>
      </c>
      <c r="D293" s="74">
        <v>1.0</v>
      </c>
      <c r="E293" s="74">
        <v>1.0</v>
      </c>
      <c r="F293" s="47">
        <v>124.99</v>
      </c>
      <c r="G293" s="47">
        <v>0.0</v>
      </c>
      <c r="H293" s="7"/>
      <c r="I293" s="47">
        <v>5.8</v>
      </c>
      <c r="J293" s="8"/>
      <c r="K293" s="7"/>
      <c r="L293" s="7"/>
      <c r="M293" s="7"/>
      <c r="N293" s="7"/>
      <c r="O293" s="7" t="s">
        <v>490</v>
      </c>
      <c r="P293" s="7" t="s">
        <v>959</v>
      </c>
      <c r="Q293" s="7"/>
      <c r="R293" s="7" t="s">
        <v>960</v>
      </c>
      <c r="S293" s="7" t="s">
        <v>525</v>
      </c>
      <c r="T293" s="65">
        <v>1897.0</v>
      </c>
      <c r="U293" s="7"/>
      <c r="V293" s="7"/>
    </row>
    <row r="294">
      <c r="A294" s="45">
        <v>45856.707604166666</v>
      </c>
      <c r="B294" s="7" t="s">
        <v>1047</v>
      </c>
      <c r="C294" s="67" t="s">
        <v>1608</v>
      </c>
      <c r="D294" s="74">
        <v>1.0</v>
      </c>
      <c r="E294" s="74">
        <v>1.0</v>
      </c>
      <c r="F294" s="47">
        <v>136.55</v>
      </c>
      <c r="G294" s="47">
        <v>0.0</v>
      </c>
      <c r="H294" s="7"/>
      <c r="I294" s="47">
        <v>4.26</v>
      </c>
      <c r="J294" s="8"/>
      <c r="K294" s="7"/>
      <c r="L294" s="7"/>
      <c r="M294" s="7"/>
      <c r="N294" s="7"/>
      <c r="O294" s="7" t="s">
        <v>490</v>
      </c>
      <c r="P294" s="7" t="s">
        <v>1048</v>
      </c>
      <c r="Q294" s="7"/>
      <c r="R294" s="7" t="s">
        <v>1049</v>
      </c>
      <c r="S294" s="7" t="s">
        <v>493</v>
      </c>
      <c r="T294" s="65">
        <v>1900.0</v>
      </c>
      <c r="U294" s="7"/>
      <c r="V294" s="7"/>
    </row>
    <row r="295">
      <c r="A295" s="45">
        <v>45856.70751157407</v>
      </c>
      <c r="B295" s="7" t="s">
        <v>192</v>
      </c>
      <c r="C295" s="7" t="s">
        <v>63</v>
      </c>
      <c r="D295" s="74">
        <v>1.0</v>
      </c>
      <c r="E295" s="46"/>
      <c r="F295" s="47">
        <v>24.99</v>
      </c>
      <c r="G295" s="47">
        <v>0.0</v>
      </c>
      <c r="H295" s="7"/>
      <c r="I295" s="47">
        <v>1.4</v>
      </c>
      <c r="J295" s="8"/>
      <c r="K295" s="7"/>
      <c r="L295" s="7"/>
      <c r="M295" s="7"/>
      <c r="N295" s="7"/>
      <c r="O295" s="7" t="s">
        <v>490</v>
      </c>
      <c r="P295" s="7" t="s">
        <v>1364</v>
      </c>
      <c r="Q295" s="7"/>
      <c r="R295" s="7" t="s">
        <v>1365</v>
      </c>
      <c r="S295" s="7" t="s">
        <v>525</v>
      </c>
      <c r="T295" s="65">
        <v>1896.0</v>
      </c>
      <c r="U295" s="7"/>
      <c r="V295" s="7"/>
    </row>
    <row r="296">
      <c r="A296" s="45">
        <v>45856.70741898148</v>
      </c>
      <c r="B296" s="7" t="s">
        <v>1219</v>
      </c>
      <c r="C296" s="7" t="s">
        <v>63</v>
      </c>
      <c r="D296" s="74">
        <v>1.0</v>
      </c>
      <c r="E296" s="46"/>
      <c r="F296" s="47">
        <v>24.99</v>
      </c>
      <c r="G296" s="47">
        <v>0.0</v>
      </c>
      <c r="H296" s="7"/>
      <c r="I296" s="47">
        <v>1.02</v>
      </c>
      <c r="J296" s="8"/>
      <c r="K296" s="7"/>
      <c r="L296" s="7"/>
      <c r="M296" s="7"/>
      <c r="N296" s="7"/>
      <c r="O296" s="7" t="s">
        <v>490</v>
      </c>
      <c r="P296" s="7" t="s">
        <v>1220</v>
      </c>
      <c r="Q296" s="7"/>
      <c r="R296" s="7" t="s">
        <v>1221</v>
      </c>
      <c r="S296" s="7" t="s">
        <v>493</v>
      </c>
      <c r="T296" s="65">
        <v>1898.0</v>
      </c>
      <c r="U296" s="7"/>
      <c r="V296" s="7"/>
    </row>
    <row r="297">
      <c r="A297" s="45">
        <v>45856.70724537037</v>
      </c>
      <c r="B297" s="7" t="s">
        <v>127</v>
      </c>
      <c r="C297" s="7" t="s">
        <v>63</v>
      </c>
      <c r="D297" s="74">
        <v>1.0</v>
      </c>
      <c r="E297" s="46"/>
      <c r="F297" s="47">
        <v>49.79</v>
      </c>
      <c r="G297" s="47">
        <v>0.0</v>
      </c>
      <c r="H297" s="7"/>
      <c r="I297" s="47">
        <v>2.49</v>
      </c>
      <c r="J297" s="8"/>
      <c r="K297" s="7"/>
      <c r="L297" s="7"/>
      <c r="M297" s="7"/>
      <c r="N297" s="7"/>
      <c r="O297" s="7" t="s">
        <v>490</v>
      </c>
      <c r="P297" s="7" t="s">
        <v>1422</v>
      </c>
      <c r="Q297" s="7" t="s">
        <v>1686</v>
      </c>
      <c r="R297" s="7" t="s">
        <v>1423</v>
      </c>
      <c r="S297" s="7" t="s">
        <v>542</v>
      </c>
      <c r="T297" s="65">
        <v>1894.0</v>
      </c>
      <c r="U297" s="7"/>
      <c r="V297" s="7"/>
    </row>
    <row r="298">
      <c r="A298" s="45">
        <v>45856.707141203704</v>
      </c>
      <c r="B298" s="7" t="s">
        <v>199</v>
      </c>
      <c r="C298" s="7" t="s">
        <v>63</v>
      </c>
      <c r="D298" s="74">
        <v>1.0</v>
      </c>
      <c r="E298" s="46"/>
      <c r="F298" s="47">
        <v>24.99</v>
      </c>
      <c r="G298" s="47">
        <v>0.0</v>
      </c>
      <c r="H298" s="7"/>
      <c r="I298" s="47">
        <v>1.4</v>
      </c>
      <c r="J298" s="8"/>
      <c r="K298" s="7"/>
      <c r="L298" s="7"/>
      <c r="M298" s="7"/>
      <c r="N298" s="7"/>
      <c r="O298" s="7" t="s">
        <v>490</v>
      </c>
      <c r="P298" s="7" t="s">
        <v>1687</v>
      </c>
      <c r="Q298" s="7"/>
      <c r="R298" s="7" t="s">
        <v>1379</v>
      </c>
      <c r="S298" s="7" t="s">
        <v>525</v>
      </c>
      <c r="T298" s="65">
        <v>1895.0</v>
      </c>
      <c r="U298" s="7"/>
      <c r="V298" s="7"/>
    </row>
    <row r="299">
      <c r="A299" s="45">
        <v>45856.707094907404</v>
      </c>
      <c r="B299" s="7" t="s">
        <v>1226</v>
      </c>
      <c r="C299" s="7" t="s">
        <v>63</v>
      </c>
      <c r="D299" s="74">
        <v>1.0</v>
      </c>
      <c r="E299" s="46"/>
      <c r="F299" s="47">
        <v>24.99</v>
      </c>
      <c r="G299" s="47">
        <v>0.0</v>
      </c>
      <c r="H299" s="7"/>
      <c r="I299" s="47">
        <v>1.4</v>
      </c>
      <c r="J299" s="8"/>
      <c r="K299" s="7"/>
      <c r="L299" s="7"/>
      <c r="M299" s="7"/>
      <c r="N299" s="7"/>
      <c r="O299" s="7" t="s">
        <v>490</v>
      </c>
      <c r="P299" s="7" t="s">
        <v>1226</v>
      </c>
      <c r="Q299" s="7"/>
      <c r="R299" s="7" t="s">
        <v>1227</v>
      </c>
      <c r="S299" s="7" t="s">
        <v>726</v>
      </c>
      <c r="T299" s="65">
        <v>1886.0</v>
      </c>
      <c r="U299" s="7"/>
      <c r="V299" s="7"/>
    </row>
    <row r="300">
      <c r="A300" s="45">
        <v>45856.70668981481</v>
      </c>
      <c r="B300" s="7" t="s">
        <v>256</v>
      </c>
      <c r="C300" s="7" t="s">
        <v>63</v>
      </c>
      <c r="D300" s="74">
        <v>1.0</v>
      </c>
      <c r="E300" s="46"/>
      <c r="F300" s="47">
        <v>24.99</v>
      </c>
      <c r="G300" s="47">
        <v>0.0</v>
      </c>
      <c r="H300" s="7"/>
      <c r="I300" s="47">
        <v>1.02</v>
      </c>
      <c r="J300" s="8"/>
      <c r="K300" s="7"/>
      <c r="L300" s="7"/>
      <c r="M300" s="7"/>
      <c r="N300" s="7"/>
      <c r="O300" s="7" t="s">
        <v>490</v>
      </c>
      <c r="P300" s="7" t="s">
        <v>1688</v>
      </c>
      <c r="Q300" s="7" t="s">
        <v>1689</v>
      </c>
      <c r="R300" s="7" t="s">
        <v>572</v>
      </c>
      <c r="S300" s="7" t="s">
        <v>493</v>
      </c>
      <c r="T300" s="65">
        <v>1885.0</v>
      </c>
      <c r="U300" s="7"/>
      <c r="V300" s="7"/>
    </row>
    <row r="301">
      <c r="A301" s="45">
        <v>45856.70664351852</v>
      </c>
      <c r="B301" s="7" t="s">
        <v>428</v>
      </c>
      <c r="C301" s="7" t="s">
        <v>63</v>
      </c>
      <c r="D301" s="74">
        <v>1.0</v>
      </c>
      <c r="E301" s="46"/>
      <c r="F301" s="47">
        <v>24.99</v>
      </c>
      <c r="G301" s="47">
        <v>0.0</v>
      </c>
      <c r="H301" s="7"/>
      <c r="I301" s="47">
        <v>1.4</v>
      </c>
      <c r="J301" s="8"/>
      <c r="K301" s="7"/>
      <c r="L301" s="7"/>
      <c r="M301" s="7"/>
      <c r="N301" s="7"/>
      <c r="O301" s="7" t="s">
        <v>490</v>
      </c>
      <c r="P301" s="7" t="s">
        <v>1376</v>
      </c>
      <c r="Q301" s="7"/>
      <c r="R301" s="7" t="s">
        <v>1377</v>
      </c>
      <c r="S301" s="7" t="s">
        <v>545</v>
      </c>
      <c r="T301" s="65">
        <v>1887.0</v>
      </c>
      <c r="U301" s="7"/>
      <c r="V301" s="7"/>
    </row>
    <row r="302">
      <c r="A302" s="45">
        <v>45856.70625</v>
      </c>
      <c r="B302" s="7" t="s">
        <v>425</v>
      </c>
      <c r="C302" s="7" t="s">
        <v>63</v>
      </c>
      <c r="D302" s="74">
        <v>1.0</v>
      </c>
      <c r="E302" s="46"/>
      <c r="F302" s="47">
        <v>24.99</v>
      </c>
      <c r="G302" s="47">
        <v>0.0</v>
      </c>
      <c r="H302" s="7"/>
      <c r="I302" s="47">
        <v>1.4</v>
      </c>
      <c r="J302" s="8"/>
      <c r="K302" s="7"/>
      <c r="L302" s="7"/>
      <c r="M302" s="7"/>
      <c r="N302" s="7"/>
      <c r="O302" s="7" t="s">
        <v>490</v>
      </c>
      <c r="P302" s="7" t="s">
        <v>1443</v>
      </c>
      <c r="Q302" s="7"/>
      <c r="R302" s="7" t="s">
        <v>1444</v>
      </c>
      <c r="S302" s="7" t="s">
        <v>525</v>
      </c>
      <c r="T302" s="65">
        <v>1884.0</v>
      </c>
      <c r="U302" s="7"/>
      <c r="V302" s="7"/>
    </row>
    <row r="303">
      <c r="A303" s="45">
        <v>45856.70594907407</v>
      </c>
      <c r="B303" s="7" t="s">
        <v>272</v>
      </c>
      <c r="C303" s="67" t="s">
        <v>1608</v>
      </c>
      <c r="D303" s="74">
        <v>1.0</v>
      </c>
      <c r="E303" s="74">
        <v>1.0</v>
      </c>
      <c r="F303" s="47">
        <v>148.61</v>
      </c>
      <c r="G303" s="47">
        <v>0.0</v>
      </c>
      <c r="H303" s="7"/>
      <c r="I303" s="47">
        <v>6.84</v>
      </c>
      <c r="J303" s="8"/>
      <c r="K303" s="7"/>
      <c r="L303" s="7"/>
      <c r="M303" s="7"/>
      <c r="N303" s="7"/>
      <c r="O303" s="7" t="s">
        <v>490</v>
      </c>
      <c r="P303" s="7" t="s">
        <v>1131</v>
      </c>
      <c r="Q303" s="7"/>
      <c r="R303" s="7" t="s">
        <v>1132</v>
      </c>
      <c r="S303" s="7" t="s">
        <v>545</v>
      </c>
      <c r="T303" s="65">
        <v>1876.0</v>
      </c>
      <c r="U303" s="7"/>
      <c r="V303" s="7"/>
    </row>
    <row r="304">
      <c r="A304" s="45">
        <v>45856.705925925926</v>
      </c>
      <c r="B304" s="7" t="s">
        <v>462</v>
      </c>
      <c r="C304" s="7" t="s">
        <v>63</v>
      </c>
      <c r="D304" s="74">
        <v>1.0</v>
      </c>
      <c r="E304" s="46"/>
      <c r="F304" s="47">
        <v>26.93</v>
      </c>
      <c r="G304" s="47">
        <v>0.0</v>
      </c>
      <c r="H304" s="7"/>
      <c r="I304" s="47">
        <v>1.08</v>
      </c>
      <c r="J304" s="8"/>
      <c r="K304" s="7"/>
      <c r="L304" s="7"/>
      <c r="M304" s="7"/>
      <c r="N304" s="7"/>
      <c r="O304" s="7" t="s">
        <v>490</v>
      </c>
      <c r="P304" s="7" t="s">
        <v>1392</v>
      </c>
      <c r="Q304" s="7"/>
      <c r="R304" s="7" t="s">
        <v>1393</v>
      </c>
      <c r="S304" s="7" t="s">
        <v>493</v>
      </c>
      <c r="T304" s="65">
        <v>1883.0</v>
      </c>
      <c r="U304" s="7"/>
      <c r="V304" s="7"/>
    </row>
    <row r="305">
      <c r="A305" s="45">
        <v>45856.705879629626</v>
      </c>
      <c r="B305" s="7" t="s">
        <v>1690</v>
      </c>
      <c r="C305" s="7" t="s">
        <v>63</v>
      </c>
      <c r="D305" s="74">
        <v>1.0</v>
      </c>
      <c r="E305" s="46"/>
      <c r="F305" s="47">
        <v>24.99</v>
      </c>
      <c r="G305" s="47">
        <v>0.0</v>
      </c>
      <c r="H305" s="7"/>
      <c r="I305" s="47">
        <v>1.4</v>
      </c>
      <c r="J305" s="8"/>
      <c r="K305" s="7"/>
      <c r="L305" s="7"/>
      <c r="M305" s="7"/>
      <c r="N305" s="7"/>
      <c r="O305" s="7" t="s">
        <v>490</v>
      </c>
      <c r="P305" s="7"/>
      <c r="Q305" s="7"/>
      <c r="R305" s="7"/>
      <c r="S305" s="7" t="s">
        <v>545</v>
      </c>
      <c r="T305" s="65">
        <v>1880.0</v>
      </c>
      <c r="U305" s="7"/>
      <c r="V305" s="7"/>
    </row>
    <row r="306">
      <c r="A306" s="45">
        <v>45856.70586805556</v>
      </c>
      <c r="B306" s="7" t="s">
        <v>331</v>
      </c>
      <c r="C306" s="67" t="s">
        <v>1608</v>
      </c>
      <c r="D306" s="74">
        <v>1.0</v>
      </c>
      <c r="E306" s="74">
        <v>1.0</v>
      </c>
      <c r="F306" s="47">
        <v>124.99</v>
      </c>
      <c r="G306" s="47">
        <v>0.0</v>
      </c>
      <c r="H306" s="7"/>
      <c r="I306" s="47">
        <v>5.8</v>
      </c>
      <c r="J306" s="8"/>
      <c r="K306" s="7"/>
      <c r="L306" s="7"/>
      <c r="M306" s="7"/>
      <c r="N306" s="7"/>
      <c r="O306" s="7" t="s">
        <v>490</v>
      </c>
      <c r="P306" s="7" t="s">
        <v>1449</v>
      </c>
      <c r="Q306" s="7" t="s">
        <v>1450</v>
      </c>
      <c r="R306" s="7" t="s">
        <v>1451</v>
      </c>
      <c r="S306" s="7" t="s">
        <v>555</v>
      </c>
      <c r="T306" s="65">
        <v>1879.0</v>
      </c>
      <c r="U306" s="7"/>
      <c r="V306" s="7"/>
    </row>
    <row r="307">
      <c r="A307" s="45">
        <v>45856.705509259256</v>
      </c>
      <c r="B307" s="7" t="s">
        <v>419</v>
      </c>
      <c r="C307" s="7" t="s">
        <v>63</v>
      </c>
      <c r="D307" s="74">
        <v>1.0</v>
      </c>
      <c r="E307" s="46"/>
      <c r="F307" s="47">
        <v>27.18</v>
      </c>
      <c r="G307" s="47">
        <v>0.0</v>
      </c>
      <c r="H307" s="7"/>
      <c r="I307" s="47">
        <v>1.09</v>
      </c>
      <c r="J307" s="8"/>
      <c r="K307" s="7"/>
      <c r="L307" s="7"/>
      <c r="M307" s="7"/>
      <c r="N307" s="7"/>
      <c r="O307" s="7" t="s">
        <v>490</v>
      </c>
      <c r="P307" s="7" t="s">
        <v>1455</v>
      </c>
      <c r="Q307" s="7"/>
      <c r="R307" s="7" t="s">
        <v>1456</v>
      </c>
      <c r="S307" s="7" t="s">
        <v>493</v>
      </c>
      <c r="T307" s="65">
        <v>1881.0</v>
      </c>
      <c r="U307" s="7"/>
      <c r="V307" s="7"/>
    </row>
    <row r="308">
      <c r="A308" s="45">
        <v>45856.70516203704</v>
      </c>
      <c r="B308" s="7" t="s">
        <v>956</v>
      </c>
      <c r="C308" s="7" t="s">
        <v>63</v>
      </c>
      <c r="D308" s="74">
        <v>1.0</v>
      </c>
      <c r="E308" s="46"/>
      <c r="F308" s="47">
        <v>24.99</v>
      </c>
      <c r="G308" s="47">
        <v>0.0</v>
      </c>
      <c r="H308" s="7"/>
      <c r="I308" s="47">
        <v>1.02</v>
      </c>
      <c r="J308" s="8"/>
      <c r="K308" s="7"/>
      <c r="L308" s="7"/>
      <c r="M308" s="7"/>
      <c r="N308" s="7"/>
      <c r="O308" s="7" t="s">
        <v>490</v>
      </c>
      <c r="P308" s="7" t="s">
        <v>1691</v>
      </c>
      <c r="Q308" s="7"/>
      <c r="R308" s="7" t="s">
        <v>958</v>
      </c>
      <c r="S308" s="7" t="s">
        <v>493</v>
      </c>
      <c r="T308" s="65">
        <v>1878.0</v>
      </c>
      <c r="U308" s="7"/>
      <c r="V308" s="7"/>
    </row>
    <row r="309">
      <c r="A309" s="45">
        <v>45856.70489583333</v>
      </c>
      <c r="B309" s="7" t="s">
        <v>411</v>
      </c>
      <c r="C309" s="7" t="s">
        <v>63</v>
      </c>
      <c r="D309" s="74">
        <v>1.0</v>
      </c>
      <c r="E309" s="46"/>
      <c r="F309" s="47">
        <v>24.99</v>
      </c>
      <c r="G309" s="47">
        <v>0.0</v>
      </c>
      <c r="H309" s="7"/>
      <c r="I309" s="47">
        <v>1.4</v>
      </c>
      <c r="J309" s="8"/>
      <c r="K309" s="7"/>
      <c r="L309" s="7"/>
      <c r="M309" s="7"/>
      <c r="N309" s="7"/>
      <c r="O309" s="7" t="s">
        <v>490</v>
      </c>
      <c r="P309" s="7" t="s">
        <v>1380</v>
      </c>
      <c r="Q309" s="7"/>
      <c r="R309" s="7" t="s">
        <v>1381</v>
      </c>
      <c r="S309" s="7" t="s">
        <v>525</v>
      </c>
      <c r="T309" s="65">
        <v>1877.0</v>
      </c>
      <c r="U309" s="7"/>
      <c r="V309" s="7"/>
    </row>
    <row r="310">
      <c r="A310" s="45">
        <v>45856.70421296296</v>
      </c>
      <c r="B310" s="7" t="s">
        <v>564</v>
      </c>
      <c r="C310" s="7" t="s">
        <v>63</v>
      </c>
      <c r="D310" s="74">
        <v>1.0</v>
      </c>
      <c r="E310" s="46"/>
      <c r="F310" s="47">
        <v>27.55</v>
      </c>
      <c r="G310" s="47">
        <v>0.0</v>
      </c>
      <c r="H310" s="7"/>
      <c r="I310" s="47">
        <v>1.1</v>
      </c>
      <c r="J310" s="8"/>
      <c r="K310" s="7"/>
      <c r="L310" s="7"/>
      <c r="M310" s="7"/>
      <c r="N310" s="7"/>
      <c r="O310" s="7" t="s">
        <v>490</v>
      </c>
      <c r="P310" s="7"/>
      <c r="Q310" s="7"/>
      <c r="R310" s="7"/>
      <c r="S310" s="7" t="s">
        <v>493</v>
      </c>
      <c r="T310" s="65">
        <v>1870.0</v>
      </c>
      <c r="U310" s="7"/>
      <c r="V310" s="7"/>
    </row>
    <row r="311">
      <c r="A311" s="45">
        <v>45856.704189814816</v>
      </c>
      <c r="B311" s="7" t="s">
        <v>289</v>
      </c>
      <c r="C311" s="7" t="s">
        <v>63</v>
      </c>
      <c r="D311" s="74">
        <v>1.0</v>
      </c>
      <c r="E311" s="46"/>
      <c r="F311" s="47">
        <v>24.99</v>
      </c>
      <c r="G311" s="47">
        <v>0.0</v>
      </c>
      <c r="H311" s="7"/>
      <c r="I311" s="47">
        <v>1.02</v>
      </c>
      <c r="J311" s="8"/>
      <c r="K311" s="7"/>
      <c r="L311" s="7"/>
      <c r="M311" s="7"/>
      <c r="N311" s="7"/>
      <c r="O311" s="7" t="s">
        <v>490</v>
      </c>
      <c r="P311" s="7" t="s">
        <v>1305</v>
      </c>
      <c r="Q311" s="7"/>
      <c r="R311" s="7" t="s">
        <v>1306</v>
      </c>
      <c r="S311" s="7" t="s">
        <v>493</v>
      </c>
      <c r="T311" s="65">
        <v>1873.0</v>
      </c>
      <c r="U311" s="7"/>
      <c r="V311" s="7"/>
    </row>
    <row r="312">
      <c r="A312" s="45">
        <v>45856.70402777778</v>
      </c>
      <c r="B312" s="7" t="s">
        <v>463</v>
      </c>
      <c r="C312" s="7" t="s">
        <v>63</v>
      </c>
      <c r="D312" s="74">
        <v>1.0</v>
      </c>
      <c r="E312" s="46"/>
      <c r="F312" s="47">
        <v>24.99</v>
      </c>
      <c r="G312" s="47">
        <v>0.0</v>
      </c>
      <c r="H312" s="7"/>
      <c r="I312" s="47">
        <v>1.02</v>
      </c>
      <c r="J312" s="8"/>
      <c r="K312" s="7"/>
      <c r="L312" s="7"/>
      <c r="M312" s="7"/>
      <c r="N312" s="7"/>
      <c r="O312" s="7" t="s">
        <v>490</v>
      </c>
      <c r="P312" s="7" t="s">
        <v>1301</v>
      </c>
      <c r="Q312" s="7"/>
      <c r="R312" s="7" t="s">
        <v>1302</v>
      </c>
      <c r="S312" s="7" t="s">
        <v>493</v>
      </c>
      <c r="T312" s="65">
        <v>1874.0</v>
      </c>
      <c r="U312" s="7"/>
      <c r="V312" s="7"/>
    </row>
    <row r="313">
      <c r="A313" s="45">
        <v>45856.70386574074</v>
      </c>
      <c r="B313" s="7" t="s">
        <v>308</v>
      </c>
      <c r="C313" s="67" t="s">
        <v>1692</v>
      </c>
      <c r="D313" s="74">
        <v>4.0</v>
      </c>
      <c r="E313" s="74">
        <v>1.0</v>
      </c>
      <c r="F313" s="47">
        <v>211.78</v>
      </c>
      <c r="G313" s="47">
        <v>0.0</v>
      </c>
      <c r="H313" s="7"/>
      <c r="I313" s="47">
        <v>9.62</v>
      </c>
      <c r="J313" s="8"/>
      <c r="K313" s="7"/>
      <c r="L313" s="7"/>
      <c r="M313" s="7"/>
      <c r="N313" s="7"/>
      <c r="O313" s="7" t="s">
        <v>490</v>
      </c>
      <c r="P313" s="7" t="s">
        <v>1425</v>
      </c>
      <c r="Q313" s="7" t="s">
        <v>1426</v>
      </c>
      <c r="R313" s="7" t="s">
        <v>992</v>
      </c>
      <c r="S313" s="7" t="s">
        <v>684</v>
      </c>
      <c r="T313" s="65">
        <v>1872.0</v>
      </c>
      <c r="U313" s="7"/>
      <c r="V313" s="7"/>
    </row>
    <row r="314">
      <c r="A314" s="45">
        <v>45856.70375</v>
      </c>
      <c r="B314" s="7" t="s">
        <v>447</v>
      </c>
      <c r="C314" s="7" t="s">
        <v>63</v>
      </c>
      <c r="D314" s="74">
        <v>1.0</v>
      </c>
      <c r="E314" s="46"/>
      <c r="F314" s="47">
        <v>24.99</v>
      </c>
      <c r="G314" s="47">
        <v>0.0</v>
      </c>
      <c r="H314" s="7"/>
      <c r="I314" s="47">
        <v>1.02</v>
      </c>
      <c r="J314" s="8"/>
      <c r="K314" s="7"/>
      <c r="L314" s="7"/>
      <c r="M314" s="7"/>
      <c r="N314" s="7"/>
      <c r="O314" s="7" t="s">
        <v>490</v>
      </c>
      <c r="P314" s="7" t="s">
        <v>1452</v>
      </c>
      <c r="Q314" s="7"/>
      <c r="R314" s="7" t="s">
        <v>575</v>
      </c>
      <c r="S314" s="7" t="s">
        <v>493</v>
      </c>
      <c r="T314" s="65">
        <v>1875.0</v>
      </c>
      <c r="U314" s="7"/>
      <c r="V314" s="7"/>
    </row>
    <row r="315">
      <c r="A315" s="45">
        <v>45856.703148148146</v>
      </c>
      <c r="B315" s="7" t="s">
        <v>413</v>
      </c>
      <c r="C315" s="7" t="s">
        <v>63</v>
      </c>
      <c r="D315" s="74">
        <v>1.0</v>
      </c>
      <c r="E315" s="46"/>
      <c r="F315" s="47">
        <v>24.99</v>
      </c>
      <c r="G315" s="47">
        <v>0.0</v>
      </c>
      <c r="H315" s="7"/>
      <c r="I315" s="47">
        <v>1.4</v>
      </c>
      <c r="J315" s="8"/>
      <c r="K315" s="7"/>
      <c r="L315" s="7"/>
      <c r="M315" s="7"/>
      <c r="N315" s="7"/>
      <c r="O315" s="7" t="s">
        <v>490</v>
      </c>
      <c r="P315" s="7" t="s">
        <v>1693</v>
      </c>
      <c r="Q315" s="7"/>
      <c r="R315" s="7" t="s">
        <v>1694</v>
      </c>
      <c r="S315" s="7" t="s">
        <v>1420</v>
      </c>
      <c r="T315" s="65">
        <v>1871.0</v>
      </c>
      <c r="U315" s="7"/>
      <c r="V315" s="7"/>
    </row>
    <row r="316">
      <c r="A316" s="45">
        <v>45856.70207175926</v>
      </c>
      <c r="B316" s="7" t="s">
        <v>1446</v>
      </c>
      <c r="C316" s="67" t="s">
        <v>1608</v>
      </c>
      <c r="D316" s="74">
        <v>1.0</v>
      </c>
      <c r="E316" s="74">
        <v>1.0</v>
      </c>
      <c r="F316" s="47">
        <v>134.68</v>
      </c>
      <c r="G316" s="47">
        <v>0.0</v>
      </c>
      <c r="H316" s="7"/>
      <c r="I316" s="47">
        <v>4.21</v>
      </c>
      <c r="J316" s="8"/>
      <c r="K316" s="7"/>
      <c r="L316" s="7"/>
      <c r="M316" s="7"/>
      <c r="N316" s="7"/>
      <c r="O316" s="7" t="s">
        <v>490</v>
      </c>
      <c r="P316" s="7" t="s">
        <v>1447</v>
      </c>
      <c r="Q316" s="7"/>
      <c r="R316" s="7" t="s">
        <v>1448</v>
      </c>
      <c r="S316" s="7" t="s">
        <v>493</v>
      </c>
      <c r="T316" s="65">
        <v>1869.0</v>
      </c>
      <c r="U316" s="7"/>
      <c r="V316" s="7"/>
    </row>
    <row r="317">
      <c r="A317" s="45">
        <v>45856.70143518518</v>
      </c>
      <c r="B317" s="7" t="s">
        <v>1432</v>
      </c>
      <c r="C317" s="7" t="s">
        <v>63</v>
      </c>
      <c r="D317" s="74">
        <v>1.0</v>
      </c>
      <c r="E317" s="46"/>
      <c r="F317" s="47">
        <v>24.99</v>
      </c>
      <c r="G317" s="47">
        <v>0.0</v>
      </c>
      <c r="H317" s="7"/>
      <c r="I317" s="47">
        <v>1.02</v>
      </c>
      <c r="J317" s="8"/>
      <c r="K317" s="7"/>
      <c r="L317" s="7"/>
      <c r="M317" s="7"/>
      <c r="N317" s="7"/>
      <c r="O317" s="7" t="s">
        <v>490</v>
      </c>
      <c r="P317" s="7" t="s">
        <v>1433</v>
      </c>
      <c r="Q317" s="7"/>
      <c r="R317" s="7" t="s">
        <v>1434</v>
      </c>
      <c r="S317" s="7" t="s">
        <v>493</v>
      </c>
      <c r="T317" s="65">
        <v>1868.0</v>
      </c>
      <c r="U317" s="7"/>
      <c r="V317" s="7"/>
    </row>
    <row r="318">
      <c r="A318" s="45">
        <v>45856.6952662037</v>
      </c>
      <c r="B318" s="7" t="s">
        <v>432</v>
      </c>
      <c r="C318" s="67" t="s">
        <v>1608</v>
      </c>
      <c r="D318" s="74">
        <v>1.0</v>
      </c>
      <c r="E318" s="74">
        <v>1.0</v>
      </c>
      <c r="F318" s="47">
        <v>134.68</v>
      </c>
      <c r="G318" s="47">
        <v>0.0</v>
      </c>
      <c r="H318" s="7"/>
      <c r="I318" s="47">
        <v>4.21</v>
      </c>
      <c r="J318" s="8"/>
      <c r="K318" s="7"/>
      <c r="L318" s="7"/>
      <c r="M318" s="7"/>
      <c r="N318" s="7"/>
      <c r="O318" s="7" t="s">
        <v>490</v>
      </c>
      <c r="P318" s="7" t="s">
        <v>1462</v>
      </c>
      <c r="Q318" s="7"/>
      <c r="R318" s="7" t="s">
        <v>1463</v>
      </c>
      <c r="S318" s="7" t="s">
        <v>493</v>
      </c>
      <c r="T318" s="65">
        <v>1867.0</v>
      </c>
      <c r="U318" s="7"/>
      <c r="V318" s="7"/>
    </row>
    <row r="319">
      <c r="A319" s="45">
        <v>45856.69024305556</v>
      </c>
      <c r="B319" s="7" t="s">
        <v>435</v>
      </c>
      <c r="C319" s="7" t="s">
        <v>63</v>
      </c>
      <c r="D319" s="74">
        <v>1.0</v>
      </c>
      <c r="E319" s="46"/>
      <c r="F319" s="47">
        <v>24.99</v>
      </c>
      <c r="G319" s="47">
        <v>0.0</v>
      </c>
      <c r="H319" s="7"/>
      <c r="I319" s="47">
        <v>1.02</v>
      </c>
      <c r="J319" s="8"/>
      <c r="K319" s="7"/>
      <c r="L319" s="7"/>
      <c r="M319" s="7"/>
      <c r="N319" s="7"/>
      <c r="O319" s="7" t="s">
        <v>490</v>
      </c>
      <c r="P319" s="7" t="s">
        <v>1695</v>
      </c>
      <c r="Q319" s="7" t="s">
        <v>1436</v>
      </c>
      <c r="R319" s="7" t="s">
        <v>1437</v>
      </c>
      <c r="S319" s="7" t="s">
        <v>493</v>
      </c>
      <c r="T319" s="65">
        <v>1866.0</v>
      </c>
      <c r="U319" s="7"/>
      <c r="V319" s="7"/>
    </row>
    <row r="320">
      <c r="A320" s="45">
        <v>45856.68981481482</v>
      </c>
      <c r="B320" s="7" t="s">
        <v>386</v>
      </c>
      <c r="C320" s="67" t="s">
        <v>1608</v>
      </c>
      <c r="D320" s="74">
        <v>1.0</v>
      </c>
      <c r="E320" s="74">
        <v>1.0</v>
      </c>
      <c r="F320" s="47">
        <v>124.99</v>
      </c>
      <c r="G320" s="47">
        <v>0.0</v>
      </c>
      <c r="H320" s="7"/>
      <c r="I320" s="47">
        <v>3.92</v>
      </c>
      <c r="J320" s="8"/>
      <c r="K320" s="7"/>
      <c r="L320" s="7"/>
      <c r="M320" s="7"/>
      <c r="N320" s="7"/>
      <c r="O320" s="7" t="s">
        <v>490</v>
      </c>
      <c r="P320" s="7" t="s">
        <v>1387</v>
      </c>
      <c r="Q320" s="7"/>
      <c r="R320" s="7" t="s">
        <v>1639</v>
      </c>
      <c r="S320" s="7" t="s">
        <v>493</v>
      </c>
      <c r="T320" s="65">
        <v>1865.0</v>
      </c>
      <c r="U320" s="7"/>
      <c r="V320" s="7"/>
    </row>
    <row r="321">
      <c r="A321" s="45">
        <v>45856.68467592593</v>
      </c>
      <c r="B321" s="7" t="s">
        <v>395</v>
      </c>
      <c r="C321" s="67" t="s">
        <v>1608</v>
      </c>
      <c r="D321" s="74">
        <v>1.0</v>
      </c>
      <c r="E321" s="74">
        <v>1.0</v>
      </c>
      <c r="F321" s="47">
        <v>124.99</v>
      </c>
      <c r="G321" s="47">
        <v>0.0</v>
      </c>
      <c r="H321" s="7"/>
      <c r="I321" s="47">
        <v>5.8</v>
      </c>
      <c r="J321" s="8"/>
      <c r="K321" s="7"/>
      <c r="L321" s="7"/>
      <c r="M321" s="7"/>
      <c r="N321" s="7"/>
      <c r="O321" s="7" t="s">
        <v>490</v>
      </c>
      <c r="P321" s="7" t="s">
        <v>1696</v>
      </c>
      <c r="Q321" s="7" t="s">
        <v>1697</v>
      </c>
      <c r="R321" s="7" t="s">
        <v>1338</v>
      </c>
      <c r="S321" s="7" t="s">
        <v>973</v>
      </c>
      <c r="T321" s="65">
        <v>1863.0</v>
      </c>
      <c r="U321" s="7"/>
      <c r="V321" s="7"/>
    </row>
    <row r="322">
      <c r="A322" s="45">
        <v>45856.68439814815</v>
      </c>
      <c r="B322" s="7" t="s">
        <v>1698</v>
      </c>
      <c r="C322" s="67" t="s">
        <v>1608</v>
      </c>
      <c r="D322" s="74">
        <v>1.0</v>
      </c>
      <c r="E322" s="74">
        <v>1.0</v>
      </c>
      <c r="F322" s="47">
        <v>124.99</v>
      </c>
      <c r="G322" s="47">
        <v>0.0</v>
      </c>
      <c r="H322" s="7"/>
      <c r="I322" s="47">
        <v>5.8</v>
      </c>
      <c r="J322" s="8"/>
      <c r="K322" s="7"/>
      <c r="L322" s="7"/>
      <c r="M322" s="7"/>
      <c r="N322" s="7"/>
      <c r="O322" s="7" t="s">
        <v>490</v>
      </c>
      <c r="P322" s="7" t="s">
        <v>1291</v>
      </c>
      <c r="Q322" s="7"/>
      <c r="R322" s="7" t="s">
        <v>1699</v>
      </c>
      <c r="S322" s="7" t="s">
        <v>1293</v>
      </c>
      <c r="T322" s="65">
        <v>1864.0</v>
      </c>
      <c r="U322" s="7"/>
      <c r="V322" s="7"/>
    </row>
    <row r="323">
      <c r="A323" s="136" t="s">
        <v>1464</v>
      </c>
      <c r="B323" s="1"/>
      <c r="C323" s="1"/>
      <c r="D323" s="114">
        <f t="shared" ref="D323:G323" si="1">SUM(D2:D322)</f>
        <v>330</v>
      </c>
      <c r="E323" s="114">
        <f t="shared" si="1"/>
        <v>49</v>
      </c>
      <c r="F323" s="115">
        <f t="shared" si="1"/>
        <v>14218.18</v>
      </c>
      <c r="G323" s="115">
        <f t="shared" si="1"/>
        <v>0</v>
      </c>
      <c r="H323" s="1"/>
      <c r="I323" s="115">
        <f t="shared" ref="I323:J323" si="2">SUM(I2:I322)</f>
        <v>639.71</v>
      </c>
      <c r="J323" s="115">
        <f t="shared" si="2"/>
        <v>49.98</v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>
      <c r="A324" s="80"/>
      <c r="B324" s="7"/>
      <c r="C324" s="7"/>
      <c r="D324" s="116"/>
      <c r="E324" s="116"/>
      <c r="F324" s="8"/>
      <c r="G324" s="8"/>
      <c r="H324" s="7"/>
      <c r="I324" s="8"/>
      <c r="J324" s="8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>
      <c r="A325" s="81" t="s">
        <v>467</v>
      </c>
      <c r="B325" s="82"/>
      <c r="C325" s="7"/>
      <c r="D325" s="116"/>
      <c r="E325" s="116"/>
      <c r="F325" s="8"/>
      <c r="G325" s="8"/>
      <c r="H325" s="7"/>
      <c r="I325" s="8"/>
      <c r="J325" s="8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>
      <c r="A326" s="83" t="s">
        <v>1700</v>
      </c>
      <c r="B326" s="84">
        <v>330.0</v>
      </c>
      <c r="C326" s="7"/>
      <c r="D326" s="116"/>
      <c r="E326" s="116"/>
      <c r="F326" s="8"/>
      <c r="G326" s="8"/>
      <c r="H326" s="7"/>
      <c r="I326" s="8"/>
      <c r="J326" s="8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>
      <c r="A327" s="31" t="s">
        <v>68</v>
      </c>
      <c r="B327" s="6">
        <v>24.99</v>
      </c>
      <c r="C327" s="7"/>
      <c r="D327" s="116"/>
      <c r="E327" s="116"/>
      <c r="F327" s="8"/>
      <c r="G327" s="8"/>
      <c r="H327" s="7"/>
      <c r="I327" s="8"/>
      <c r="J327" s="8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>
      <c r="A328" s="93" t="s">
        <v>1466</v>
      </c>
      <c r="B328" s="5">
        <f>B326*B327</f>
        <v>8246.7</v>
      </c>
      <c r="C328" s="7"/>
      <c r="D328" s="116"/>
      <c r="E328" s="116"/>
      <c r="F328" s="8"/>
      <c r="G328" s="8"/>
      <c r="H328" s="7"/>
      <c r="I328" s="8"/>
      <c r="J328" s="8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>
      <c r="A329" s="31" t="s">
        <v>470</v>
      </c>
      <c r="B329" s="85">
        <v>4900.0</v>
      </c>
      <c r="C329" s="7"/>
      <c r="D329" s="116"/>
      <c r="E329" s="116"/>
      <c r="F329" s="8"/>
      <c r="G329" s="8"/>
      <c r="H329" s="7"/>
      <c r="I329" s="8"/>
      <c r="J329" s="8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>
      <c r="A330" s="87" t="s">
        <v>11</v>
      </c>
      <c r="B330" s="88">
        <f>SUM(B328:B329)</f>
        <v>13146.7</v>
      </c>
      <c r="C330" s="7"/>
      <c r="D330" s="116"/>
      <c r="E330" s="116"/>
      <c r="F330" s="8"/>
      <c r="G330" s="8"/>
      <c r="H330" s="7"/>
      <c r="I330" s="8"/>
      <c r="J330" s="8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>
      <c r="A331" s="83" t="s">
        <v>471</v>
      </c>
      <c r="B331" s="89">
        <v>14218.18</v>
      </c>
      <c r="C331" s="7"/>
      <c r="D331" s="116"/>
      <c r="E331" s="116"/>
      <c r="F331" s="8"/>
      <c r="G331" s="8"/>
      <c r="H331" s="7"/>
      <c r="I331" s="8"/>
      <c r="J331" s="8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>
      <c r="A332" s="4" t="s">
        <v>472</v>
      </c>
      <c r="B332" s="5">
        <f>B331-B330</f>
        <v>1071.48</v>
      </c>
      <c r="C332" s="7"/>
      <c r="D332" s="116"/>
      <c r="E332" s="116"/>
      <c r="F332" s="8"/>
      <c r="G332" s="8"/>
      <c r="H332" s="7"/>
      <c r="I332" s="8"/>
      <c r="J332" s="8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90" t="s">
        <v>473</v>
      </c>
      <c r="B333" s="91">
        <v>639.71</v>
      </c>
      <c r="C333" s="7"/>
      <c r="D333" s="116"/>
      <c r="E333" s="116"/>
      <c r="F333" s="8"/>
      <c r="G333" s="8"/>
      <c r="H333" s="7"/>
      <c r="I333" s="8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80"/>
      <c r="B334" s="7"/>
      <c r="C334" s="7"/>
      <c r="D334" s="116"/>
      <c r="E334" s="116"/>
      <c r="F334" s="8"/>
      <c r="G334" s="8"/>
      <c r="H334" s="7"/>
      <c r="I334" s="8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64" t="s">
        <v>1701</v>
      </c>
      <c r="B335" s="7"/>
      <c r="C335" s="7"/>
      <c r="D335" s="116"/>
      <c r="E335" s="116"/>
      <c r="F335" s="8"/>
      <c r="G335" s="8"/>
      <c r="H335" s="7"/>
      <c r="I335" s="8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80"/>
      <c r="B336" s="7"/>
      <c r="C336" s="7"/>
      <c r="D336" s="116"/>
      <c r="E336" s="116"/>
      <c r="F336" s="8"/>
      <c r="G336" s="8"/>
      <c r="H336" s="7"/>
      <c r="I336" s="8"/>
      <c r="J336" s="8"/>
      <c r="K336" s="80"/>
      <c r="L336" s="80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94" t="s">
        <v>476</v>
      </c>
      <c r="B337" s="31"/>
      <c r="C337" s="7"/>
      <c r="D337" s="116"/>
      <c r="E337" s="116"/>
      <c r="F337" s="8"/>
      <c r="G337" s="8"/>
      <c r="H337" s="7"/>
      <c r="I337" s="8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83" t="s">
        <v>477</v>
      </c>
      <c r="B338" s="95">
        <v>12.57</v>
      </c>
      <c r="C338" s="7"/>
      <c r="D338" s="116"/>
      <c r="E338" s="116"/>
      <c r="F338" s="8"/>
      <c r="G338" s="8"/>
      <c r="H338" s="7"/>
      <c r="I338" s="8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83" t="s">
        <v>478</v>
      </c>
      <c r="B339" s="95">
        <v>98.29</v>
      </c>
      <c r="C339" s="7"/>
      <c r="D339" s="116"/>
      <c r="E339" s="116"/>
      <c r="F339" s="8"/>
      <c r="G339" s="8"/>
      <c r="H339" s="7"/>
      <c r="I339" s="8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96" t="s">
        <v>479</v>
      </c>
      <c r="B340" s="97">
        <f>SUM(B338:B339)</f>
        <v>110.86</v>
      </c>
      <c r="C340" s="7"/>
      <c r="D340" s="116"/>
      <c r="E340" s="116"/>
      <c r="F340" s="8"/>
      <c r="G340" s="8"/>
      <c r="H340" s="7"/>
      <c r="I340" s="8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80"/>
      <c r="B341" s="7"/>
      <c r="C341" s="7"/>
      <c r="D341" s="116"/>
      <c r="E341" s="116"/>
      <c r="F341" s="8"/>
      <c r="G341" s="8"/>
      <c r="H341" s="7"/>
      <c r="I341" s="8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B342" s="7"/>
      <c r="C342" s="7"/>
      <c r="D342" s="116"/>
      <c r="E342" s="116"/>
      <c r="F342" s="8"/>
      <c r="G342" s="8"/>
      <c r="H342" s="7"/>
      <c r="I342" s="8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121" t="s">
        <v>480</v>
      </c>
      <c r="B343" s="122">
        <v>24.99</v>
      </c>
      <c r="C343" s="7"/>
      <c r="D343" s="116"/>
      <c r="E343" s="116"/>
      <c r="F343" s="8"/>
      <c r="G343" s="8"/>
      <c r="H343" s="7"/>
      <c r="I343" s="8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121" t="s">
        <v>8</v>
      </c>
      <c r="B344" s="123">
        <v>4.5</v>
      </c>
      <c r="C344" s="7"/>
      <c r="D344" s="116"/>
      <c r="E344" s="116"/>
      <c r="F344" s="8"/>
      <c r="G344" s="8"/>
      <c r="H344" s="7"/>
      <c r="I344" s="8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121" t="s">
        <v>13</v>
      </c>
      <c r="B345" s="126">
        <f>2*0.127</f>
        <v>0.254</v>
      </c>
      <c r="C345" s="7"/>
      <c r="D345" s="116"/>
      <c r="E345" s="116"/>
      <c r="F345" s="8"/>
      <c r="G345" s="8"/>
      <c r="H345" s="7"/>
      <c r="I345" s="8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121" t="s">
        <v>9</v>
      </c>
      <c r="B346" s="124">
        <f>B343-(B344+B345)</f>
        <v>20.236</v>
      </c>
      <c r="C346" s="7"/>
      <c r="D346" s="116"/>
      <c r="E346" s="116"/>
      <c r="F346" s="8"/>
      <c r="G346" s="8"/>
      <c r="H346" s="7"/>
      <c r="I346" s="8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125"/>
      <c r="B347" s="126"/>
      <c r="C347" s="7"/>
      <c r="D347" s="116"/>
      <c r="E347" s="116"/>
      <c r="F347" s="8"/>
      <c r="G347" s="8"/>
      <c r="H347" s="7"/>
      <c r="I347" s="8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121" t="s">
        <v>10</v>
      </c>
      <c r="B348" s="127">
        <v>330.0</v>
      </c>
      <c r="C348" s="7"/>
      <c r="D348" s="116"/>
      <c r="E348" s="116"/>
      <c r="F348" s="8"/>
      <c r="G348" s="8"/>
      <c r="H348" s="7"/>
      <c r="I348" s="8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121" t="s">
        <v>481</v>
      </c>
      <c r="B349" s="126">
        <f>B343*B348</f>
        <v>8246.7</v>
      </c>
      <c r="C349" s="7"/>
      <c r="D349" s="116"/>
      <c r="E349" s="116"/>
      <c r="F349" s="8"/>
      <c r="G349" s="8"/>
      <c r="H349" s="7"/>
      <c r="I349" s="8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121" t="s">
        <v>12</v>
      </c>
      <c r="B350" s="123">
        <v>4235.5</v>
      </c>
      <c r="C350" s="7"/>
      <c r="D350" s="116"/>
      <c r="E350" s="116"/>
      <c r="F350" s="8"/>
      <c r="G350" s="8"/>
      <c r="H350" s="7"/>
      <c r="I350" s="8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128" t="s">
        <v>14</v>
      </c>
      <c r="B351" s="129">
        <f>B349-B350</f>
        <v>4011.2</v>
      </c>
      <c r="C351" s="7"/>
      <c r="D351" s="116"/>
      <c r="E351" s="116"/>
      <c r="F351" s="8"/>
      <c r="G351" s="8"/>
      <c r="H351" s="7"/>
      <c r="I351" s="8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130"/>
      <c r="B352" s="130"/>
      <c r="C352" s="7"/>
      <c r="D352" s="116"/>
      <c r="E352" s="116"/>
      <c r="F352" s="8"/>
      <c r="G352" s="8"/>
      <c r="H352" s="7"/>
      <c r="I352" s="8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121" t="s">
        <v>16</v>
      </c>
      <c r="B353" s="123">
        <f>70</f>
        <v>70</v>
      </c>
      <c r="C353" s="7"/>
      <c r="D353" s="116"/>
      <c r="E353" s="116"/>
      <c r="F353" s="8"/>
      <c r="G353" s="8"/>
      <c r="H353" s="7"/>
      <c r="I353" s="8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121" t="s">
        <v>10</v>
      </c>
      <c r="B354" s="127">
        <v>49.0</v>
      </c>
      <c r="C354" s="7"/>
      <c r="D354" s="116"/>
      <c r="E354" s="116"/>
      <c r="F354" s="8"/>
      <c r="G354" s="8"/>
      <c r="H354" s="7"/>
      <c r="I354" s="8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121" t="s">
        <v>17</v>
      </c>
      <c r="B355" s="126">
        <f>B353*B354</f>
        <v>3430</v>
      </c>
      <c r="C355" s="7"/>
      <c r="D355" s="116"/>
      <c r="E355" s="116"/>
      <c r="F355" s="8"/>
      <c r="G355" s="8"/>
      <c r="H355" s="7"/>
      <c r="I355" s="8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121"/>
      <c r="B356" s="123"/>
      <c r="C356" s="7"/>
      <c r="D356" s="116"/>
      <c r="E356" s="116"/>
      <c r="F356" s="8"/>
      <c r="G356" s="8"/>
      <c r="H356" s="7"/>
      <c r="I356" s="8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131" t="s">
        <v>18</v>
      </c>
      <c r="B357" s="124">
        <f>B351+B349</f>
        <v>12257.9</v>
      </c>
      <c r="C357" s="7"/>
      <c r="D357" s="116"/>
      <c r="E357" s="116"/>
      <c r="F357" s="8"/>
      <c r="G357" s="8"/>
      <c r="H357" s="7"/>
      <c r="I357" s="8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130"/>
      <c r="B358" s="130"/>
      <c r="C358" s="7"/>
      <c r="D358" s="116"/>
      <c r="E358" s="116"/>
      <c r="F358" s="8"/>
      <c r="G358" s="8"/>
      <c r="H358" s="7"/>
      <c r="I358" s="8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121" t="s">
        <v>19</v>
      </c>
      <c r="B359" s="132">
        <v>639.71</v>
      </c>
      <c r="C359" s="7"/>
      <c r="D359" s="116"/>
      <c r="E359" s="116"/>
      <c r="F359" s="8"/>
      <c r="G359" s="8"/>
      <c r="H359" s="7"/>
      <c r="I359" s="8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133" t="s">
        <v>1472</v>
      </c>
      <c r="B360" s="134">
        <v>110.86</v>
      </c>
      <c r="C360" s="7"/>
      <c r="D360" s="116"/>
      <c r="E360" s="116"/>
      <c r="F360" s="8"/>
      <c r="G360" s="8"/>
      <c r="H360" s="7"/>
      <c r="I360" s="8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131" t="s">
        <v>20</v>
      </c>
      <c r="B361" s="124">
        <f>B357-B359-B360</f>
        <v>11507.33</v>
      </c>
      <c r="C361" s="7"/>
      <c r="D361" s="116"/>
      <c r="E361" s="116"/>
      <c r="F361" s="8"/>
      <c r="G361" s="8"/>
      <c r="H361" s="7"/>
      <c r="I361" s="8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80"/>
      <c r="B362" s="7"/>
      <c r="C362" s="7"/>
      <c r="D362" s="116"/>
      <c r="E362" s="116"/>
      <c r="F362" s="8"/>
      <c r="G362" s="8"/>
      <c r="H362" s="7"/>
      <c r="I362" s="8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80"/>
      <c r="B363" s="7"/>
      <c r="C363" s="7"/>
      <c r="D363" s="116"/>
      <c r="E363" s="116"/>
      <c r="F363" s="8"/>
      <c r="G363" s="8"/>
      <c r="H363" s="7"/>
      <c r="I363" s="8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80"/>
      <c r="B364" s="7"/>
      <c r="C364" s="7"/>
      <c r="D364" s="116"/>
      <c r="E364" s="116"/>
      <c r="F364" s="8"/>
      <c r="G364" s="8"/>
      <c r="H364" s="7"/>
      <c r="I364" s="8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80"/>
      <c r="B365" s="7"/>
      <c r="C365" s="7"/>
      <c r="D365" s="116"/>
      <c r="E365" s="116"/>
      <c r="F365" s="8"/>
      <c r="G365" s="8"/>
      <c r="H365" s="7"/>
      <c r="I365" s="8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80"/>
      <c r="B366" s="7"/>
      <c r="C366" s="7"/>
      <c r="D366" s="116"/>
      <c r="E366" s="116"/>
      <c r="F366" s="8"/>
      <c r="G366" s="8"/>
      <c r="H366" s="7"/>
      <c r="I366" s="8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80"/>
      <c r="B367" s="7"/>
      <c r="C367" s="7"/>
      <c r="D367" s="116"/>
      <c r="E367" s="116"/>
      <c r="F367" s="8"/>
      <c r="G367" s="8"/>
      <c r="H367" s="7"/>
      <c r="I367" s="8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80"/>
      <c r="B368" s="7"/>
      <c r="C368" s="7"/>
      <c r="D368" s="116"/>
      <c r="E368" s="116"/>
      <c r="F368" s="8"/>
      <c r="G368" s="8"/>
      <c r="H368" s="7"/>
      <c r="I368" s="8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80"/>
      <c r="B369" s="7"/>
      <c r="C369" s="7"/>
      <c r="D369" s="116"/>
      <c r="E369" s="116"/>
      <c r="F369" s="8"/>
      <c r="G369" s="8"/>
      <c r="H369" s="7"/>
      <c r="I369" s="8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80"/>
      <c r="B370" s="7"/>
      <c r="C370" s="7"/>
      <c r="D370" s="116"/>
      <c r="E370" s="116"/>
      <c r="F370" s="8"/>
      <c r="G370" s="8"/>
      <c r="H370" s="7"/>
      <c r="I370" s="8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80"/>
      <c r="B371" s="7"/>
      <c r="C371" s="7"/>
      <c r="D371" s="116"/>
      <c r="E371" s="116"/>
      <c r="F371" s="8"/>
      <c r="G371" s="8"/>
      <c r="H371" s="7"/>
      <c r="I371" s="8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80"/>
      <c r="B372" s="7"/>
      <c r="C372" s="7"/>
      <c r="D372" s="116"/>
      <c r="E372" s="116"/>
      <c r="F372" s="8"/>
      <c r="G372" s="8"/>
      <c r="H372" s="7"/>
      <c r="I372" s="8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80"/>
      <c r="B373" s="7"/>
      <c r="C373" s="7"/>
      <c r="D373" s="116"/>
      <c r="E373" s="116"/>
      <c r="F373" s="8"/>
      <c r="G373" s="8"/>
      <c r="H373" s="7"/>
      <c r="I373" s="8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80"/>
      <c r="B374" s="7"/>
      <c r="C374" s="7"/>
      <c r="D374" s="116"/>
      <c r="E374" s="116"/>
      <c r="F374" s="8"/>
      <c r="G374" s="8"/>
      <c r="H374" s="7"/>
      <c r="I374" s="8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80"/>
      <c r="B375" s="7"/>
      <c r="C375" s="7"/>
      <c r="D375" s="116"/>
      <c r="E375" s="116"/>
      <c r="F375" s="8"/>
      <c r="G375" s="8"/>
      <c r="H375" s="7"/>
      <c r="I375" s="8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80"/>
      <c r="B376" s="7"/>
      <c r="C376" s="7"/>
      <c r="D376" s="116"/>
      <c r="E376" s="116"/>
      <c r="F376" s="8"/>
      <c r="G376" s="8"/>
      <c r="H376" s="7"/>
      <c r="I376" s="8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80"/>
      <c r="B377" s="7"/>
      <c r="C377" s="7"/>
      <c r="D377" s="116"/>
      <c r="E377" s="116"/>
      <c r="F377" s="8"/>
      <c r="G377" s="8"/>
      <c r="H377" s="7"/>
      <c r="I377" s="8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80"/>
      <c r="B378" s="7"/>
      <c r="C378" s="7"/>
      <c r="D378" s="116"/>
      <c r="E378" s="116"/>
      <c r="F378" s="8"/>
      <c r="G378" s="8"/>
      <c r="H378" s="7"/>
      <c r="I378" s="8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80"/>
      <c r="B379" s="7"/>
      <c r="C379" s="7"/>
      <c r="D379" s="116"/>
      <c r="E379" s="116"/>
      <c r="F379" s="8"/>
      <c r="G379" s="8"/>
      <c r="H379" s="7"/>
      <c r="I379" s="8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80"/>
      <c r="B380" s="7"/>
      <c r="C380" s="7"/>
      <c r="D380" s="116"/>
      <c r="E380" s="116"/>
      <c r="F380" s="8"/>
      <c r="G380" s="8"/>
      <c r="H380" s="7"/>
      <c r="I380" s="8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80"/>
      <c r="B381" s="7"/>
      <c r="C381" s="7"/>
      <c r="D381" s="116"/>
      <c r="E381" s="116"/>
      <c r="F381" s="8"/>
      <c r="G381" s="8"/>
      <c r="H381" s="7"/>
      <c r="I381" s="8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80"/>
      <c r="B382" s="7"/>
      <c r="C382" s="7"/>
      <c r="D382" s="116"/>
      <c r="E382" s="116"/>
      <c r="F382" s="8"/>
      <c r="G382" s="8"/>
      <c r="H382" s="7"/>
      <c r="I382" s="8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80"/>
      <c r="B383" s="7"/>
      <c r="C383" s="7"/>
      <c r="D383" s="116"/>
      <c r="E383" s="116"/>
      <c r="F383" s="8"/>
      <c r="G383" s="8"/>
      <c r="H383" s="7"/>
      <c r="I383" s="8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80"/>
      <c r="B384" s="7"/>
      <c r="C384" s="7"/>
      <c r="D384" s="116"/>
      <c r="E384" s="116"/>
      <c r="F384" s="8"/>
      <c r="G384" s="8"/>
      <c r="H384" s="7"/>
      <c r="I384" s="8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80"/>
      <c r="B385" s="7"/>
      <c r="C385" s="7"/>
      <c r="D385" s="116"/>
      <c r="E385" s="116"/>
      <c r="F385" s="8"/>
      <c r="G385" s="8"/>
      <c r="H385" s="7"/>
      <c r="I385" s="8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80"/>
      <c r="B386" s="7"/>
      <c r="C386" s="7"/>
      <c r="D386" s="116"/>
      <c r="E386" s="116"/>
      <c r="F386" s="8"/>
      <c r="G386" s="8"/>
      <c r="H386" s="7"/>
      <c r="I386" s="8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80"/>
      <c r="B387" s="7"/>
      <c r="C387" s="7"/>
      <c r="D387" s="116"/>
      <c r="E387" s="116"/>
      <c r="F387" s="8"/>
      <c r="G387" s="8"/>
      <c r="H387" s="7"/>
      <c r="I387" s="8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80"/>
      <c r="B388" s="7"/>
      <c r="C388" s="7"/>
      <c r="D388" s="116"/>
      <c r="E388" s="116"/>
      <c r="F388" s="8"/>
      <c r="G388" s="8"/>
      <c r="H388" s="7"/>
      <c r="I388" s="8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80"/>
      <c r="B389" s="7"/>
      <c r="C389" s="7"/>
      <c r="D389" s="116"/>
      <c r="E389" s="116"/>
      <c r="F389" s="8"/>
      <c r="G389" s="8"/>
      <c r="H389" s="7"/>
      <c r="I389" s="8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80"/>
      <c r="B390" s="7"/>
      <c r="C390" s="7"/>
      <c r="D390" s="116"/>
      <c r="E390" s="116"/>
      <c r="F390" s="8"/>
      <c r="G390" s="8"/>
      <c r="H390" s="7"/>
      <c r="I390" s="8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80"/>
      <c r="B391" s="7"/>
      <c r="C391" s="7"/>
      <c r="D391" s="116"/>
      <c r="E391" s="116"/>
      <c r="F391" s="8"/>
      <c r="G391" s="8"/>
      <c r="H391" s="7"/>
      <c r="I391" s="8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80"/>
      <c r="B392" s="7"/>
      <c r="C392" s="7"/>
      <c r="D392" s="116"/>
      <c r="E392" s="116"/>
      <c r="F392" s="8"/>
      <c r="G392" s="8"/>
      <c r="H392" s="7"/>
      <c r="I392" s="8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80"/>
      <c r="B393" s="7"/>
      <c r="C393" s="7"/>
      <c r="D393" s="116"/>
      <c r="E393" s="116"/>
      <c r="F393" s="8"/>
      <c r="G393" s="8"/>
      <c r="H393" s="7"/>
      <c r="I393" s="8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80"/>
      <c r="B394" s="7"/>
      <c r="C394" s="7"/>
      <c r="D394" s="116"/>
      <c r="E394" s="116"/>
      <c r="F394" s="8"/>
      <c r="G394" s="8"/>
      <c r="H394" s="7"/>
      <c r="I394" s="8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80"/>
      <c r="B395" s="7"/>
      <c r="C395" s="7"/>
      <c r="D395" s="116"/>
      <c r="E395" s="116"/>
      <c r="F395" s="8"/>
      <c r="G395" s="8"/>
      <c r="H395" s="7"/>
      <c r="I395" s="8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80"/>
      <c r="B396" s="7"/>
      <c r="C396" s="7"/>
      <c r="D396" s="116"/>
      <c r="E396" s="116"/>
      <c r="F396" s="8"/>
      <c r="G396" s="8"/>
      <c r="H396" s="7"/>
      <c r="I396" s="8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80"/>
      <c r="B397" s="7"/>
      <c r="C397" s="7"/>
      <c r="D397" s="116"/>
      <c r="E397" s="116"/>
      <c r="F397" s="8"/>
      <c r="G397" s="8"/>
      <c r="H397" s="7"/>
      <c r="I397" s="8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80"/>
      <c r="B398" s="7"/>
      <c r="C398" s="7"/>
      <c r="D398" s="116"/>
      <c r="E398" s="116"/>
      <c r="F398" s="8"/>
      <c r="G398" s="8"/>
      <c r="H398" s="7"/>
      <c r="I398" s="8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80"/>
      <c r="B399" s="7"/>
      <c r="C399" s="7"/>
      <c r="D399" s="116"/>
      <c r="E399" s="116"/>
      <c r="F399" s="8"/>
      <c r="G399" s="8"/>
      <c r="H399" s="7"/>
      <c r="I399" s="8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80"/>
      <c r="B400" s="7"/>
      <c r="C400" s="7"/>
      <c r="D400" s="116"/>
      <c r="E400" s="116"/>
      <c r="F400" s="8"/>
      <c r="G400" s="8"/>
      <c r="H400" s="7"/>
      <c r="I400" s="8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80"/>
      <c r="B401" s="7"/>
      <c r="C401" s="7"/>
      <c r="D401" s="116"/>
      <c r="E401" s="116"/>
      <c r="F401" s="8"/>
      <c r="G401" s="8"/>
      <c r="H401" s="7"/>
      <c r="I401" s="8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80"/>
      <c r="B402" s="7"/>
      <c r="C402" s="7"/>
      <c r="D402" s="116"/>
      <c r="E402" s="116"/>
      <c r="F402" s="8"/>
      <c r="G402" s="8"/>
      <c r="H402" s="7"/>
      <c r="I402" s="8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80"/>
      <c r="B403" s="7"/>
      <c r="C403" s="7"/>
      <c r="D403" s="116"/>
      <c r="E403" s="116"/>
      <c r="F403" s="8"/>
      <c r="G403" s="8"/>
      <c r="H403" s="7"/>
      <c r="I403" s="8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80"/>
      <c r="B404" s="7"/>
      <c r="C404" s="7"/>
      <c r="D404" s="116"/>
      <c r="E404" s="116"/>
      <c r="F404" s="8"/>
      <c r="G404" s="8"/>
      <c r="H404" s="7"/>
      <c r="I404" s="8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80"/>
      <c r="B405" s="7"/>
      <c r="C405" s="7"/>
      <c r="D405" s="116"/>
      <c r="E405" s="116"/>
      <c r="F405" s="8"/>
      <c r="G405" s="8"/>
      <c r="H405" s="7"/>
      <c r="I405" s="8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80"/>
      <c r="B406" s="7"/>
      <c r="C406" s="7"/>
      <c r="D406" s="116"/>
      <c r="E406" s="116"/>
      <c r="F406" s="8"/>
      <c r="G406" s="8"/>
      <c r="H406" s="7"/>
      <c r="I406" s="8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80"/>
      <c r="B407" s="7"/>
      <c r="C407" s="7"/>
      <c r="D407" s="116"/>
      <c r="E407" s="116"/>
      <c r="F407" s="8"/>
      <c r="G407" s="8"/>
      <c r="H407" s="7"/>
      <c r="I407" s="8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80"/>
      <c r="B408" s="7"/>
      <c r="C408" s="7"/>
      <c r="D408" s="116"/>
      <c r="E408" s="116"/>
      <c r="F408" s="8"/>
      <c r="G408" s="8"/>
      <c r="H408" s="7"/>
      <c r="I408" s="8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80"/>
      <c r="B409" s="7"/>
      <c r="C409" s="7"/>
      <c r="D409" s="116"/>
      <c r="E409" s="116"/>
      <c r="F409" s="8"/>
      <c r="G409" s="8"/>
      <c r="H409" s="7"/>
      <c r="I409" s="8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80"/>
      <c r="B410" s="7"/>
      <c r="C410" s="7"/>
      <c r="D410" s="116"/>
      <c r="E410" s="116"/>
      <c r="F410" s="8"/>
      <c r="G410" s="8"/>
      <c r="H410" s="7"/>
      <c r="I410" s="8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80"/>
      <c r="B411" s="7"/>
      <c r="C411" s="7"/>
      <c r="D411" s="116"/>
      <c r="E411" s="116"/>
      <c r="F411" s="8"/>
      <c r="G411" s="8"/>
      <c r="H411" s="7"/>
      <c r="I411" s="8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80"/>
      <c r="B412" s="7"/>
      <c r="C412" s="7"/>
      <c r="D412" s="116"/>
      <c r="E412" s="116"/>
      <c r="F412" s="8"/>
      <c r="G412" s="8"/>
      <c r="H412" s="7"/>
      <c r="I412" s="8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80"/>
      <c r="B413" s="7"/>
      <c r="C413" s="7"/>
      <c r="D413" s="116"/>
      <c r="E413" s="116"/>
      <c r="F413" s="8"/>
      <c r="G413" s="8"/>
      <c r="H413" s="7"/>
      <c r="I413" s="8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80"/>
      <c r="B414" s="7"/>
      <c r="C414" s="7"/>
      <c r="D414" s="116"/>
      <c r="E414" s="116"/>
      <c r="F414" s="8"/>
      <c r="G414" s="8"/>
      <c r="H414" s="7"/>
      <c r="I414" s="8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80"/>
      <c r="B415" s="7"/>
      <c r="C415" s="7"/>
      <c r="D415" s="116"/>
      <c r="E415" s="116"/>
      <c r="F415" s="8"/>
      <c r="G415" s="8"/>
      <c r="H415" s="7"/>
      <c r="I415" s="8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80"/>
      <c r="B416" s="7"/>
      <c r="C416" s="7"/>
      <c r="D416" s="116"/>
      <c r="E416" s="116"/>
      <c r="F416" s="8"/>
      <c r="G416" s="8"/>
      <c r="H416" s="7"/>
      <c r="I416" s="8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80"/>
      <c r="B417" s="7"/>
      <c r="C417" s="7"/>
      <c r="D417" s="116"/>
      <c r="E417" s="116"/>
      <c r="F417" s="8"/>
      <c r="G417" s="8"/>
      <c r="H417" s="7"/>
      <c r="I417" s="8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80"/>
      <c r="B418" s="7"/>
      <c r="C418" s="7"/>
      <c r="D418" s="116"/>
      <c r="E418" s="116"/>
      <c r="F418" s="8"/>
      <c r="G418" s="8"/>
      <c r="H418" s="7"/>
      <c r="I418" s="8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80"/>
      <c r="B419" s="7"/>
      <c r="C419" s="7"/>
      <c r="D419" s="116"/>
      <c r="E419" s="116"/>
      <c r="F419" s="8"/>
      <c r="G419" s="8"/>
      <c r="H419" s="7"/>
      <c r="I419" s="8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80"/>
      <c r="B420" s="7"/>
      <c r="C420" s="7"/>
      <c r="D420" s="116"/>
      <c r="E420" s="116"/>
      <c r="F420" s="8"/>
      <c r="G420" s="8"/>
      <c r="H420" s="7"/>
      <c r="I420" s="8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80"/>
      <c r="B421" s="7"/>
      <c r="C421" s="7"/>
      <c r="D421" s="116"/>
      <c r="E421" s="116"/>
      <c r="F421" s="8"/>
      <c r="G421" s="8"/>
      <c r="H421" s="7"/>
      <c r="I421" s="8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80"/>
      <c r="B422" s="7"/>
      <c r="C422" s="7"/>
      <c r="D422" s="116"/>
      <c r="E422" s="116"/>
      <c r="F422" s="8"/>
      <c r="G422" s="8"/>
      <c r="H422" s="7"/>
      <c r="I422" s="8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80"/>
      <c r="B423" s="7"/>
      <c r="C423" s="7"/>
      <c r="D423" s="116"/>
      <c r="E423" s="116"/>
      <c r="F423" s="8"/>
      <c r="G423" s="8"/>
      <c r="H423" s="7"/>
      <c r="I423" s="8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80"/>
      <c r="B424" s="7"/>
      <c r="C424" s="7"/>
      <c r="D424" s="116"/>
      <c r="E424" s="116"/>
      <c r="F424" s="8"/>
      <c r="G424" s="8"/>
      <c r="H424" s="7"/>
      <c r="I424" s="8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80"/>
      <c r="B425" s="7"/>
      <c r="C425" s="7"/>
      <c r="D425" s="116"/>
      <c r="E425" s="116"/>
      <c r="F425" s="8"/>
      <c r="G425" s="8"/>
      <c r="H425" s="7"/>
      <c r="I425" s="8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80"/>
      <c r="B426" s="7"/>
      <c r="C426" s="7"/>
      <c r="D426" s="116"/>
      <c r="E426" s="116"/>
      <c r="F426" s="8"/>
      <c r="G426" s="8"/>
      <c r="H426" s="7"/>
      <c r="I426" s="8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80"/>
      <c r="B427" s="7"/>
      <c r="C427" s="7"/>
      <c r="D427" s="116"/>
      <c r="E427" s="116"/>
      <c r="F427" s="8"/>
      <c r="G427" s="8"/>
      <c r="H427" s="7"/>
      <c r="I427" s="8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80"/>
      <c r="B428" s="7"/>
      <c r="C428" s="7"/>
      <c r="D428" s="116"/>
      <c r="E428" s="116"/>
      <c r="F428" s="8"/>
      <c r="G428" s="8"/>
      <c r="H428" s="7"/>
      <c r="I428" s="8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80"/>
      <c r="B429" s="7"/>
      <c r="C429" s="7"/>
      <c r="D429" s="116"/>
      <c r="E429" s="116"/>
      <c r="F429" s="8"/>
      <c r="G429" s="8"/>
      <c r="H429" s="7"/>
      <c r="I429" s="8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80"/>
      <c r="B430" s="7"/>
      <c r="C430" s="7"/>
      <c r="D430" s="116"/>
      <c r="E430" s="116"/>
      <c r="F430" s="8"/>
      <c r="G430" s="8"/>
      <c r="H430" s="7"/>
      <c r="I430" s="8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80"/>
      <c r="B431" s="7"/>
      <c r="C431" s="7"/>
      <c r="D431" s="116"/>
      <c r="E431" s="116"/>
      <c r="F431" s="8"/>
      <c r="G431" s="8"/>
      <c r="H431" s="7"/>
      <c r="I431" s="8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80"/>
      <c r="B432" s="7"/>
      <c r="C432" s="7"/>
      <c r="D432" s="116"/>
      <c r="E432" s="116"/>
      <c r="F432" s="8"/>
      <c r="G432" s="8"/>
      <c r="H432" s="7"/>
      <c r="I432" s="8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80"/>
      <c r="B433" s="7"/>
      <c r="C433" s="7"/>
      <c r="D433" s="116"/>
      <c r="E433" s="116"/>
      <c r="F433" s="8"/>
      <c r="G433" s="8"/>
      <c r="H433" s="7"/>
      <c r="I433" s="8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80"/>
      <c r="B434" s="7"/>
      <c r="C434" s="7"/>
      <c r="D434" s="116"/>
      <c r="E434" s="116"/>
      <c r="F434" s="8"/>
      <c r="G434" s="8"/>
      <c r="H434" s="7"/>
      <c r="I434" s="8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80"/>
      <c r="B435" s="7"/>
      <c r="C435" s="7"/>
      <c r="D435" s="116"/>
      <c r="E435" s="116"/>
      <c r="F435" s="8"/>
      <c r="G435" s="8"/>
      <c r="H435" s="7"/>
      <c r="I435" s="8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80"/>
      <c r="B436" s="7"/>
      <c r="C436" s="7"/>
      <c r="D436" s="116"/>
      <c r="E436" s="116"/>
      <c r="F436" s="8"/>
      <c r="G436" s="8"/>
      <c r="H436" s="7"/>
      <c r="I436" s="8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80"/>
      <c r="B437" s="7"/>
      <c r="C437" s="7"/>
      <c r="D437" s="116"/>
      <c r="E437" s="116"/>
      <c r="F437" s="8"/>
      <c r="G437" s="8"/>
      <c r="H437" s="7"/>
      <c r="I437" s="8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80"/>
      <c r="B438" s="7"/>
      <c r="C438" s="7"/>
      <c r="D438" s="116"/>
      <c r="E438" s="116"/>
      <c r="F438" s="8"/>
      <c r="G438" s="8"/>
      <c r="H438" s="7"/>
      <c r="I438" s="8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80"/>
      <c r="B439" s="7"/>
      <c r="C439" s="7"/>
      <c r="D439" s="116"/>
      <c r="E439" s="116"/>
      <c r="F439" s="8"/>
      <c r="G439" s="8"/>
      <c r="H439" s="7"/>
      <c r="I439" s="8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80"/>
      <c r="B440" s="7"/>
      <c r="C440" s="7"/>
      <c r="D440" s="116"/>
      <c r="E440" s="116"/>
      <c r="F440" s="8"/>
      <c r="G440" s="8"/>
      <c r="H440" s="7"/>
      <c r="I440" s="8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80"/>
      <c r="B441" s="7"/>
      <c r="C441" s="7"/>
      <c r="D441" s="116"/>
      <c r="E441" s="116"/>
      <c r="F441" s="8"/>
      <c r="G441" s="8"/>
      <c r="H441" s="7"/>
      <c r="I441" s="8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80"/>
      <c r="B442" s="7"/>
      <c r="C442" s="7"/>
      <c r="D442" s="116"/>
      <c r="E442" s="116"/>
      <c r="F442" s="8"/>
      <c r="G442" s="8"/>
      <c r="H442" s="7"/>
      <c r="I442" s="8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80"/>
      <c r="B443" s="7"/>
      <c r="C443" s="7"/>
      <c r="D443" s="116"/>
      <c r="E443" s="116"/>
      <c r="F443" s="8"/>
      <c r="G443" s="8"/>
      <c r="H443" s="7"/>
      <c r="I443" s="8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80"/>
      <c r="B444" s="7"/>
      <c r="C444" s="7"/>
      <c r="D444" s="116"/>
      <c r="E444" s="116"/>
      <c r="F444" s="8"/>
      <c r="G444" s="8"/>
      <c r="H444" s="7"/>
      <c r="I444" s="8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80"/>
      <c r="B445" s="7"/>
      <c r="C445" s="7"/>
      <c r="D445" s="116"/>
      <c r="E445" s="116"/>
      <c r="F445" s="8"/>
      <c r="G445" s="8"/>
      <c r="H445" s="7"/>
      <c r="I445" s="8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80"/>
      <c r="B446" s="7"/>
      <c r="C446" s="7"/>
      <c r="D446" s="116"/>
      <c r="E446" s="116"/>
      <c r="F446" s="8"/>
      <c r="G446" s="8"/>
      <c r="H446" s="7"/>
      <c r="I446" s="8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80"/>
      <c r="B447" s="7"/>
      <c r="C447" s="7"/>
      <c r="D447" s="116"/>
      <c r="E447" s="116"/>
      <c r="F447" s="8"/>
      <c r="G447" s="8"/>
      <c r="H447" s="7"/>
      <c r="I447" s="8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80"/>
      <c r="B448" s="7"/>
      <c r="C448" s="7"/>
      <c r="D448" s="116"/>
      <c r="E448" s="116"/>
      <c r="F448" s="8"/>
      <c r="G448" s="8"/>
      <c r="H448" s="7"/>
      <c r="I448" s="8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80"/>
      <c r="B449" s="7"/>
      <c r="C449" s="7"/>
      <c r="D449" s="116"/>
      <c r="E449" s="116"/>
      <c r="F449" s="8"/>
      <c r="G449" s="8"/>
      <c r="H449" s="7"/>
      <c r="I449" s="8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80"/>
      <c r="B450" s="7"/>
      <c r="C450" s="7"/>
      <c r="D450" s="116"/>
      <c r="E450" s="116"/>
      <c r="F450" s="8"/>
      <c r="G450" s="8"/>
      <c r="H450" s="7"/>
      <c r="I450" s="8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80"/>
      <c r="B451" s="7"/>
      <c r="C451" s="7"/>
      <c r="D451" s="116"/>
      <c r="E451" s="116"/>
      <c r="F451" s="8"/>
      <c r="G451" s="8"/>
      <c r="H451" s="7"/>
      <c r="I451" s="8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80"/>
      <c r="B452" s="7"/>
      <c r="C452" s="7"/>
      <c r="D452" s="116"/>
      <c r="E452" s="116"/>
      <c r="F452" s="8"/>
      <c r="G452" s="8"/>
      <c r="H452" s="7"/>
      <c r="I452" s="8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80"/>
      <c r="B453" s="7"/>
      <c r="C453" s="7"/>
      <c r="D453" s="116"/>
      <c r="E453" s="116"/>
      <c r="F453" s="8"/>
      <c r="G453" s="8"/>
      <c r="H453" s="7"/>
      <c r="I453" s="8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80"/>
      <c r="B454" s="7"/>
      <c r="C454" s="7"/>
      <c r="D454" s="116"/>
      <c r="E454" s="116"/>
      <c r="F454" s="8"/>
      <c r="G454" s="8"/>
      <c r="H454" s="7"/>
      <c r="I454" s="8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80"/>
      <c r="B455" s="7"/>
      <c r="C455" s="7"/>
      <c r="D455" s="116"/>
      <c r="E455" s="116"/>
      <c r="F455" s="8"/>
      <c r="G455" s="8"/>
      <c r="H455" s="7"/>
      <c r="I455" s="8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80"/>
      <c r="B456" s="7"/>
      <c r="C456" s="7"/>
      <c r="D456" s="116"/>
      <c r="E456" s="116"/>
      <c r="F456" s="8"/>
      <c r="G456" s="8"/>
      <c r="H456" s="7"/>
      <c r="I456" s="8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80"/>
      <c r="B457" s="7"/>
      <c r="C457" s="7"/>
      <c r="D457" s="116"/>
      <c r="E457" s="116"/>
      <c r="F457" s="8"/>
      <c r="G457" s="8"/>
      <c r="H457" s="7"/>
      <c r="I457" s="8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80"/>
      <c r="B458" s="7"/>
      <c r="C458" s="7"/>
      <c r="D458" s="116"/>
      <c r="E458" s="116"/>
      <c r="F458" s="8"/>
      <c r="G458" s="8"/>
      <c r="H458" s="7"/>
      <c r="I458" s="8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80"/>
      <c r="B459" s="7"/>
      <c r="C459" s="7"/>
      <c r="D459" s="116"/>
      <c r="E459" s="116"/>
      <c r="F459" s="8"/>
      <c r="G459" s="8"/>
      <c r="H459" s="7"/>
      <c r="I459" s="8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80"/>
      <c r="B460" s="7"/>
      <c r="C460" s="7"/>
      <c r="D460" s="116"/>
      <c r="E460" s="116"/>
      <c r="F460" s="8"/>
      <c r="G460" s="8"/>
      <c r="H460" s="7"/>
      <c r="I460" s="8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80"/>
      <c r="B461" s="7"/>
      <c r="C461" s="7"/>
      <c r="D461" s="116"/>
      <c r="E461" s="116"/>
      <c r="F461" s="8"/>
      <c r="G461" s="8"/>
      <c r="H461" s="7"/>
      <c r="I461" s="8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80"/>
      <c r="B462" s="7"/>
      <c r="C462" s="7"/>
      <c r="D462" s="116"/>
      <c r="E462" s="116"/>
      <c r="F462" s="8"/>
      <c r="G462" s="8"/>
      <c r="H462" s="7"/>
      <c r="I462" s="8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80"/>
      <c r="B463" s="7"/>
      <c r="C463" s="7"/>
      <c r="D463" s="116"/>
      <c r="E463" s="116"/>
      <c r="F463" s="8"/>
      <c r="G463" s="8"/>
      <c r="H463" s="7"/>
      <c r="I463" s="8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80"/>
      <c r="B464" s="7"/>
      <c r="C464" s="7"/>
      <c r="D464" s="116"/>
      <c r="E464" s="116"/>
      <c r="F464" s="8"/>
      <c r="G464" s="8"/>
      <c r="H464" s="7"/>
      <c r="I464" s="8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80"/>
      <c r="B465" s="7"/>
      <c r="C465" s="7"/>
      <c r="D465" s="116"/>
      <c r="E465" s="116"/>
      <c r="F465" s="8"/>
      <c r="G465" s="8"/>
      <c r="H465" s="7"/>
      <c r="I465" s="8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80"/>
      <c r="B466" s="7"/>
      <c r="C466" s="7"/>
      <c r="D466" s="116"/>
      <c r="E466" s="116"/>
      <c r="F466" s="8"/>
      <c r="G466" s="8"/>
      <c r="H466" s="7"/>
      <c r="I466" s="8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80"/>
      <c r="B467" s="7"/>
      <c r="C467" s="7"/>
      <c r="D467" s="116"/>
      <c r="E467" s="116"/>
      <c r="F467" s="8"/>
      <c r="G467" s="8"/>
      <c r="H467" s="7"/>
      <c r="I467" s="8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80"/>
      <c r="B468" s="7"/>
      <c r="C468" s="7"/>
      <c r="D468" s="116"/>
      <c r="E468" s="116"/>
      <c r="F468" s="8"/>
      <c r="G468" s="8"/>
      <c r="H468" s="7"/>
      <c r="I468" s="8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80"/>
      <c r="B469" s="7"/>
      <c r="C469" s="7"/>
      <c r="D469" s="116"/>
      <c r="E469" s="116"/>
      <c r="F469" s="8"/>
      <c r="G469" s="8"/>
      <c r="H469" s="7"/>
      <c r="I469" s="8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80"/>
      <c r="B470" s="7"/>
      <c r="C470" s="7"/>
      <c r="D470" s="116"/>
      <c r="E470" s="116"/>
      <c r="F470" s="8"/>
      <c r="G470" s="8"/>
      <c r="H470" s="7"/>
      <c r="I470" s="8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80"/>
      <c r="B471" s="7"/>
      <c r="C471" s="7"/>
      <c r="D471" s="116"/>
      <c r="E471" s="116"/>
      <c r="F471" s="8"/>
      <c r="G471" s="8"/>
      <c r="H471" s="7"/>
      <c r="I471" s="8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80"/>
      <c r="B472" s="7"/>
      <c r="C472" s="7"/>
      <c r="D472" s="116"/>
      <c r="E472" s="116"/>
      <c r="F472" s="8"/>
      <c r="G472" s="8"/>
      <c r="H472" s="7"/>
      <c r="I472" s="8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80"/>
      <c r="B473" s="7"/>
      <c r="C473" s="7"/>
      <c r="D473" s="116"/>
      <c r="E473" s="116"/>
      <c r="F473" s="8"/>
      <c r="G473" s="8"/>
      <c r="H473" s="7"/>
      <c r="I473" s="8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80"/>
      <c r="B474" s="7"/>
      <c r="C474" s="7"/>
      <c r="D474" s="116"/>
      <c r="E474" s="116"/>
      <c r="F474" s="8"/>
      <c r="G474" s="8"/>
      <c r="H474" s="7"/>
      <c r="I474" s="8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80"/>
      <c r="B475" s="7"/>
      <c r="C475" s="7"/>
      <c r="D475" s="116"/>
      <c r="E475" s="116"/>
      <c r="F475" s="8"/>
      <c r="G475" s="8"/>
      <c r="H475" s="7"/>
      <c r="I475" s="8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80"/>
      <c r="B476" s="7"/>
      <c r="C476" s="7"/>
      <c r="D476" s="116"/>
      <c r="E476" s="116"/>
      <c r="F476" s="8"/>
      <c r="G476" s="8"/>
      <c r="H476" s="7"/>
      <c r="I476" s="8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>
      <c r="A477" s="80"/>
      <c r="B477" s="7"/>
      <c r="C477" s="7"/>
      <c r="D477" s="116"/>
      <c r="E477" s="116"/>
      <c r="F477" s="8"/>
      <c r="G477" s="8"/>
      <c r="H477" s="7"/>
      <c r="I477" s="8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80"/>
      <c r="B478" s="7"/>
      <c r="C478" s="7"/>
      <c r="D478" s="116"/>
      <c r="E478" s="116"/>
      <c r="F478" s="8"/>
      <c r="G478" s="8"/>
      <c r="H478" s="7"/>
      <c r="I478" s="8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80"/>
      <c r="B479" s="7"/>
      <c r="C479" s="7"/>
      <c r="D479" s="116"/>
      <c r="E479" s="116"/>
      <c r="F479" s="8"/>
      <c r="G479" s="8"/>
      <c r="H479" s="7"/>
      <c r="I479" s="8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80"/>
      <c r="B480" s="7"/>
      <c r="C480" s="7"/>
      <c r="D480" s="116"/>
      <c r="E480" s="116"/>
      <c r="F480" s="8"/>
      <c r="G480" s="8"/>
      <c r="H480" s="7"/>
      <c r="I480" s="8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80"/>
      <c r="B481" s="7"/>
      <c r="C481" s="7"/>
      <c r="D481" s="116"/>
      <c r="E481" s="116"/>
      <c r="F481" s="8"/>
      <c r="G481" s="8"/>
      <c r="H481" s="7"/>
      <c r="I481" s="8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80"/>
      <c r="B482" s="7"/>
      <c r="C482" s="7"/>
      <c r="D482" s="116"/>
      <c r="E482" s="116"/>
      <c r="F482" s="8"/>
      <c r="G482" s="8"/>
      <c r="H482" s="7"/>
      <c r="I482" s="8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80"/>
      <c r="B483" s="7"/>
      <c r="C483" s="7"/>
      <c r="D483" s="116"/>
      <c r="E483" s="116"/>
      <c r="F483" s="8"/>
      <c r="G483" s="8"/>
      <c r="H483" s="7"/>
      <c r="I483" s="8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80"/>
      <c r="B484" s="7"/>
      <c r="C484" s="7"/>
      <c r="D484" s="116"/>
      <c r="E484" s="116"/>
      <c r="F484" s="8"/>
      <c r="G484" s="8"/>
      <c r="H484" s="7"/>
      <c r="I484" s="8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80"/>
      <c r="B485" s="7"/>
      <c r="C485" s="7"/>
      <c r="D485" s="116"/>
      <c r="E485" s="116"/>
      <c r="F485" s="8"/>
      <c r="G485" s="8"/>
      <c r="H485" s="7"/>
      <c r="I485" s="8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80"/>
      <c r="B486" s="7"/>
      <c r="C486" s="7"/>
      <c r="D486" s="116"/>
      <c r="E486" s="116"/>
      <c r="F486" s="8"/>
      <c r="G486" s="8"/>
      <c r="H486" s="7"/>
      <c r="I486" s="8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80"/>
      <c r="B487" s="7"/>
      <c r="C487" s="7"/>
      <c r="D487" s="116"/>
      <c r="E487" s="116"/>
      <c r="F487" s="8"/>
      <c r="G487" s="8"/>
      <c r="H487" s="7"/>
      <c r="I487" s="8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80"/>
      <c r="B488" s="7"/>
      <c r="C488" s="7"/>
      <c r="D488" s="116"/>
      <c r="E488" s="116"/>
      <c r="F488" s="8"/>
      <c r="G488" s="8"/>
      <c r="H488" s="7"/>
      <c r="I488" s="8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80"/>
      <c r="B489" s="7"/>
      <c r="C489" s="7"/>
      <c r="D489" s="116"/>
      <c r="E489" s="116"/>
      <c r="F489" s="8"/>
      <c r="G489" s="8"/>
      <c r="H489" s="7"/>
      <c r="I489" s="8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80"/>
      <c r="B490" s="7"/>
      <c r="C490" s="7"/>
      <c r="D490" s="116"/>
      <c r="E490" s="116"/>
      <c r="F490" s="8"/>
      <c r="G490" s="8"/>
      <c r="H490" s="7"/>
      <c r="I490" s="8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80"/>
      <c r="B491" s="7"/>
      <c r="C491" s="7"/>
      <c r="D491" s="116"/>
      <c r="E491" s="116"/>
      <c r="F491" s="8"/>
      <c r="G491" s="8"/>
      <c r="H491" s="7"/>
      <c r="I491" s="8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80"/>
      <c r="B492" s="7"/>
      <c r="C492" s="7"/>
      <c r="D492" s="116"/>
      <c r="E492" s="116"/>
      <c r="F492" s="8"/>
      <c r="G492" s="8"/>
      <c r="H492" s="7"/>
      <c r="I492" s="8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80"/>
      <c r="B493" s="7"/>
      <c r="C493" s="7"/>
      <c r="D493" s="116"/>
      <c r="E493" s="116"/>
      <c r="F493" s="8"/>
      <c r="G493" s="8"/>
      <c r="H493" s="7"/>
      <c r="I493" s="8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80"/>
      <c r="B494" s="7"/>
      <c r="C494" s="7"/>
      <c r="D494" s="116"/>
      <c r="E494" s="116"/>
      <c r="F494" s="8"/>
      <c r="G494" s="8"/>
      <c r="H494" s="7"/>
      <c r="I494" s="8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80"/>
      <c r="B495" s="7"/>
      <c r="C495" s="7"/>
      <c r="D495" s="116"/>
      <c r="E495" s="116"/>
      <c r="F495" s="8"/>
      <c r="G495" s="8"/>
      <c r="H495" s="7"/>
      <c r="I495" s="8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80"/>
      <c r="B496" s="7"/>
      <c r="C496" s="7"/>
      <c r="D496" s="116"/>
      <c r="E496" s="116"/>
      <c r="F496" s="8"/>
      <c r="G496" s="8"/>
      <c r="H496" s="7"/>
      <c r="I496" s="8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80"/>
      <c r="B497" s="7"/>
      <c r="C497" s="7"/>
      <c r="D497" s="116"/>
      <c r="E497" s="116"/>
      <c r="F497" s="8"/>
      <c r="G497" s="8"/>
      <c r="H497" s="7"/>
      <c r="I497" s="8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80"/>
      <c r="B498" s="7"/>
      <c r="C498" s="7"/>
      <c r="D498" s="116"/>
      <c r="E498" s="116"/>
      <c r="F498" s="8"/>
      <c r="G498" s="8"/>
      <c r="H498" s="7"/>
      <c r="I498" s="8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80"/>
      <c r="B499" s="7"/>
      <c r="C499" s="7"/>
      <c r="D499" s="116"/>
      <c r="E499" s="116"/>
      <c r="F499" s="8"/>
      <c r="G499" s="8"/>
      <c r="H499" s="7"/>
      <c r="I499" s="8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80"/>
      <c r="B500" s="7"/>
      <c r="C500" s="7"/>
      <c r="D500" s="116"/>
      <c r="E500" s="116"/>
      <c r="F500" s="8"/>
      <c r="G500" s="8"/>
      <c r="H500" s="7"/>
      <c r="I500" s="8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80"/>
      <c r="B501" s="7"/>
      <c r="C501" s="7"/>
      <c r="D501" s="116"/>
      <c r="E501" s="116"/>
      <c r="F501" s="8"/>
      <c r="G501" s="8"/>
      <c r="H501" s="7"/>
      <c r="I501" s="8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80"/>
      <c r="B502" s="7"/>
      <c r="C502" s="7"/>
      <c r="D502" s="116"/>
      <c r="E502" s="116"/>
      <c r="F502" s="8"/>
      <c r="G502" s="8"/>
      <c r="H502" s="7"/>
      <c r="I502" s="8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80"/>
      <c r="B503" s="7"/>
      <c r="C503" s="7"/>
      <c r="D503" s="116"/>
      <c r="E503" s="116"/>
      <c r="F503" s="8"/>
      <c r="G503" s="8"/>
      <c r="H503" s="7"/>
      <c r="I503" s="8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80"/>
      <c r="B504" s="7"/>
      <c r="C504" s="7"/>
      <c r="D504" s="116"/>
      <c r="E504" s="116"/>
      <c r="F504" s="8"/>
      <c r="G504" s="8"/>
      <c r="H504" s="7"/>
      <c r="I504" s="8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80"/>
      <c r="B505" s="7"/>
      <c r="C505" s="7"/>
      <c r="D505" s="116"/>
      <c r="E505" s="116"/>
      <c r="F505" s="8"/>
      <c r="G505" s="8"/>
      <c r="H505" s="7"/>
      <c r="I505" s="8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80"/>
      <c r="B506" s="7"/>
      <c r="C506" s="7"/>
      <c r="D506" s="116"/>
      <c r="E506" s="116"/>
      <c r="F506" s="8"/>
      <c r="G506" s="8"/>
      <c r="H506" s="7"/>
      <c r="I506" s="8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80"/>
      <c r="B507" s="7"/>
      <c r="C507" s="7"/>
      <c r="D507" s="116"/>
      <c r="E507" s="116"/>
      <c r="F507" s="8"/>
      <c r="G507" s="8"/>
      <c r="H507" s="7"/>
      <c r="I507" s="8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80"/>
      <c r="B508" s="7"/>
      <c r="C508" s="7"/>
      <c r="D508" s="116"/>
      <c r="E508" s="116"/>
      <c r="F508" s="8"/>
      <c r="G508" s="8"/>
      <c r="H508" s="7"/>
      <c r="I508" s="8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80"/>
      <c r="B509" s="7"/>
      <c r="C509" s="7"/>
      <c r="D509" s="116"/>
      <c r="E509" s="116"/>
      <c r="F509" s="8"/>
      <c r="G509" s="8"/>
      <c r="H509" s="7"/>
      <c r="I509" s="8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80"/>
      <c r="B510" s="7"/>
      <c r="C510" s="7"/>
      <c r="D510" s="116"/>
      <c r="E510" s="116"/>
      <c r="F510" s="8"/>
      <c r="G510" s="8"/>
      <c r="H510" s="7"/>
      <c r="I510" s="8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80"/>
      <c r="B511" s="7"/>
      <c r="C511" s="7"/>
      <c r="D511" s="116"/>
      <c r="E511" s="116"/>
      <c r="F511" s="8"/>
      <c r="G511" s="8"/>
      <c r="H511" s="7"/>
      <c r="I511" s="8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80"/>
      <c r="B512" s="7"/>
      <c r="C512" s="7"/>
      <c r="D512" s="116"/>
      <c r="E512" s="116"/>
      <c r="F512" s="8"/>
      <c r="G512" s="8"/>
      <c r="H512" s="7"/>
      <c r="I512" s="8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80"/>
      <c r="B513" s="7"/>
      <c r="C513" s="7"/>
      <c r="D513" s="116"/>
      <c r="E513" s="116"/>
      <c r="F513" s="8"/>
      <c r="G513" s="8"/>
      <c r="H513" s="7"/>
      <c r="I513" s="8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80"/>
      <c r="B514" s="7"/>
      <c r="C514" s="7"/>
      <c r="D514" s="116"/>
      <c r="E514" s="116"/>
      <c r="F514" s="8"/>
      <c r="G514" s="8"/>
      <c r="H514" s="7"/>
      <c r="I514" s="8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80"/>
      <c r="B515" s="7"/>
      <c r="C515" s="7"/>
      <c r="D515" s="116"/>
      <c r="E515" s="116"/>
      <c r="F515" s="8"/>
      <c r="G515" s="8"/>
      <c r="H515" s="7"/>
      <c r="I515" s="8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80"/>
      <c r="B516" s="7"/>
      <c r="C516" s="7"/>
      <c r="D516" s="116"/>
      <c r="E516" s="116"/>
      <c r="F516" s="8"/>
      <c r="G516" s="8"/>
      <c r="H516" s="7"/>
      <c r="I516" s="8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80"/>
      <c r="B517" s="7"/>
      <c r="C517" s="7"/>
      <c r="D517" s="116"/>
      <c r="E517" s="116"/>
      <c r="F517" s="8"/>
      <c r="G517" s="8"/>
      <c r="H517" s="7"/>
      <c r="I517" s="8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80"/>
      <c r="B518" s="7"/>
      <c r="C518" s="7"/>
      <c r="D518" s="116"/>
      <c r="E518" s="116"/>
      <c r="F518" s="8"/>
      <c r="G518" s="8"/>
      <c r="H518" s="7"/>
      <c r="I518" s="8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80"/>
      <c r="B519" s="7"/>
      <c r="C519" s="7"/>
      <c r="D519" s="116"/>
      <c r="E519" s="116"/>
      <c r="F519" s="8"/>
      <c r="G519" s="8"/>
      <c r="H519" s="7"/>
      <c r="I519" s="8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80"/>
      <c r="B520" s="7"/>
      <c r="C520" s="7"/>
      <c r="D520" s="116"/>
      <c r="E520" s="116"/>
      <c r="F520" s="8"/>
      <c r="G520" s="8"/>
      <c r="H520" s="7"/>
      <c r="I520" s="8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80"/>
      <c r="B521" s="7"/>
      <c r="C521" s="7"/>
      <c r="D521" s="116"/>
      <c r="E521" s="116"/>
      <c r="F521" s="8"/>
      <c r="G521" s="8"/>
      <c r="H521" s="7"/>
      <c r="I521" s="8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80"/>
      <c r="B522" s="7"/>
      <c r="C522" s="7"/>
      <c r="D522" s="116"/>
      <c r="E522" s="116"/>
      <c r="F522" s="8"/>
      <c r="G522" s="8"/>
      <c r="H522" s="7"/>
      <c r="I522" s="8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80"/>
      <c r="B523" s="7"/>
      <c r="C523" s="7"/>
      <c r="D523" s="116"/>
      <c r="E523" s="116"/>
      <c r="F523" s="8"/>
      <c r="G523" s="8"/>
      <c r="H523" s="7"/>
      <c r="I523" s="8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80"/>
      <c r="B524" s="7"/>
      <c r="C524" s="7"/>
      <c r="D524" s="116"/>
      <c r="E524" s="116"/>
      <c r="F524" s="8"/>
      <c r="G524" s="8"/>
      <c r="H524" s="7"/>
      <c r="I524" s="8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80"/>
      <c r="B525" s="7"/>
      <c r="C525" s="7"/>
      <c r="D525" s="116"/>
      <c r="E525" s="116"/>
      <c r="F525" s="8"/>
      <c r="G525" s="8"/>
      <c r="H525" s="7"/>
      <c r="I525" s="8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80"/>
      <c r="B526" s="7"/>
      <c r="C526" s="7"/>
      <c r="D526" s="116"/>
      <c r="E526" s="116"/>
      <c r="F526" s="8"/>
      <c r="G526" s="8"/>
      <c r="H526" s="7"/>
      <c r="I526" s="8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80"/>
      <c r="B527" s="7"/>
      <c r="C527" s="7"/>
      <c r="D527" s="116"/>
      <c r="E527" s="116"/>
      <c r="F527" s="8"/>
      <c r="G527" s="8"/>
      <c r="H527" s="7"/>
      <c r="I527" s="8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80"/>
      <c r="B528" s="7"/>
      <c r="C528" s="7"/>
      <c r="D528" s="116"/>
      <c r="E528" s="116"/>
      <c r="F528" s="8"/>
      <c r="G528" s="8"/>
      <c r="H528" s="7"/>
      <c r="I528" s="8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80"/>
      <c r="B529" s="7"/>
      <c r="C529" s="7"/>
      <c r="D529" s="116"/>
      <c r="E529" s="116"/>
      <c r="F529" s="8"/>
      <c r="G529" s="8"/>
      <c r="H529" s="7"/>
      <c r="I529" s="8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80"/>
      <c r="B530" s="7"/>
      <c r="C530" s="7"/>
      <c r="D530" s="116"/>
      <c r="E530" s="116"/>
      <c r="F530" s="8"/>
      <c r="G530" s="8"/>
      <c r="H530" s="7"/>
      <c r="I530" s="8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80"/>
      <c r="B531" s="7"/>
      <c r="C531" s="7"/>
      <c r="D531" s="116"/>
      <c r="E531" s="116"/>
      <c r="F531" s="8"/>
      <c r="G531" s="8"/>
      <c r="H531" s="7"/>
      <c r="I531" s="8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80"/>
      <c r="B532" s="7"/>
      <c r="C532" s="7"/>
      <c r="D532" s="116"/>
      <c r="E532" s="116"/>
      <c r="F532" s="8"/>
      <c r="G532" s="8"/>
      <c r="H532" s="7"/>
      <c r="I532" s="8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80"/>
      <c r="B533" s="7"/>
      <c r="C533" s="7"/>
      <c r="D533" s="116"/>
      <c r="E533" s="116"/>
      <c r="F533" s="8"/>
      <c r="G533" s="8"/>
      <c r="H533" s="7"/>
      <c r="I533" s="8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80"/>
      <c r="B534" s="7"/>
      <c r="C534" s="7"/>
      <c r="D534" s="116"/>
      <c r="E534" s="116"/>
      <c r="F534" s="8"/>
      <c r="G534" s="8"/>
      <c r="H534" s="7"/>
      <c r="I534" s="8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80"/>
      <c r="B535" s="7"/>
      <c r="C535" s="7"/>
      <c r="D535" s="116"/>
      <c r="E535" s="116"/>
      <c r="F535" s="8"/>
      <c r="G535" s="8"/>
      <c r="H535" s="7"/>
      <c r="I535" s="8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80"/>
      <c r="B536" s="7"/>
      <c r="C536" s="7"/>
      <c r="D536" s="116"/>
      <c r="E536" s="116"/>
      <c r="F536" s="8"/>
      <c r="G536" s="8"/>
      <c r="H536" s="7"/>
      <c r="I536" s="8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80"/>
      <c r="B537" s="7"/>
      <c r="C537" s="7"/>
      <c r="D537" s="116"/>
      <c r="E537" s="116"/>
      <c r="F537" s="8"/>
      <c r="G537" s="8"/>
      <c r="H537" s="7"/>
      <c r="I537" s="8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80"/>
      <c r="B538" s="7"/>
      <c r="C538" s="7"/>
      <c r="D538" s="116"/>
      <c r="E538" s="116"/>
      <c r="F538" s="8"/>
      <c r="G538" s="8"/>
      <c r="H538" s="7"/>
      <c r="I538" s="8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80"/>
      <c r="B539" s="7"/>
      <c r="C539" s="7"/>
      <c r="D539" s="116"/>
      <c r="E539" s="116"/>
      <c r="F539" s="8"/>
      <c r="G539" s="8"/>
      <c r="H539" s="7"/>
      <c r="I539" s="8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80"/>
      <c r="B540" s="7"/>
      <c r="C540" s="7"/>
      <c r="D540" s="116"/>
      <c r="E540" s="116"/>
      <c r="F540" s="8"/>
      <c r="G540" s="8"/>
      <c r="H540" s="7"/>
      <c r="I540" s="8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80"/>
      <c r="B541" s="7"/>
      <c r="C541" s="7"/>
      <c r="D541" s="116"/>
      <c r="E541" s="116"/>
      <c r="F541" s="8"/>
      <c r="G541" s="8"/>
      <c r="H541" s="7"/>
      <c r="I541" s="8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80"/>
      <c r="B542" s="7"/>
      <c r="C542" s="7"/>
      <c r="D542" s="116"/>
      <c r="E542" s="116"/>
      <c r="F542" s="8"/>
      <c r="G542" s="8"/>
      <c r="H542" s="7"/>
      <c r="I542" s="8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80"/>
      <c r="B543" s="7"/>
      <c r="C543" s="7"/>
      <c r="D543" s="116"/>
      <c r="E543" s="116"/>
      <c r="F543" s="8"/>
      <c r="G543" s="8"/>
      <c r="H543" s="7"/>
      <c r="I543" s="8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80"/>
      <c r="B544" s="7"/>
      <c r="C544" s="7"/>
      <c r="D544" s="116"/>
      <c r="E544" s="116"/>
      <c r="F544" s="8"/>
      <c r="G544" s="8"/>
      <c r="H544" s="7"/>
      <c r="I544" s="8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80"/>
      <c r="B545" s="7"/>
      <c r="C545" s="7"/>
      <c r="D545" s="116"/>
      <c r="E545" s="116"/>
      <c r="F545" s="8"/>
      <c r="G545" s="8"/>
      <c r="H545" s="7"/>
      <c r="I545" s="8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80"/>
      <c r="B546" s="7"/>
      <c r="C546" s="7"/>
      <c r="D546" s="116"/>
      <c r="E546" s="116"/>
      <c r="F546" s="8"/>
      <c r="G546" s="8"/>
      <c r="H546" s="7"/>
      <c r="I546" s="8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80"/>
      <c r="B547" s="7"/>
      <c r="C547" s="7"/>
      <c r="D547" s="116"/>
      <c r="E547" s="116"/>
      <c r="F547" s="8"/>
      <c r="G547" s="8"/>
      <c r="H547" s="7"/>
      <c r="I547" s="8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80"/>
      <c r="B548" s="7"/>
      <c r="C548" s="7"/>
      <c r="D548" s="116"/>
      <c r="E548" s="116"/>
      <c r="F548" s="8"/>
      <c r="G548" s="8"/>
      <c r="H548" s="7"/>
      <c r="I548" s="8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80"/>
      <c r="B549" s="7"/>
      <c r="C549" s="7"/>
      <c r="D549" s="116"/>
      <c r="E549" s="116"/>
      <c r="F549" s="8"/>
      <c r="G549" s="8"/>
      <c r="H549" s="7"/>
      <c r="I549" s="8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80"/>
      <c r="B550" s="7"/>
      <c r="C550" s="7"/>
      <c r="D550" s="116"/>
      <c r="E550" s="116"/>
      <c r="F550" s="8"/>
      <c r="G550" s="8"/>
      <c r="H550" s="7"/>
      <c r="I550" s="8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80"/>
      <c r="B551" s="7"/>
      <c r="C551" s="7"/>
      <c r="D551" s="116"/>
      <c r="E551" s="116"/>
      <c r="F551" s="8"/>
      <c r="G551" s="8"/>
      <c r="H551" s="7"/>
      <c r="I551" s="8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80"/>
      <c r="B552" s="7"/>
      <c r="C552" s="7"/>
      <c r="D552" s="116"/>
      <c r="E552" s="116"/>
      <c r="F552" s="8"/>
      <c r="G552" s="8"/>
      <c r="H552" s="7"/>
      <c r="I552" s="8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80"/>
      <c r="B553" s="7"/>
      <c r="C553" s="7"/>
      <c r="D553" s="116"/>
      <c r="E553" s="116"/>
      <c r="F553" s="8"/>
      <c r="G553" s="8"/>
      <c r="H553" s="7"/>
      <c r="I553" s="8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80"/>
      <c r="B554" s="7"/>
      <c r="C554" s="7"/>
      <c r="D554" s="116"/>
      <c r="E554" s="116"/>
      <c r="F554" s="8"/>
      <c r="G554" s="8"/>
      <c r="H554" s="7"/>
      <c r="I554" s="8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80"/>
      <c r="B555" s="7"/>
      <c r="C555" s="7"/>
      <c r="D555" s="116"/>
      <c r="E555" s="116"/>
      <c r="F555" s="8"/>
      <c r="G555" s="8"/>
      <c r="H555" s="7"/>
      <c r="I555" s="8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80"/>
      <c r="B556" s="7"/>
      <c r="C556" s="7"/>
      <c r="D556" s="116"/>
      <c r="E556" s="116"/>
      <c r="F556" s="8"/>
      <c r="G556" s="8"/>
      <c r="H556" s="7"/>
      <c r="I556" s="8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80"/>
      <c r="B557" s="7"/>
      <c r="C557" s="7"/>
      <c r="D557" s="116"/>
      <c r="E557" s="116"/>
      <c r="F557" s="8"/>
      <c r="G557" s="8"/>
      <c r="H557" s="7"/>
      <c r="I557" s="8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80"/>
      <c r="B558" s="7"/>
      <c r="C558" s="7"/>
      <c r="D558" s="116"/>
      <c r="E558" s="116"/>
      <c r="F558" s="8"/>
      <c r="G558" s="8"/>
      <c r="H558" s="7"/>
      <c r="I558" s="8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80"/>
      <c r="B559" s="7"/>
      <c r="C559" s="7"/>
      <c r="D559" s="116"/>
      <c r="E559" s="116"/>
      <c r="F559" s="8"/>
      <c r="G559" s="8"/>
      <c r="H559" s="7"/>
      <c r="I559" s="8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80"/>
      <c r="B560" s="7"/>
      <c r="C560" s="7"/>
      <c r="D560" s="116"/>
      <c r="E560" s="116"/>
      <c r="F560" s="8"/>
      <c r="G560" s="8"/>
      <c r="H560" s="7"/>
      <c r="I560" s="8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80"/>
      <c r="B561" s="7"/>
      <c r="C561" s="7"/>
      <c r="D561" s="116"/>
      <c r="E561" s="116"/>
      <c r="F561" s="8"/>
      <c r="G561" s="8"/>
      <c r="H561" s="7"/>
      <c r="I561" s="8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80"/>
      <c r="B562" s="7"/>
      <c r="C562" s="7"/>
      <c r="D562" s="116"/>
      <c r="E562" s="116"/>
      <c r="F562" s="8"/>
      <c r="G562" s="8"/>
      <c r="H562" s="7"/>
      <c r="I562" s="8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80"/>
      <c r="B563" s="7"/>
      <c r="C563" s="7"/>
      <c r="D563" s="116"/>
      <c r="E563" s="116"/>
      <c r="F563" s="8"/>
      <c r="G563" s="8"/>
      <c r="H563" s="7"/>
      <c r="I563" s="8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80"/>
      <c r="B564" s="7"/>
      <c r="C564" s="7"/>
      <c r="D564" s="116"/>
      <c r="E564" s="116"/>
      <c r="F564" s="8"/>
      <c r="G564" s="8"/>
      <c r="H564" s="7"/>
      <c r="I564" s="8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80"/>
      <c r="B565" s="7"/>
      <c r="C565" s="7"/>
      <c r="D565" s="116"/>
      <c r="E565" s="116"/>
      <c r="F565" s="8"/>
      <c r="G565" s="8"/>
      <c r="H565" s="7"/>
      <c r="I565" s="8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80"/>
      <c r="B566" s="7"/>
      <c r="C566" s="7"/>
      <c r="D566" s="116"/>
      <c r="E566" s="116"/>
      <c r="F566" s="8"/>
      <c r="G566" s="8"/>
      <c r="H566" s="7"/>
      <c r="I566" s="8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80"/>
      <c r="B567" s="7"/>
      <c r="C567" s="7"/>
      <c r="D567" s="116"/>
      <c r="E567" s="116"/>
      <c r="F567" s="8"/>
      <c r="G567" s="8"/>
      <c r="H567" s="7"/>
      <c r="I567" s="8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80"/>
      <c r="B568" s="7"/>
      <c r="C568" s="7"/>
      <c r="D568" s="116"/>
      <c r="E568" s="116"/>
      <c r="F568" s="8"/>
      <c r="G568" s="8"/>
      <c r="H568" s="7"/>
      <c r="I568" s="8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80"/>
      <c r="B569" s="7"/>
      <c r="C569" s="7"/>
      <c r="D569" s="116"/>
      <c r="E569" s="116"/>
      <c r="F569" s="8"/>
      <c r="G569" s="8"/>
      <c r="H569" s="7"/>
      <c r="I569" s="8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80"/>
      <c r="B570" s="7"/>
      <c r="C570" s="7"/>
      <c r="D570" s="116"/>
      <c r="E570" s="116"/>
      <c r="F570" s="8"/>
      <c r="G570" s="8"/>
      <c r="H570" s="7"/>
      <c r="I570" s="8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80"/>
      <c r="B571" s="7"/>
      <c r="C571" s="7"/>
      <c r="D571" s="116"/>
      <c r="E571" s="116"/>
      <c r="F571" s="8"/>
      <c r="G571" s="8"/>
      <c r="H571" s="7"/>
      <c r="I571" s="8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80"/>
      <c r="B572" s="7"/>
      <c r="C572" s="7"/>
      <c r="D572" s="116"/>
      <c r="E572" s="116"/>
      <c r="F572" s="8"/>
      <c r="G572" s="8"/>
      <c r="H572" s="7"/>
      <c r="I572" s="8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80"/>
      <c r="B573" s="7"/>
      <c r="C573" s="7"/>
      <c r="D573" s="116"/>
      <c r="E573" s="116"/>
      <c r="F573" s="8"/>
      <c r="G573" s="8"/>
      <c r="H573" s="7"/>
      <c r="I573" s="8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80"/>
      <c r="B574" s="7"/>
      <c r="C574" s="7"/>
      <c r="D574" s="116"/>
      <c r="E574" s="116"/>
      <c r="F574" s="8"/>
      <c r="G574" s="8"/>
      <c r="H574" s="7"/>
      <c r="I574" s="8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80"/>
      <c r="B575" s="7"/>
      <c r="C575" s="7"/>
      <c r="D575" s="116"/>
      <c r="E575" s="116"/>
      <c r="F575" s="8"/>
      <c r="G575" s="8"/>
      <c r="H575" s="7"/>
      <c r="I575" s="8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80"/>
      <c r="B576" s="7"/>
      <c r="C576" s="7"/>
      <c r="D576" s="116"/>
      <c r="E576" s="116"/>
      <c r="F576" s="8"/>
      <c r="G576" s="8"/>
      <c r="H576" s="7"/>
      <c r="I576" s="8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80"/>
      <c r="B577" s="7"/>
      <c r="C577" s="7"/>
      <c r="D577" s="116"/>
      <c r="E577" s="116"/>
      <c r="F577" s="8"/>
      <c r="G577" s="8"/>
      <c r="H577" s="7"/>
      <c r="I577" s="8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80"/>
      <c r="B578" s="7"/>
      <c r="C578" s="7"/>
      <c r="D578" s="116"/>
      <c r="E578" s="116"/>
      <c r="F578" s="8"/>
      <c r="G578" s="8"/>
      <c r="H578" s="7"/>
      <c r="I578" s="8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80"/>
      <c r="B579" s="7"/>
      <c r="C579" s="7"/>
      <c r="D579" s="116"/>
      <c r="E579" s="116"/>
      <c r="F579" s="8"/>
      <c r="G579" s="8"/>
      <c r="H579" s="7"/>
      <c r="I579" s="8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80"/>
      <c r="B580" s="7"/>
      <c r="C580" s="7"/>
      <c r="D580" s="116"/>
      <c r="E580" s="116"/>
      <c r="F580" s="8"/>
      <c r="G580" s="8"/>
      <c r="H580" s="7"/>
      <c r="I580" s="8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80"/>
      <c r="B581" s="7"/>
      <c r="C581" s="7"/>
      <c r="D581" s="116"/>
      <c r="E581" s="116"/>
      <c r="F581" s="8"/>
      <c r="G581" s="8"/>
      <c r="H581" s="7"/>
      <c r="I581" s="8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80"/>
      <c r="B582" s="7"/>
      <c r="C582" s="7"/>
      <c r="D582" s="116"/>
      <c r="E582" s="116"/>
      <c r="F582" s="8"/>
      <c r="G582" s="8"/>
      <c r="H582" s="7"/>
      <c r="I582" s="8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80"/>
      <c r="B583" s="7"/>
      <c r="C583" s="7"/>
      <c r="D583" s="116"/>
      <c r="E583" s="116"/>
      <c r="F583" s="8"/>
      <c r="G583" s="8"/>
      <c r="H583" s="7"/>
      <c r="I583" s="8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80"/>
      <c r="B584" s="7"/>
      <c r="C584" s="7"/>
      <c r="D584" s="116"/>
      <c r="E584" s="116"/>
      <c r="F584" s="8"/>
      <c r="G584" s="8"/>
      <c r="H584" s="7"/>
      <c r="I584" s="8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80"/>
      <c r="B585" s="7"/>
      <c r="C585" s="7"/>
      <c r="D585" s="116"/>
      <c r="E585" s="116"/>
      <c r="F585" s="8"/>
      <c r="G585" s="8"/>
      <c r="H585" s="7"/>
      <c r="I585" s="8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80"/>
      <c r="B586" s="7"/>
      <c r="C586" s="7"/>
      <c r="D586" s="116"/>
      <c r="E586" s="116"/>
      <c r="F586" s="8"/>
      <c r="G586" s="8"/>
      <c r="H586" s="7"/>
      <c r="I586" s="8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80"/>
      <c r="B587" s="7"/>
      <c r="C587" s="7"/>
      <c r="D587" s="116"/>
      <c r="E587" s="116"/>
      <c r="F587" s="8"/>
      <c r="G587" s="8"/>
      <c r="H587" s="7"/>
      <c r="I587" s="8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80"/>
      <c r="B588" s="7"/>
      <c r="C588" s="7"/>
      <c r="D588" s="116"/>
      <c r="E588" s="116"/>
      <c r="F588" s="8"/>
      <c r="G588" s="8"/>
      <c r="H588" s="7"/>
      <c r="I588" s="8"/>
      <c r="J588" s="8"/>
      <c r="K588" s="80"/>
      <c r="L588" s="80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80"/>
      <c r="B589" s="7"/>
      <c r="C589" s="7"/>
      <c r="D589" s="116"/>
      <c r="E589" s="116"/>
      <c r="F589" s="8"/>
      <c r="G589" s="8"/>
      <c r="H589" s="7"/>
      <c r="I589" s="8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80"/>
      <c r="B590" s="7"/>
      <c r="C590" s="7"/>
      <c r="D590" s="116"/>
      <c r="E590" s="116"/>
      <c r="F590" s="8"/>
      <c r="G590" s="8"/>
      <c r="H590" s="7"/>
      <c r="I590" s="8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80"/>
      <c r="B591" s="7"/>
      <c r="C591" s="7"/>
      <c r="D591" s="116"/>
      <c r="E591" s="116"/>
      <c r="F591" s="8"/>
      <c r="G591" s="8"/>
      <c r="H591" s="7"/>
      <c r="I591" s="8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80"/>
      <c r="B592" s="7"/>
      <c r="C592" s="7"/>
      <c r="D592" s="116"/>
      <c r="E592" s="116"/>
      <c r="F592" s="8"/>
      <c r="G592" s="8"/>
      <c r="H592" s="7"/>
      <c r="I592" s="8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80"/>
      <c r="B593" s="7"/>
      <c r="C593" s="7"/>
      <c r="D593" s="116"/>
      <c r="E593" s="116"/>
      <c r="F593" s="8"/>
      <c r="G593" s="8"/>
      <c r="H593" s="7"/>
      <c r="I593" s="8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80"/>
      <c r="B594" s="7"/>
      <c r="C594" s="7"/>
      <c r="D594" s="116"/>
      <c r="E594" s="116"/>
      <c r="F594" s="8"/>
      <c r="G594" s="8"/>
      <c r="H594" s="7"/>
      <c r="I594" s="8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80"/>
      <c r="B595" s="7"/>
      <c r="C595" s="7"/>
      <c r="D595" s="116"/>
      <c r="E595" s="116"/>
      <c r="F595" s="8"/>
      <c r="G595" s="8"/>
      <c r="H595" s="7"/>
      <c r="I595" s="8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80"/>
      <c r="B596" s="7"/>
      <c r="C596" s="7"/>
      <c r="D596" s="116"/>
      <c r="E596" s="116"/>
      <c r="F596" s="8"/>
      <c r="G596" s="8"/>
      <c r="H596" s="7"/>
      <c r="I596" s="8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80"/>
      <c r="B597" s="7"/>
      <c r="C597" s="7"/>
      <c r="D597" s="116"/>
      <c r="E597" s="116"/>
      <c r="F597" s="8"/>
      <c r="G597" s="8"/>
      <c r="H597" s="7"/>
      <c r="I597" s="8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80"/>
      <c r="B598" s="7"/>
      <c r="C598" s="7"/>
      <c r="D598" s="116"/>
      <c r="E598" s="116"/>
      <c r="F598" s="8"/>
      <c r="G598" s="8"/>
      <c r="H598" s="7"/>
      <c r="I598" s="8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80"/>
      <c r="B599" s="7"/>
      <c r="C599" s="7"/>
      <c r="D599" s="116"/>
      <c r="E599" s="116"/>
      <c r="F599" s="8"/>
      <c r="G599" s="8"/>
      <c r="H599" s="7"/>
      <c r="I599" s="8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80"/>
      <c r="B600" s="7"/>
      <c r="C600" s="7"/>
      <c r="D600" s="116"/>
      <c r="E600" s="116"/>
      <c r="F600" s="8"/>
      <c r="G600" s="8"/>
      <c r="H600" s="7"/>
      <c r="I600" s="8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80"/>
      <c r="B601" s="7"/>
      <c r="C601" s="7"/>
      <c r="D601" s="116"/>
      <c r="E601" s="116"/>
      <c r="F601" s="8"/>
      <c r="G601" s="8"/>
      <c r="H601" s="7"/>
      <c r="I601" s="8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80"/>
      <c r="B602" s="7"/>
      <c r="C602" s="7"/>
      <c r="D602" s="116"/>
      <c r="E602" s="116"/>
      <c r="F602" s="8"/>
      <c r="G602" s="8"/>
      <c r="H602" s="7"/>
      <c r="I602" s="8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80"/>
      <c r="B603" s="7"/>
      <c r="C603" s="7"/>
      <c r="D603" s="116"/>
      <c r="E603" s="116"/>
      <c r="F603" s="8"/>
      <c r="G603" s="8"/>
      <c r="H603" s="7"/>
      <c r="I603" s="8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80"/>
      <c r="B604" s="7"/>
      <c r="C604" s="7"/>
      <c r="D604" s="116"/>
      <c r="E604" s="116"/>
      <c r="F604" s="8"/>
      <c r="G604" s="8"/>
      <c r="H604" s="7"/>
      <c r="I604" s="8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80"/>
      <c r="B605" s="7"/>
      <c r="C605" s="7"/>
      <c r="D605" s="116"/>
      <c r="E605" s="116"/>
      <c r="F605" s="8"/>
      <c r="G605" s="8"/>
      <c r="H605" s="7"/>
      <c r="I605" s="8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80"/>
      <c r="B606" s="7"/>
      <c r="C606" s="7"/>
      <c r="D606" s="116"/>
      <c r="E606" s="116"/>
      <c r="F606" s="8"/>
      <c r="G606" s="8"/>
      <c r="H606" s="7"/>
      <c r="I606" s="8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80"/>
      <c r="B607" s="7"/>
      <c r="C607" s="7"/>
      <c r="D607" s="116"/>
      <c r="E607" s="116"/>
      <c r="F607" s="8"/>
      <c r="G607" s="8"/>
      <c r="H607" s="7"/>
      <c r="I607" s="8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80"/>
      <c r="B608" s="7"/>
      <c r="C608" s="7"/>
      <c r="D608" s="116"/>
      <c r="E608" s="116"/>
      <c r="F608" s="8"/>
      <c r="G608" s="8"/>
      <c r="H608" s="7"/>
      <c r="I608" s="8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80"/>
      <c r="B609" s="7"/>
      <c r="C609" s="7"/>
      <c r="D609" s="116"/>
      <c r="E609" s="116"/>
      <c r="F609" s="8"/>
      <c r="G609" s="8"/>
      <c r="H609" s="7"/>
      <c r="I609" s="8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80"/>
      <c r="B610" s="7"/>
      <c r="C610" s="7"/>
      <c r="D610" s="116"/>
      <c r="E610" s="116"/>
      <c r="F610" s="8"/>
      <c r="G610" s="8"/>
      <c r="H610" s="7"/>
      <c r="I610" s="8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80"/>
      <c r="B611" s="7"/>
      <c r="C611" s="7"/>
      <c r="D611" s="116"/>
      <c r="E611" s="116"/>
      <c r="F611" s="8"/>
      <c r="G611" s="8"/>
      <c r="H611" s="7"/>
      <c r="I611" s="8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80"/>
      <c r="B612" s="7"/>
      <c r="C612" s="7"/>
      <c r="D612" s="116"/>
      <c r="E612" s="116"/>
      <c r="F612" s="8"/>
      <c r="G612" s="8"/>
      <c r="H612" s="7"/>
      <c r="I612" s="8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80"/>
      <c r="B613" s="7"/>
      <c r="C613" s="7"/>
      <c r="D613" s="116"/>
      <c r="E613" s="116"/>
      <c r="F613" s="8"/>
      <c r="G613" s="8"/>
      <c r="H613" s="7"/>
      <c r="I613" s="8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80"/>
      <c r="B614" s="7"/>
      <c r="C614" s="7"/>
      <c r="D614" s="116"/>
      <c r="E614" s="116"/>
      <c r="F614" s="8"/>
      <c r="G614" s="8"/>
      <c r="H614" s="7"/>
      <c r="I614" s="8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80"/>
      <c r="B615" s="7"/>
      <c r="C615" s="7"/>
      <c r="D615" s="116"/>
      <c r="E615" s="116"/>
      <c r="F615" s="8"/>
      <c r="G615" s="8"/>
      <c r="H615" s="7"/>
      <c r="I615" s="8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80"/>
      <c r="B616" s="7"/>
      <c r="C616" s="7"/>
      <c r="D616" s="116"/>
      <c r="E616" s="116"/>
      <c r="F616" s="8"/>
      <c r="G616" s="8"/>
      <c r="H616" s="7"/>
      <c r="I616" s="8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80"/>
      <c r="B617" s="7"/>
      <c r="C617" s="7"/>
      <c r="D617" s="116"/>
      <c r="E617" s="116"/>
      <c r="F617" s="8"/>
      <c r="G617" s="8"/>
      <c r="H617" s="7"/>
      <c r="I617" s="8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80"/>
      <c r="B618" s="7"/>
      <c r="C618" s="7"/>
      <c r="D618" s="116"/>
      <c r="E618" s="116"/>
      <c r="F618" s="8"/>
      <c r="G618" s="8"/>
      <c r="H618" s="7"/>
      <c r="I618" s="8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80"/>
      <c r="B619" s="7"/>
      <c r="C619" s="7"/>
      <c r="D619" s="116"/>
      <c r="E619" s="116"/>
      <c r="F619" s="8"/>
      <c r="G619" s="8"/>
      <c r="H619" s="7"/>
      <c r="I619" s="8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80"/>
      <c r="B620" s="7"/>
      <c r="C620" s="7"/>
      <c r="D620" s="116"/>
      <c r="E620" s="116"/>
      <c r="F620" s="8"/>
      <c r="G620" s="8"/>
      <c r="H620" s="7"/>
      <c r="I620" s="8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80"/>
      <c r="B621" s="7"/>
      <c r="C621" s="7"/>
      <c r="D621" s="116"/>
      <c r="E621" s="116"/>
      <c r="F621" s="8"/>
      <c r="G621" s="8"/>
      <c r="H621" s="7"/>
      <c r="I621" s="8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80"/>
      <c r="B622" s="7"/>
      <c r="C622" s="7"/>
      <c r="D622" s="116"/>
      <c r="E622" s="116"/>
      <c r="F622" s="8"/>
      <c r="G622" s="8"/>
      <c r="H622" s="7"/>
      <c r="I622" s="8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80"/>
      <c r="B623" s="7"/>
      <c r="C623" s="7"/>
      <c r="D623" s="116"/>
      <c r="E623" s="116"/>
      <c r="F623" s="8"/>
      <c r="G623" s="8"/>
      <c r="H623" s="7"/>
      <c r="I623" s="8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80"/>
      <c r="B624" s="7"/>
      <c r="C624" s="7"/>
      <c r="D624" s="116"/>
      <c r="E624" s="116"/>
      <c r="F624" s="8"/>
      <c r="G624" s="8"/>
      <c r="H624" s="7"/>
      <c r="I624" s="8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80"/>
      <c r="B625" s="7"/>
      <c r="C625" s="7"/>
      <c r="D625" s="116"/>
      <c r="E625" s="116"/>
      <c r="F625" s="8"/>
      <c r="G625" s="8"/>
      <c r="H625" s="7"/>
      <c r="I625" s="8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80"/>
      <c r="B626" s="7"/>
      <c r="C626" s="7"/>
      <c r="D626" s="116"/>
      <c r="E626" s="116"/>
      <c r="F626" s="8"/>
      <c r="G626" s="8"/>
      <c r="H626" s="7"/>
      <c r="I626" s="8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80"/>
      <c r="B627" s="7"/>
      <c r="C627" s="7"/>
      <c r="D627" s="116"/>
      <c r="E627" s="116"/>
      <c r="F627" s="8"/>
      <c r="G627" s="8"/>
      <c r="H627" s="7"/>
      <c r="I627" s="8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80"/>
      <c r="B628" s="7"/>
      <c r="C628" s="7"/>
      <c r="D628" s="116"/>
      <c r="E628" s="116"/>
      <c r="F628" s="8"/>
      <c r="G628" s="8"/>
      <c r="H628" s="7"/>
      <c r="I628" s="8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80"/>
      <c r="B629" s="7"/>
      <c r="C629" s="7"/>
      <c r="D629" s="116"/>
      <c r="E629" s="116"/>
      <c r="F629" s="8"/>
      <c r="G629" s="8"/>
      <c r="H629" s="7"/>
      <c r="I629" s="8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80"/>
      <c r="B630" s="7"/>
      <c r="C630" s="7"/>
      <c r="D630" s="116"/>
      <c r="E630" s="116"/>
      <c r="F630" s="8"/>
      <c r="G630" s="8"/>
      <c r="H630" s="7"/>
      <c r="I630" s="8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80"/>
      <c r="B631" s="7"/>
      <c r="C631" s="7"/>
      <c r="D631" s="116"/>
      <c r="E631" s="116"/>
      <c r="F631" s="8"/>
      <c r="G631" s="8"/>
      <c r="H631" s="7"/>
      <c r="I631" s="8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80"/>
      <c r="B632" s="7"/>
      <c r="C632" s="7"/>
      <c r="D632" s="116"/>
      <c r="E632" s="116"/>
      <c r="F632" s="8"/>
      <c r="G632" s="8"/>
      <c r="H632" s="7"/>
      <c r="I632" s="8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80"/>
      <c r="B633" s="7"/>
      <c r="C633" s="7"/>
      <c r="D633" s="116"/>
      <c r="E633" s="116"/>
      <c r="F633" s="8"/>
      <c r="G633" s="8"/>
      <c r="H633" s="7"/>
      <c r="I633" s="8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80"/>
      <c r="B634" s="7"/>
      <c r="C634" s="7"/>
      <c r="D634" s="116"/>
      <c r="E634" s="116"/>
      <c r="F634" s="8"/>
      <c r="G634" s="8"/>
      <c r="H634" s="7"/>
      <c r="I634" s="8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80"/>
      <c r="B635" s="7"/>
      <c r="C635" s="7"/>
      <c r="D635" s="116"/>
      <c r="E635" s="116"/>
      <c r="F635" s="8"/>
      <c r="G635" s="8"/>
      <c r="H635" s="7"/>
      <c r="I635" s="8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80"/>
      <c r="B636" s="7"/>
      <c r="C636" s="7"/>
      <c r="D636" s="116"/>
      <c r="E636" s="116"/>
      <c r="F636" s="8"/>
      <c r="G636" s="8"/>
      <c r="H636" s="7"/>
      <c r="I636" s="8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80"/>
      <c r="B637" s="7"/>
      <c r="C637" s="7"/>
      <c r="D637" s="116"/>
      <c r="E637" s="116"/>
      <c r="F637" s="8"/>
      <c r="G637" s="8"/>
      <c r="H637" s="7"/>
      <c r="I637" s="8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80"/>
      <c r="B638" s="7"/>
      <c r="C638" s="7"/>
      <c r="D638" s="116"/>
      <c r="E638" s="116"/>
      <c r="F638" s="8"/>
      <c r="G638" s="8"/>
      <c r="H638" s="7"/>
      <c r="I638" s="8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80"/>
      <c r="B639" s="7"/>
      <c r="C639" s="7"/>
      <c r="D639" s="116"/>
      <c r="E639" s="116"/>
      <c r="F639" s="8"/>
      <c r="G639" s="8"/>
      <c r="H639" s="7"/>
      <c r="I639" s="8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80"/>
      <c r="B640" s="7"/>
      <c r="C640" s="7"/>
      <c r="D640" s="116"/>
      <c r="E640" s="116"/>
      <c r="F640" s="8"/>
      <c r="G640" s="8"/>
      <c r="H640" s="7"/>
      <c r="I640" s="8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80"/>
      <c r="B641" s="7"/>
      <c r="C641" s="7"/>
      <c r="D641" s="116"/>
      <c r="E641" s="116"/>
      <c r="F641" s="8"/>
      <c r="G641" s="8"/>
      <c r="H641" s="7"/>
      <c r="I641" s="8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80"/>
      <c r="B642" s="7"/>
      <c r="C642" s="7"/>
      <c r="D642" s="116"/>
      <c r="E642" s="116"/>
      <c r="F642" s="8"/>
      <c r="G642" s="8"/>
      <c r="H642" s="7"/>
      <c r="I642" s="8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80"/>
      <c r="B643" s="7"/>
      <c r="C643" s="7"/>
      <c r="D643" s="116"/>
      <c r="E643" s="116"/>
      <c r="F643" s="8"/>
      <c r="G643" s="8"/>
      <c r="H643" s="7"/>
      <c r="I643" s="8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80"/>
      <c r="B644" s="7"/>
      <c r="C644" s="7"/>
      <c r="D644" s="116"/>
      <c r="E644" s="116"/>
      <c r="F644" s="8"/>
      <c r="G644" s="8"/>
      <c r="H644" s="7"/>
      <c r="I644" s="8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80"/>
      <c r="B645" s="7"/>
      <c r="C645" s="7"/>
      <c r="D645" s="116"/>
      <c r="E645" s="116"/>
      <c r="F645" s="8"/>
      <c r="G645" s="8"/>
      <c r="H645" s="7"/>
      <c r="I645" s="8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80"/>
      <c r="B646" s="7"/>
      <c r="C646" s="7"/>
      <c r="D646" s="116"/>
      <c r="E646" s="116"/>
      <c r="F646" s="8"/>
      <c r="G646" s="8"/>
      <c r="H646" s="7"/>
      <c r="I646" s="8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80"/>
      <c r="B647" s="7"/>
      <c r="C647" s="7"/>
      <c r="D647" s="116"/>
      <c r="E647" s="116"/>
      <c r="F647" s="8"/>
      <c r="G647" s="8"/>
      <c r="H647" s="7"/>
      <c r="I647" s="8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80"/>
      <c r="B648" s="7"/>
      <c r="C648" s="7"/>
      <c r="D648" s="116"/>
      <c r="E648" s="116"/>
      <c r="F648" s="8"/>
      <c r="G648" s="8"/>
      <c r="H648" s="7"/>
      <c r="I648" s="8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80"/>
      <c r="B649" s="7"/>
      <c r="C649" s="7"/>
      <c r="D649" s="116"/>
      <c r="E649" s="116"/>
      <c r="F649" s="8"/>
      <c r="G649" s="8"/>
      <c r="H649" s="7"/>
      <c r="I649" s="8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80"/>
      <c r="B650" s="7"/>
      <c r="C650" s="7"/>
      <c r="D650" s="116"/>
      <c r="E650" s="116"/>
      <c r="F650" s="8"/>
      <c r="G650" s="8"/>
      <c r="H650" s="7"/>
      <c r="I650" s="8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80"/>
      <c r="B651" s="7"/>
      <c r="C651" s="7"/>
      <c r="D651" s="116"/>
      <c r="E651" s="116"/>
      <c r="F651" s="8"/>
      <c r="G651" s="8"/>
      <c r="H651" s="7"/>
      <c r="I651" s="8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80"/>
      <c r="B652" s="7"/>
      <c r="C652" s="7"/>
      <c r="D652" s="116"/>
      <c r="E652" s="116"/>
      <c r="F652" s="8"/>
      <c r="G652" s="8"/>
      <c r="H652" s="7"/>
      <c r="I652" s="8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80"/>
      <c r="B653" s="7"/>
      <c r="C653" s="7"/>
      <c r="D653" s="116"/>
      <c r="E653" s="116"/>
      <c r="F653" s="8"/>
      <c r="G653" s="8"/>
      <c r="H653" s="7"/>
      <c r="I653" s="8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80"/>
      <c r="B654" s="7"/>
      <c r="C654" s="7"/>
      <c r="D654" s="116"/>
      <c r="E654" s="116"/>
      <c r="F654" s="8"/>
      <c r="G654" s="8"/>
      <c r="H654" s="7"/>
      <c r="I654" s="8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80"/>
      <c r="B655" s="7"/>
      <c r="C655" s="7"/>
      <c r="D655" s="116"/>
      <c r="E655" s="116"/>
      <c r="F655" s="8"/>
      <c r="G655" s="8"/>
      <c r="H655" s="7"/>
      <c r="I655" s="8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80"/>
      <c r="B656" s="7"/>
      <c r="C656" s="7"/>
      <c r="D656" s="116"/>
      <c r="E656" s="116"/>
      <c r="F656" s="8"/>
      <c r="G656" s="8"/>
      <c r="H656" s="7"/>
      <c r="I656" s="8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80"/>
      <c r="B657" s="7"/>
      <c r="C657" s="7"/>
      <c r="D657" s="116"/>
      <c r="E657" s="116"/>
      <c r="F657" s="8"/>
      <c r="G657" s="8"/>
      <c r="H657" s="7"/>
      <c r="I657" s="8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80"/>
      <c r="B658" s="7"/>
      <c r="C658" s="7"/>
      <c r="D658" s="116"/>
      <c r="E658" s="116"/>
      <c r="F658" s="8"/>
      <c r="G658" s="8"/>
      <c r="H658" s="7"/>
      <c r="I658" s="8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80"/>
      <c r="B659" s="7"/>
      <c r="C659" s="7"/>
      <c r="D659" s="116"/>
      <c r="E659" s="116"/>
      <c r="F659" s="8"/>
      <c r="G659" s="8"/>
      <c r="H659" s="7"/>
      <c r="I659" s="8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80"/>
      <c r="B660" s="7"/>
      <c r="C660" s="7"/>
      <c r="D660" s="116"/>
      <c r="E660" s="116"/>
      <c r="F660" s="8"/>
      <c r="G660" s="8"/>
      <c r="H660" s="7"/>
      <c r="I660" s="8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80"/>
      <c r="B661" s="7"/>
      <c r="C661" s="7"/>
      <c r="D661" s="116"/>
      <c r="E661" s="116"/>
      <c r="F661" s="8"/>
      <c r="G661" s="8"/>
      <c r="H661" s="7"/>
      <c r="I661" s="8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80"/>
      <c r="B662" s="7"/>
      <c r="C662" s="7"/>
      <c r="D662" s="116"/>
      <c r="E662" s="116"/>
      <c r="F662" s="8"/>
      <c r="G662" s="8"/>
      <c r="H662" s="7"/>
      <c r="I662" s="8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80"/>
      <c r="B663" s="7"/>
      <c r="C663" s="7"/>
      <c r="D663" s="116"/>
      <c r="E663" s="116"/>
      <c r="F663" s="8"/>
      <c r="G663" s="8"/>
      <c r="H663" s="7"/>
      <c r="I663" s="8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80"/>
      <c r="B664" s="7"/>
      <c r="C664" s="7"/>
      <c r="D664" s="116"/>
      <c r="E664" s="116"/>
      <c r="F664" s="8"/>
      <c r="G664" s="8"/>
      <c r="H664" s="7"/>
      <c r="I664" s="8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80"/>
      <c r="B665" s="7"/>
      <c r="C665" s="7"/>
      <c r="D665" s="116"/>
      <c r="E665" s="116"/>
      <c r="F665" s="8"/>
      <c r="G665" s="8"/>
      <c r="H665" s="7"/>
      <c r="I665" s="8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80"/>
      <c r="B666" s="7"/>
      <c r="C666" s="7"/>
      <c r="D666" s="116"/>
      <c r="E666" s="116"/>
      <c r="F666" s="8"/>
      <c r="G666" s="8"/>
      <c r="H666" s="7"/>
      <c r="I666" s="8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80"/>
      <c r="B667" s="7"/>
      <c r="C667" s="7"/>
      <c r="D667" s="116"/>
      <c r="E667" s="116"/>
      <c r="F667" s="8"/>
      <c r="G667" s="8"/>
      <c r="H667" s="7"/>
      <c r="I667" s="8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80"/>
      <c r="B668" s="7"/>
      <c r="C668" s="7"/>
      <c r="D668" s="116"/>
      <c r="E668" s="116"/>
      <c r="F668" s="8"/>
      <c r="G668" s="8"/>
      <c r="H668" s="7"/>
      <c r="I668" s="8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80"/>
      <c r="B669" s="7"/>
      <c r="C669" s="7"/>
      <c r="D669" s="116"/>
      <c r="E669" s="116"/>
      <c r="F669" s="8"/>
      <c r="G669" s="8"/>
      <c r="H669" s="7"/>
      <c r="I669" s="8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80"/>
      <c r="B670" s="7"/>
      <c r="C670" s="7"/>
      <c r="D670" s="116"/>
      <c r="E670" s="116"/>
      <c r="F670" s="8"/>
      <c r="G670" s="8"/>
      <c r="H670" s="7"/>
      <c r="I670" s="8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80"/>
      <c r="B671" s="7"/>
      <c r="C671" s="7"/>
      <c r="D671" s="116"/>
      <c r="E671" s="116"/>
      <c r="F671" s="8"/>
      <c r="G671" s="8"/>
      <c r="H671" s="7"/>
      <c r="I671" s="8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80"/>
      <c r="B672" s="7"/>
      <c r="C672" s="7"/>
      <c r="D672" s="116"/>
      <c r="E672" s="116"/>
      <c r="F672" s="8"/>
      <c r="G672" s="8"/>
      <c r="H672" s="7"/>
      <c r="I672" s="8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80"/>
      <c r="B673" s="7"/>
      <c r="C673" s="7"/>
      <c r="D673" s="116"/>
      <c r="E673" s="116"/>
      <c r="F673" s="8"/>
      <c r="G673" s="8"/>
      <c r="H673" s="7"/>
      <c r="I673" s="8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80"/>
      <c r="B674" s="7"/>
      <c r="C674" s="7"/>
      <c r="D674" s="116"/>
      <c r="E674" s="116"/>
      <c r="F674" s="8"/>
      <c r="G674" s="8"/>
      <c r="H674" s="7"/>
      <c r="I674" s="8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80"/>
      <c r="B675" s="7"/>
      <c r="C675" s="7"/>
      <c r="D675" s="116"/>
      <c r="E675" s="116"/>
      <c r="F675" s="8"/>
      <c r="G675" s="8"/>
      <c r="H675" s="7"/>
      <c r="I675" s="8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80"/>
      <c r="B676" s="7"/>
      <c r="C676" s="7"/>
      <c r="D676" s="116"/>
      <c r="E676" s="116"/>
      <c r="F676" s="8"/>
      <c r="G676" s="8"/>
      <c r="H676" s="7"/>
      <c r="I676" s="8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80"/>
      <c r="B677" s="7"/>
      <c r="C677" s="7"/>
      <c r="D677" s="116"/>
      <c r="E677" s="116"/>
      <c r="F677" s="8"/>
      <c r="G677" s="8"/>
      <c r="H677" s="7"/>
      <c r="I677" s="8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80"/>
      <c r="B678" s="7"/>
      <c r="C678" s="7"/>
      <c r="D678" s="116"/>
      <c r="E678" s="116"/>
      <c r="F678" s="8"/>
      <c r="G678" s="8"/>
      <c r="H678" s="7"/>
      <c r="I678" s="8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80"/>
      <c r="B679" s="7"/>
      <c r="C679" s="7"/>
      <c r="D679" s="116"/>
      <c r="E679" s="116"/>
      <c r="F679" s="8"/>
      <c r="G679" s="8"/>
      <c r="H679" s="7"/>
      <c r="I679" s="8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80"/>
      <c r="B680" s="7"/>
      <c r="C680" s="7"/>
      <c r="D680" s="116"/>
      <c r="E680" s="116"/>
      <c r="F680" s="8"/>
      <c r="G680" s="8"/>
      <c r="H680" s="7"/>
      <c r="I680" s="8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80"/>
      <c r="B681" s="7"/>
      <c r="C681" s="7"/>
      <c r="D681" s="116"/>
      <c r="E681" s="116"/>
      <c r="F681" s="8"/>
      <c r="G681" s="8"/>
      <c r="H681" s="7"/>
      <c r="I681" s="8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80"/>
      <c r="B682" s="7"/>
      <c r="C682" s="7"/>
      <c r="D682" s="116"/>
      <c r="E682" s="116"/>
      <c r="F682" s="8"/>
      <c r="G682" s="8"/>
      <c r="H682" s="7"/>
      <c r="I682" s="8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80"/>
      <c r="B683" s="7"/>
      <c r="C683" s="7"/>
      <c r="D683" s="116"/>
      <c r="E683" s="116"/>
      <c r="F683" s="8"/>
      <c r="G683" s="8"/>
      <c r="H683" s="7"/>
      <c r="I683" s="8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80"/>
      <c r="B684" s="7"/>
      <c r="C684" s="7"/>
      <c r="D684" s="116"/>
      <c r="E684" s="116"/>
      <c r="F684" s="8"/>
      <c r="G684" s="8"/>
      <c r="H684" s="7"/>
      <c r="I684" s="8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80"/>
      <c r="B685" s="7"/>
      <c r="C685" s="7"/>
      <c r="D685" s="116"/>
      <c r="E685" s="116"/>
      <c r="F685" s="8"/>
      <c r="G685" s="8"/>
      <c r="H685" s="7"/>
      <c r="I685" s="8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80"/>
      <c r="B686" s="7"/>
      <c r="C686" s="7"/>
      <c r="D686" s="116"/>
      <c r="E686" s="116"/>
      <c r="F686" s="8"/>
      <c r="G686" s="8"/>
      <c r="H686" s="7"/>
      <c r="I686" s="8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80"/>
      <c r="B687" s="7"/>
      <c r="C687" s="7"/>
      <c r="D687" s="116"/>
      <c r="E687" s="116"/>
      <c r="F687" s="8"/>
      <c r="G687" s="8"/>
      <c r="H687" s="7"/>
      <c r="I687" s="8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80"/>
      <c r="B688" s="7"/>
      <c r="C688" s="7"/>
      <c r="D688" s="116"/>
      <c r="E688" s="116"/>
      <c r="F688" s="8"/>
      <c r="G688" s="8"/>
      <c r="H688" s="7"/>
      <c r="I688" s="8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80"/>
      <c r="B689" s="7"/>
      <c r="C689" s="7"/>
      <c r="D689" s="116"/>
      <c r="E689" s="116"/>
      <c r="F689" s="8"/>
      <c r="G689" s="8"/>
      <c r="H689" s="7"/>
      <c r="I689" s="8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7"/>
      <c r="B690" s="7"/>
      <c r="C690" s="7"/>
      <c r="D690" s="116"/>
      <c r="E690" s="116"/>
      <c r="F690" s="8"/>
      <c r="G690" s="8"/>
      <c r="H690" s="7"/>
      <c r="I690" s="8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7"/>
      <c r="B691" s="7"/>
      <c r="C691" s="7"/>
      <c r="D691" s="116"/>
      <c r="E691" s="116"/>
      <c r="F691" s="8"/>
      <c r="G691" s="8"/>
      <c r="H691" s="7"/>
      <c r="I691" s="8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D692" s="57"/>
      <c r="E692" s="57"/>
    </row>
    <row r="693">
      <c r="D693" s="57"/>
      <c r="E693" s="57"/>
    </row>
    <row r="694">
      <c r="D694" s="57"/>
      <c r="E694" s="57"/>
    </row>
    <row r="695">
      <c r="D695" s="57"/>
      <c r="E695" s="57"/>
    </row>
    <row r="696">
      <c r="D696" s="57"/>
      <c r="E696" s="57"/>
    </row>
    <row r="697">
      <c r="D697" s="57"/>
      <c r="E697" s="57"/>
    </row>
    <row r="698">
      <c r="D698" s="57"/>
      <c r="E698" s="57"/>
    </row>
    <row r="699">
      <c r="D699" s="57"/>
      <c r="E699" s="57"/>
    </row>
    <row r="700">
      <c r="D700" s="57"/>
      <c r="E700" s="57"/>
    </row>
    <row r="701">
      <c r="D701" s="57"/>
      <c r="E701" s="57"/>
    </row>
    <row r="702">
      <c r="D702" s="57"/>
      <c r="E702" s="57"/>
    </row>
    <row r="703">
      <c r="D703" s="57"/>
      <c r="E703" s="57"/>
    </row>
    <row r="704">
      <c r="D704" s="57"/>
      <c r="E704" s="57"/>
    </row>
    <row r="705">
      <c r="D705" s="57"/>
      <c r="E705" s="57"/>
    </row>
    <row r="706">
      <c r="D706" s="57"/>
      <c r="E706" s="57"/>
    </row>
    <row r="707">
      <c r="D707" s="57"/>
      <c r="E707" s="57"/>
    </row>
    <row r="708">
      <c r="D708" s="57"/>
      <c r="E708" s="57"/>
    </row>
    <row r="709">
      <c r="D709" s="57"/>
      <c r="E709" s="57"/>
    </row>
    <row r="710">
      <c r="D710" s="57"/>
      <c r="E710" s="57"/>
    </row>
    <row r="711">
      <c r="D711" s="57"/>
      <c r="E711" s="57"/>
    </row>
    <row r="712">
      <c r="D712" s="57"/>
      <c r="E712" s="57"/>
    </row>
    <row r="713">
      <c r="D713" s="57"/>
      <c r="E713" s="57"/>
    </row>
    <row r="714">
      <c r="D714" s="57"/>
      <c r="E714" s="57"/>
    </row>
    <row r="715">
      <c r="D715" s="57"/>
      <c r="E715" s="57"/>
    </row>
    <row r="716">
      <c r="D716" s="57"/>
      <c r="E716" s="57"/>
    </row>
    <row r="717">
      <c r="D717" s="57"/>
      <c r="E717" s="57"/>
    </row>
    <row r="718">
      <c r="D718" s="57"/>
      <c r="E718" s="57"/>
    </row>
    <row r="719">
      <c r="D719" s="57"/>
      <c r="E719" s="57"/>
    </row>
    <row r="720">
      <c r="D720" s="57"/>
      <c r="E720" s="57"/>
    </row>
    <row r="721">
      <c r="D721" s="57"/>
      <c r="E721" s="57"/>
    </row>
    <row r="722">
      <c r="D722" s="57"/>
      <c r="E722" s="57"/>
    </row>
    <row r="723">
      <c r="D723" s="57"/>
      <c r="E723" s="57"/>
    </row>
    <row r="724">
      <c r="D724" s="57"/>
      <c r="E724" s="57"/>
    </row>
    <row r="725">
      <c r="D725" s="57"/>
      <c r="E725" s="57"/>
    </row>
    <row r="726">
      <c r="D726" s="57"/>
      <c r="E726" s="57"/>
    </row>
    <row r="727">
      <c r="D727" s="57"/>
      <c r="E727" s="57"/>
    </row>
    <row r="728">
      <c r="D728" s="57"/>
      <c r="E728" s="57"/>
    </row>
    <row r="729">
      <c r="D729" s="57"/>
      <c r="E729" s="57"/>
    </row>
    <row r="730">
      <c r="D730" s="57"/>
      <c r="E730" s="57"/>
    </row>
    <row r="731">
      <c r="D731" s="57"/>
      <c r="E731" s="57"/>
    </row>
    <row r="732">
      <c r="D732" s="57"/>
      <c r="E732" s="57"/>
    </row>
    <row r="733">
      <c r="D733" s="57"/>
      <c r="E733" s="57"/>
    </row>
    <row r="734">
      <c r="D734" s="57"/>
      <c r="E734" s="57"/>
    </row>
    <row r="735">
      <c r="D735" s="57"/>
      <c r="E735" s="57"/>
    </row>
    <row r="736">
      <c r="D736" s="57"/>
      <c r="E736" s="57"/>
    </row>
    <row r="737">
      <c r="D737" s="57"/>
      <c r="E737" s="57"/>
    </row>
    <row r="738">
      <c r="D738" s="57"/>
      <c r="E738" s="57"/>
    </row>
    <row r="739">
      <c r="D739" s="57"/>
      <c r="E739" s="57"/>
    </row>
    <row r="740">
      <c r="D740" s="57"/>
      <c r="E740" s="57"/>
    </row>
    <row r="741">
      <c r="D741" s="57"/>
      <c r="E741" s="57"/>
    </row>
    <row r="742">
      <c r="D742" s="57"/>
      <c r="E742" s="57"/>
    </row>
    <row r="743">
      <c r="D743" s="57"/>
      <c r="E743" s="57"/>
    </row>
    <row r="744">
      <c r="D744" s="57"/>
      <c r="E744" s="57"/>
    </row>
    <row r="745">
      <c r="D745" s="57"/>
      <c r="E745" s="57"/>
    </row>
    <row r="746">
      <c r="D746" s="57"/>
      <c r="E746" s="57"/>
    </row>
    <row r="747">
      <c r="D747" s="57"/>
      <c r="E747" s="57"/>
    </row>
    <row r="748">
      <c r="D748" s="57"/>
      <c r="E748" s="57"/>
    </row>
    <row r="749">
      <c r="D749" s="57"/>
      <c r="E749" s="57"/>
    </row>
    <row r="750">
      <c r="D750" s="57"/>
      <c r="E750" s="57"/>
    </row>
    <row r="751">
      <c r="D751" s="57"/>
      <c r="E751" s="57"/>
    </row>
    <row r="752">
      <c r="D752" s="57"/>
      <c r="E752" s="57"/>
    </row>
    <row r="753">
      <c r="D753" s="57"/>
      <c r="E753" s="57"/>
    </row>
    <row r="754">
      <c r="D754" s="57"/>
      <c r="E754" s="57"/>
    </row>
    <row r="755">
      <c r="D755" s="57"/>
      <c r="E755" s="57"/>
    </row>
    <row r="756">
      <c r="D756" s="57"/>
      <c r="E756" s="57"/>
    </row>
    <row r="757">
      <c r="D757" s="57"/>
      <c r="E757" s="57"/>
    </row>
    <row r="758">
      <c r="D758" s="57"/>
      <c r="E758" s="57"/>
    </row>
    <row r="759">
      <c r="D759" s="57"/>
      <c r="E759" s="57"/>
    </row>
    <row r="760">
      <c r="D760" s="57"/>
      <c r="E760" s="57"/>
    </row>
    <row r="761">
      <c r="D761" s="57"/>
      <c r="E761" s="57"/>
    </row>
    <row r="762">
      <c r="D762" s="57"/>
      <c r="E762" s="57"/>
    </row>
    <row r="763">
      <c r="D763" s="57"/>
      <c r="E763" s="57"/>
    </row>
    <row r="764">
      <c r="D764" s="57"/>
      <c r="E764" s="57"/>
    </row>
    <row r="765">
      <c r="D765" s="57"/>
      <c r="E765" s="57"/>
    </row>
    <row r="766">
      <c r="D766" s="57"/>
      <c r="E766" s="57"/>
    </row>
    <row r="767">
      <c r="D767" s="57"/>
      <c r="E767" s="57"/>
    </row>
    <row r="768">
      <c r="D768" s="57"/>
      <c r="E768" s="57"/>
    </row>
    <row r="769">
      <c r="D769" s="57"/>
      <c r="E769" s="57"/>
    </row>
    <row r="770">
      <c r="D770" s="57"/>
      <c r="E770" s="57"/>
    </row>
    <row r="771">
      <c r="D771" s="57"/>
      <c r="E771" s="57"/>
    </row>
    <row r="772">
      <c r="D772" s="57"/>
      <c r="E772" s="57"/>
    </row>
    <row r="773">
      <c r="D773" s="57"/>
      <c r="E773" s="57"/>
    </row>
    <row r="774">
      <c r="D774" s="57"/>
      <c r="E774" s="57"/>
    </row>
    <row r="775">
      <c r="D775" s="57"/>
      <c r="E775" s="57"/>
    </row>
    <row r="776">
      <c r="D776" s="57"/>
      <c r="E776" s="57"/>
    </row>
    <row r="777">
      <c r="D777" s="57"/>
      <c r="E777" s="57"/>
    </row>
    <row r="778">
      <c r="D778" s="57"/>
      <c r="E778" s="57"/>
    </row>
    <row r="779">
      <c r="D779" s="57"/>
      <c r="E779" s="57"/>
    </row>
    <row r="780">
      <c r="D780" s="57"/>
      <c r="E780" s="57"/>
    </row>
    <row r="781">
      <c r="D781" s="57"/>
      <c r="E781" s="57"/>
    </row>
    <row r="782">
      <c r="D782" s="57"/>
      <c r="E782" s="57"/>
    </row>
    <row r="783">
      <c r="D783" s="57"/>
      <c r="E783" s="57"/>
    </row>
    <row r="784">
      <c r="D784" s="57"/>
      <c r="E784" s="57"/>
    </row>
    <row r="785">
      <c r="D785" s="57"/>
      <c r="E785" s="57"/>
    </row>
    <row r="786">
      <c r="D786" s="57"/>
      <c r="E786" s="57"/>
    </row>
    <row r="787">
      <c r="D787" s="57"/>
      <c r="E787" s="57"/>
    </row>
    <row r="788">
      <c r="D788" s="57"/>
      <c r="E788" s="57"/>
    </row>
    <row r="789">
      <c r="D789" s="57"/>
      <c r="E789" s="57"/>
    </row>
    <row r="790">
      <c r="D790" s="57"/>
      <c r="E790" s="57"/>
    </row>
    <row r="791">
      <c r="D791" s="57"/>
      <c r="E791" s="57"/>
    </row>
    <row r="792">
      <c r="D792" s="57"/>
      <c r="E792" s="57"/>
    </row>
    <row r="793">
      <c r="D793" s="57"/>
      <c r="E793" s="57"/>
    </row>
    <row r="794">
      <c r="D794" s="57"/>
      <c r="E794" s="57"/>
    </row>
    <row r="795">
      <c r="D795" s="57"/>
      <c r="E795" s="57"/>
    </row>
    <row r="796">
      <c r="D796" s="57"/>
      <c r="E796" s="57"/>
    </row>
    <row r="797">
      <c r="D797" s="57"/>
      <c r="E797" s="57"/>
    </row>
    <row r="798">
      <c r="D798" s="57"/>
      <c r="E798" s="57"/>
    </row>
    <row r="799">
      <c r="D799" s="57"/>
      <c r="E799" s="57"/>
    </row>
    <row r="800">
      <c r="D800" s="57"/>
      <c r="E800" s="57"/>
    </row>
    <row r="801">
      <c r="D801" s="57"/>
      <c r="E801" s="57"/>
    </row>
    <row r="802">
      <c r="D802" s="57"/>
      <c r="E802" s="57"/>
    </row>
    <row r="803">
      <c r="D803" s="57"/>
      <c r="E803" s="57"/>
    </row>
    <row r="804">
      <c r="D804" s="57"/>
      <c r="E804" s="57"/>
    </row>
    <row r="805">
      <c r="D805" s="57"/>
      <c r="E805" s="57"/>
    </row>
    <row r="806">
      <c r="D806" s="57"/>
      <c r="E806" s="57"/>
    </row>
    <row r="807">
      <c r="D807" s="57"/>
      <c r="E807" s="57"/>
    </row>
    <row r="808">
      <c r="D808" s="57"/>
      <c r="E808" s="57"/>
    </row>
    <row r="809">
      <c r="D809" s="57"/>
      <c r="E809" s="57"/>
    </row>
    <row r="810">
      <c r="D810" s="57"/>
      <c r="E810" s="57"/>
    </row>
    <row r="811">
      <c r="D811" s="57"/>
      <c r="E811" s="57"/>
    </row>
    <row r="812">
      <c r="D812" s="57"/>
      <c r="E812" s="57"/>
    </row>
    <row r="813">
      <c r="D813" s="57"/>
      <c r="E813" s="57"/>
    </row>
    <row r="814">
      <c r="D814" s="57"/>
      <c r="E814" s="57"/>
    </row>
    <row r="815">
      <c r="D815" s="57"/>
      <c r="E815" s="57"/>
    </row>
    <row r="816">
      <c r="D816" s="57"/>
      <c r="E816" s="57"/>
    </row>
    <row r="817">
      <c r="D817" s="57"/>
      <c r="E817" s="57"/>
    </row>
    <row r="818">
      <c r="D818" s="57"/>
      <c r="E818" s="57"/>
    </row>
    <row r="819">
      <c r="D819" s="57"/>
      <c r="E819" s="57"/>
    </row>
    <row r="820">
      <c r="D820" s="57"/>
      <c r="E820" s="57"/>
    </row>
    <row r="821">
      <c r="D821" s="57"/>
      <c r="E821" s="57"/>
    </row>
    <row r="822">
      <c r="D822" s="57"/>
      <c r="E822" s="57"/>
    </row>
    <row r="823">
      <c r="D823" s="57"/>
      <c r="E823" s="57"/>
    </row>
    <row r="824">
      <c r="D824" s="57"/>
      <c r="E824" s="57"/>
    </row>
    <row r="825">
      <c r="D825" s="57"/>
      <c r="E825" s="57"/>
    </row>
    <row r="826">
      <c r="D826" s="57"/>
      <c r="E826" s="57"/>
    </row>
    <row r="827">
      <c r="D827" s="57"/>
      <c r="E827" s="57"/>
    </row>
    <row r="828">
      <c r="D828" s="57"/>
      <c r="E828" s="57"/>
    </row>
    <row r="829">
      <c r="D829" s="57"/>
      <c r="E829" s="57"/>
    </row>
    <row r="830">
      <c r="D830" s="57"/>
      <c r="E830" s="57"/>
    </row>
    <row r="831">
      <c r="D831" s="57"/>
      <c r="E831" s="57"/>
    </row>
    <row r="832">
      <c r="D832" s="57"/>
      <c r="E832" s="57"/>
    </row>
    <row r="833">
      <c r="D833" s="57"/>
      <c r="E833" s="57"/>
    </row>
    <row r="834">
      <c r="D834" s="57"/>
      <c r="E834" s="57"/>
    </row>
    <row r="835">
      <c r="D835" s="57"/>
      <c r="E835" s="57"/>
    </row>
    <row r="836">
      <c r="D836" s="57"/>
      <c r="E836" s="57"/>
    </row>
    <row r="837">
      <c r="D837" s="57"/>
      <c r="E837" s="57"/>
    </row>
    <row r="838">
      <c r="D838" s="57"/>
      <c r="E838" s="57"/>
    </row>
    <row r="839">
      <c r="D839" s="57"/>
      <c r="E839" s="57"/>
    </row>
    <row r="840">
      <c r="D840" s="57"/>
      <c r="E840" s="57"/>
    </row>
    <row r="841">
      <c r="D841" s="57"/>
      <c r="E841" s="57"/>
    </row>
    <row r="842">
      <c r="D842" s="57"/>
      <c r="E842" s="57"/>
    </row>
    <row r="843">
      <c r="D843" s="57"/>
      <c r="E843" s="57"/>
    </row>
    <row r="844">
      <c r="D844" s="57"/>
      <c r="E844" s="57"/>
    </row>
    <row r="845">
      <c r="D845" s="57"/>
      <c r="E845" s="57"/>
    </row>
    <row r="846">
      <c r="D846" s="57"/>
      <c r="E846" s="57"/>
    </row>
    <row r="847">
      <c r="D847" s="57"/>
      <c r="E847" s="57"/>
    </row>
    <row r="848">
      <c r="D848" s="57"/>
      <c r="E848" s="57"/>
    </row>
    <row r="849">
      <c r="D849" s="57"/>
      <c r="E849" s="57"/>
    </row>
    <row r="850">
      <c r="D850" s="57"/>
      <c r="E850" s="57"/>
    </row>
    <row r="851">
      <c r="D851" s="57"/>
      <c r="E851" s="57"/>
    </row>
    <row r="852">
      <c r="D852" s="57"/>
      <c r="E852" s="57"/>
    </row>
    <row r="853">
      <c r="D853" s="57"/>
      <c r="E853" s="57"/>
    </row>
    <row r="854">
      <c r="D854" s="57"/>
      <c r="E854" s="57"/>
    </row>
    <row r="855">
      <c r="D855" s="57"/>
      <c r="E855" s="57"/>
    </row>
    <row r="856">
      <c r="D856" s="57"/>
      <c r="E856" s="57"/>
    </row>
    <row r="857">
      <c r="D857" s="57"/>
      <c r="E857" s="57"/>
    </row>
    <row r="858">
      <c r="D858" s="57"/>
      <c r="E858" s="57"/>
    </row>
    <row r="859">
      <c r="D859" s="57"/>
      <c r="E859" s="57"/>
    </row>
    <row r="860">
      <c r="D860" s="57"/>
      <c r="E860" s="57"/>
    </row>
    <row r="861">
      <c r="D861" s="57"/>
      <c r="E861" s="57"/>
    </row>
    <row r="862">
      <c r="D862" s="57"/>
      <c r="E862" s="57"/>
    </row>
    <row r="863">
      <c r="D863" s="57"/>
      <c r="E863" s="57"/>
    </row>
    <row r="864">
      <c r="D864" s="57"/>
      <c r="E864" s="57"/>
    </row>
    <row r="865">
      <c r="D865" s="57"/>
      <c r="E865" s="57"/>
    </row>
    <row r="866">
      <c r="D866" s="57"/>
      <c r="E866" s="57"/>
    </row>
    <row r="867">
      <c r="D867" s="57"/>
      <c r="E867" s="57"/>
    </row>
    <row r="868">
      <c r="D868" s="57"/>
      <c r="E868" s="57"/>
    </row>
    <row r="869">
      <c r="D869" s="57"/>
      <c r="E869" s="57"/>
    </row>
    <row r="870">
      <c r="D870" s="57"/>
      <c r="E870" s="57"/>
    </row>
    <row r="871">
      <c r="D871" s="57"/>
      <c r="E871" s="57"/>
    </row>
    <row r="872">
      <c r="D872" s="57"/>
      <c r="E872" s="57"/>
    </row>
    <row r="873">
      <c r="D873" s="57"/>
      <c r="E873" s="57"/>
    </row>
    <row r="874">
      <c r="D874" s="57"/>
      <c r="E874" s="57"/>
    </row>
    <row r="875">
      <c r="D875" s="57"/>
      <c r="E875" s="57"/>
    </row>
    <row r="876">
      <c r="D876" s="57"/>
      <c r="E876" s="57"/>
    </row>
    <row r="877">
      <c r="D877" s="57"/>
      <c r="E877" s="57"/>
    </row>
    <row r="878">
      <c r="D878" s="57"/>
      <c r="E878" s="57"/>
    </row>
    <row r="879">
      <c r="D879" s="57"/>
      <c r="E879" s="57"/>
    </row>
    <row r="880">
      <c r="D880" s="57"/>
      <c r="E880" s="57"/>
    </row>
    <row r="881">
      <c r="D881" s="57"/>
      <c r="E881" s="57"/>
    </row>
    <row r="882">
      <c r="D882" s="57"/>
      <c r="E882" s="57"/>
    </row>
    <row r="883">
      <c r="D883" s="57"/>
      <c r="E883" s="57"/>
    </row>
    <row r="884">
      <c r="D884" s="57"/>
      <c r="E884" s="57"/>
    </row>
    <row r="885">
      <c r="D885" s="57"/>
      <c r="E885" s="57"/>
    </row>
    <row r="886">
      <c r="D886" s="57"/>
      <c r="E886" s="57"/>
    </row>
    <row r="887">
      <c r="D887" s="57"/>
      <c r="E887" s="57"/>
    </row>
    <row r="888">
      <c r="D888" s="57"/>
      <c r="E888" s="57"/>
    </row>
    <row r="889">
      <c r="D889" s="57"/>
      <c r="E889" s="57"/>
    </row>
    <row r="890">
      <c r="D890" s="57"/>
      <c r="E890" s="57"/>
    </row>
    <row r="891">
      <c r="D891" s="57"/>
      <c r="E891" s="57"/>
    </row>
    <row r="892">
      <c r="D892" s="57"/>
      <c r="E892" s="57"/>
    </row>
    <row r="893">
      <c r="D893" s="57"/>
      <c r="E893" s="57"/>
    </row>
    <row r="894">
      <c r="D894" s="57"/>
      <c r="E894" s="57"/>
    </row>
    <row r="895">
      <c r="D895" s="57"/>
      <c r="E895" s="57"/>
    </row>
    <row r="896">
      <c r="D896" s="57"/>
      <c r="E896" s="57"/>
    </row>
    <row r="897">
      <c r="D897" s="57"/>
      <c r="E897" s="57"/>
    </row>
    <row r="898">
      <c r="D898" s="57"/>
      <c r="E898" s="57"/>
    </row>
    <row r="899">
      <c r="D899" s="57"/>
      <c r="E899" s="57"/>
    </row>
    <row r="900">
      <c r="D900" s="57"/>
      <c r="E900" s="57"/>
    </row>
    <row r="901">
      <c r="D901" s="57"/>
      <c r="E901" s="57"/>
    </row>
    <row r="902">
      <c r="D902" s="57"/>
      <c r="E902" s="57"/>
    </row>
    <row r="903">
      <c r="D903" s="57"/>
      <c r="E903" s="57"/>
    </row>
    <row r="904">
      <c r="D904" s="57"/>
      <c r="E904" s="57"/>
    </row>
    <row r="905">
      <c r="D905" s="57"/>
      <c r="E905" s="57"/>
    </row>
    <row r="906">
      <c r="D906" s="57"/>
      <c r="E906" s="57"/>
    </row>
    <row r="907">
      <c r="D907" s="57"/>
      <c r="E907" s="57"/>
    </row>
    <row r="908">
      <c r="D908" s="57"/>
      <c r="E908" s="57"/>
    </row>
    <row r="909">
      <c r="D909" s="57"/>
      <c r="E909" s="57"/>
    </row>
    <row r="910">
      <c r="D910" s="57"/>
      <c r="E910" s="57"/>
    </row>
    <row r="911">
      <c r="D911" s="57"/>
      <c r="E911" s="57"/>
    </row>
    <row r="912">
      <c r="D912" s="57"/>
      <c r="E912" s="57"/>
    </row>
    <row r="913">
      <c r="D913" s="57"/>
      <c r="E913" s="57"/>
    </row>
    <row r="914">
      <c r="D914" s="57"/>
      <c r="E914" s="57"/>
    </row>
    <row r="915">
      <c r="D915" s="57"/>
      <c r="E915" s="57"/>
    </row>
    <row r="916">
      <c r="D916" s="57"/>
      <c r="E916" s="57"/>
    </row>
    <row r="917">
      <c r="D917" s="57"/>
      <c r="E917" s="57"/>
    </row>
    <row r="918">
      <c r="D918" s="57"/>
      <c r="E918" s="57"/>
    </row>
    <row r="919">
      <c r="D919" s="57"/>
      <c r="E919" s="57"/>
    </row>
    <row r="920">
      <c r="D920" s="57"/>
      <c r="E920" s="57"/>
    </row>
    <row r="921">
      <c r="D921" s="57"/>
      <c r="E921" s="57"/>
    </row>
    <row r="922">
      <c r="D922" s="57"/>
      <c r="E922" s="57"/>
    </row>
    <row r="923">
      <c r="D923" s="57"/>
      <c r="E923" s="57"/>
    </row>
    <row r="924">
      <c r="D924" s="57"/>
      <c r="E924" s="57"/>
    </row>
    <row r="925">
      <c r="D925" s="57"/>
      <c r="E925" s="57"/>
    </row>
    <row r="926">
      <c r="D926" s="57"/>
      <c r="E926" s="57"/>
    </row>
    <row r="927">
      <c r="D927" s="57"/>
      <c r="E927" s="57"/>
    </row>
    <row r="928">
      <c r="D928" s="57"/>
      <c r="E928" s="57"/>
    </row>
    <row r="929">
      <c r="D929" s="57"/>
      <c r="E929" s="57"/>
    </row>
    <row r="930">
      <c r="D930" s="57"/>
      <c r="E930" s="57"/>
    </row>
    <row r="931">
      <c r="D931" s="57"/>
      <c r="E931" s="57"/>
    </row>
    <row r="932">
      <c r="D932" s="57"/>
      <c r="E932" s="57"/>
    </row>
    <row r="933">
      <c r="D933" s="57"/>
      <c r="E933" s="57"/>
    </row>
    <row r="934">
      <c r="D934" s="57"/>
      <c r="E934" s="57"/>
    </row>
    <row r="935">
      <c r="D935" s="57"/>
      <c r="E935" s="57"/>
    </row>
    <row r="936">
      <c r="D936" s="57"/>
      <c r="E936" s="57"/>
    </row>
    <row r="937">
      <c r="D937" s="57"/>
      <c r="E937" s="57"/>
    </row>
    <row r="938">
      <c r="D938" s="57"/>
      <c r="E938" s="57"/>
    </row>
    <row r="939">
      <c r="D939" s="57"/>
      <c r="E939" s="57"/>
    </row>
    <row r="940">
      <c r="D940" s="57"/>
      <c r="E940" s="57"/>
    </row>
    <row r="941">
      <c r="D941" s="57"/>
      <c r="E941" s="57"/>
    </row>
    <row r="942">
      <c r="D942" s="57"/>
      <c r="E942" s="57"/>
    </row>
    <row r="943">
      <c r="D943" s="57"/>
      <c r="E943" s="57"/>
    </row>
    <row r="944">
      <c r="D944" s="57"/>
      <c r="E944" s="57"/>
    </row>
    <row r="945">
      <c r="D945" s="57"/>
      <c r="E945" s="57"/>
    </row>
    <row r="946">
      <c r="D946" s="57"/>
      <c r="E946" s="57"/>
    </row>
    <row r="947">
      <c r="D947" s="57"/>
      <c r="E947" s="57"/>
    </row>
    <row r="948">
      <c r="D948" s="57"/>
      <c r="E948" s="57"/>
    </row>
    <row r="949">
      <c r="D949" s="57"/>
      <c r="E949" s="57"/>
    </row>
    <row r="950">
      <c r="D950" s="57"/>
      <c r="E950" s="57"/>
    </row>
    <row r="951">
      <c r="D951" s="57"/>
      <c r="E951" s="57"/>
    </row>
    <row r="952">
      <c r="D952" s="57"/>
      <c r="E952" s="57"/>
    </row>
    <row r="953">
      <c r="D953" s="57"/>
      <c r="E953" s="57"/>
    </row>
    <row r="954">
      <c r="D954" s="57"/>
      <c r="E954" s="57"/>
    </row>
    <row r="955">
      <c r="D955" s="57"/>
      <c r="E955" s="57"/>
    </row>
    <row r="956">
      <c r="D956" s="57"/>
      <c r="E956" s="57"/>
    </row>
    <row r="957">
      <c r="D957" s="57"/>
      <c r="E957" s="57"/>
    </row>
    <row r="958">
      <c r="D958" s="57"/>
      <c r="E958" s="57"/>
    </row>
    <row r="959">
      <c r="D959" s="57"/>
      <c r="E959" s="57"/>
    </row>
    <row r="960">
      <c r="D960" s="57"/>
      <c r="E960" s="57"/>
    </row>
    <row r="961">
      <c r="D961" s="57"/>
      <c r="E961" s="57"/>
    </row>
    <row r="962">
      <c r="D962" s="57"/>
      <c r="E962" s="57"/>
    </row>
    <row r="963">
      <c r="D963" s="57"/>
      <c r="E963" s="57"/>
    </row>
    <row r="964">
      <c r="D964" s="57"/>
      <c r="E964" s="57"/>
    </row>
    <row r="965">
      <c r="D965" s="57"/>
      <c r="E965" s="57"/>
    </row>
    <row r="966">
      <c r="D966" s="57"/>
      <c r="E966" s="57"/>
    </row>
    <row r="967">
      <c r="D967" s="57"/>
      <c r="E967" s="57"/>
    </row>
    <row r="968">
      <c r="D968" s="57"/>
      <c r="E968" s="57"/>
    </row>
    <row r="969">
      <c r="D969" s="57"/>
      <c r="E969" s="57"/>
    </row>
    <row r="970">
      <c r="D970" s="57"/>
      <c r="E970" s="57"/>
    </row>
    <row r="971">
      <c r="D971" s="57"/>
      <c r="E971" s="57"/>
    </row>
    <row r="972">
      <c r="D972" s="57"/>
      <c r="E972" s="57"/>
    </row>
    <row r="973">
      <c r="D973" s="57"/>
      <c r="E973" s="57"/>
    </row>
    <row r="974">
      <c r="D974" s="57"/>
      <c r="E974" s="57"/>
    </row>
    <row r="975">
      <c r="D975" s="57"/>
      <c r="E975" s="57"/>
    </row>
    <row r="976">
      <c r="D976" s="57"/>
      <c r="E976" s="57"/>
    </row>
    <row r="977">
      <c r="D977" s="57"/>
      <c r="E977" s="57"/>
    </row>
    <row r="978">
      <c r="D978" s="57"/>
      <c r="E978" s="57"/>
    </row>
    <row r="979">
      <c r="D979" s="57"/>
      <c r="E979" s="57"/>
    </row>
    <row r="980">
      <c r="D980" s="57"/>
      <c r="E980" s="57"/>
    </row>
    <row r="981">
      <c r="D981" s="57"/>
      <c r="E981" s="57"/>
    </row>
    <row r="982">
      <c r="D982" s="57"/>
      <c r="E982" s="57"/>
    </row>
    <row r="983">
      <c r="D983" s="57"/>
      <c r="E983" s="57"/>
    </row>
    <row r="984">
      <c r="D984" s="57"/>
      <c r="E984" s="57"/>
    </row>
    <row r="985">
      <c r="D985" s="57"/>
      <c r="E985" s="57"/>
    </row>
    <row r="986">
      <c r="D986" s="57"/>
      <c r="E986" s="57"/>
    </row>
    <row r="987">
      <c r="D987" s="57"/>
      <c r="E987" s="57"/>
    </row>
    <row r="988">
      <c r="D988" s="57"/>
      <c r="E988" s="57"/>
    </row>
    <row r="989">
      <c r="D989" s="57"/>
      <c r="E989" s="57"/>
    </row>
    <row r="990">
      <c r="D990" s="57"/>
      <c r="E990" s="57"/>
    </row>
    <row r="991">
      <c r="D991" s="57"/>
      <c r="E991" s="57"/>
    </row>
    <row r="992">
      <c r="D992" s="57"/>
      <c r="E992" s="57"/>
    </row>
    <row r="993">
      <c r="D993" s="57"/>
      <c r="E993" s="57"/>
    </row>
    <row r="994">
      <c r="D994" s="57"/>
      <c r="E994" s="57"/>
    </row>
    <row r="995">
      <c r="D995" s="57"/>
      <c r="E995" s="57"/>
    </row>
    <row r="996">
      <c r="D996" s="57"/>
      <c r="E996" s="57"/>
    </row>
    <row r="997">
      <c r="D997" s="57"/>
      <c r="E997" s="5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  <col customWidth="1" min="2" max="2" width="32.63"/>
    <col customWidth="1" min="3" max="3" width="62.5"/>
    <col customWidth="1" min="4" max="4" width="17.63"/>
    <col customWidth="1" min="5" max="5" width="19.88"/>
    <col hidden="1" min="15" max="20" width="12.63"/>
  </cols>
  <sheetData>
    <row r="1">
      <c r="A1" s="111" t="s">
        <v>29</v>
      </c>
      <c r="B1" s="111" t="s">
        <v>87</v>
      </c>
      <c r="C1" s="111" t="s">
        <v>88</v>
      </c>
      <c r="D1" s="61" t="s">
        <v>89</v>
      </c>
      <c r="E1" s="61" t="s">
        <v>90</v>
      </c>
      <c r="F1" s="60" t="s">
        <v>30</v>
      </c>
      <c r="G1" s="60" t="s">
        <v>91</v>
      </c>
      <c r="H1" s="111" t="s">
        <v>92</v>
      </c>
      <c r="I1" s="60" t="s">
        <v>93</v>
      </c>
      <c r="J1" s="60" t="s">
        <v>39</v>
      </c>
      <c r="K1" s="111" t="s">
        <v>40</v>
      </c>
      <c r="L1" s="111" t="s">
        <v>41</v>
      </c>
      <c r="M1" s="111" t="s">
        <v>42</v>
      </c>
      <c r="N1" s="111" t="s">
        <v>43</v>
      </c>
      <c r="O1" s="111" t="s">
        <v>485</v>
      </c>
      <c r="P1" s="111" t="s">
        <v>486</v>
      </c>
      <c r="Q1" s="111" t="s">
        <v>487</v>
      </c>
      <c r="R1" s="111" t="s">
        <v>488</v>
      </c>
      <c r="S1" s="111" t="s">
        <v>489</v>
      </c>
      <c r="T1" s="111" t="s">
        <v>45</v>
      </c>
      <c r="U1" s="7"/>
      <c r="V1" s="7"/>
    </row>
    <row r="2">
      <c r="A2" s="45">
        <v>45884.24334490741</v>
      </c>
      <c r="B2" s="7" t="s">
        <v>1702</v>
      </c>
      <c r="C2" s="7" t="s">
        <v>1703</v>
      </c>
      <c r="D2" s="74">
        <v>1.0</v>
      </c>
      <c r="E2" s="46"/>
      <c r="F2" s="47">
        <v>36.65</v>
      </c>
      <c r="G2" s="47">
        <v>0.0</v>
      </c>
      <c r="H2" s="7"/>
      <c r="I2" s="47">
        <v>1.36</v>
      </c>
      <c r="J2" s="8"/>
      <c r="K2" s="7"/>
      <c r="L2" s="7"/>
      <c r="M2" s="7"/>
      <c r="N2" s="7"/>
      <c r="O2" s="7" t="s">
        <v>490</v>
      </c>
      <c r="P2" s="7" t="s">
        <v>1704</v>
      </c>
      <c r="Q2" s="7" t="s">
        <v>1705</v>
      </c>
      <c r="R2" s="7" t="s">
        <v>1706</v>
      </c>
      <c r="S2" s="7" t="s">
        <v>493</v>
      </c>
      <c r="T2" s="65">
        <v>2941.0</v>
      </c>
      <c r="U2" s="7"/>
      <c r="V2" s="7"/>
    </row>
    <row r="3">
      <c r="A3" s="45">
        <v>45884.16572916666</v>
      </c>
      <c r="B3" s="7" t="s">
        <v>1707</v>
      </c>
      <c r="C3" s="7" t="s">
        <v>1703</v>
      </c>
      <c r="D3" s="74">
        <v>1.0</v>
      </c>
      <c r="E3" s="46"/>
      <c r="F3" s="47">
        <v>24.99</v>
      </c>
      <c r="G3" s="47">
        <v>0.0</v>
      </c>
      <c r="H3" s="7"/>
      <c r="I3" s="47">
        <v>1.02</v>
      </c>
      <c r="J3" s="8"/>
      <c r="K3" s="7"/>
      <c r="L3" s="7"/>
      <c r="M3" s="7"/>
      <c r="N3" s="7"/>
      <c r="O3" s="7" t="s">
        <v>490</v>
      </c>
      <c r="P3" s="7" t="s">
        <v>1708</v>
      </c>
      <c r="Q3" s="7"/>
      <c r="R3" s="7" t="s">
        <v>1709</v>
      </c>
      <c r="S3" s="7" t="s">
        <v>493</v>
      </c>
      <c r="T3" s="65">
        <v>2939.0</v>
      </c>
      <c r="U3" s="7"/>
      <c r="V3" s="7"/>
    </row>
    <row r="4">
      <c r="A4" s="45">
        <v>45884.15658564815</v>
      </c>
      <c r="B4" s="7" t="s">
        <v>1494</v>
      </c>
      <c r="C4" s="7" t="s">
        <v>1703</v>
      </c>
      <c r="D4" s="74">
        <v>1.0</v>
      </c>
      <c r="E4" s="46"/>
      <c r="F4" s="47">
        <v>24.99</v>
      </c>
      <c r="G4" s="47">
        <v>0.0</v>
      </c>
      <c r="H4" s="7"/>
      <c r="I4" s="47">
        <v>1.02</v>
      </c>
      <c r="J4" s="8"/>
      <c r="K4" s="7"/>
      <c r="L4" s="7"/>
      <c r="M4" s="7"/>
      <c r="N4" s="7"/>
      <c r="O4" s="7" t="s">
        <v>490</v>
      </c>
      <c r="P4" s="7" t="s">
        <v>1710</v>
      </c>
      <c r="Q4" s="7"/>
      <c r="R4" s="7" t="s">
        <v>1711</v>
      </c>
      <c r="S4" s="7" t="s">
        <v>493</v>
      </c>
      <c r="T4" s="65">
        <v>2938.0</v>
      </c>
      <c r="U4" s="7"/>
      <c r="V4" s="7"/>
    </row>
    <row r="5">
      <c r="A5" s="45">
        <v>45884.12980324074</v>
      </c>
      <c r="B5" s="7" t="s">
        <v>282</v>
      </c>
      <c r="C5" s="7" t="s">
        <v>1703</v>
      </c>
      <c r="D5" s="74">
        <v>1.0</v>
      </c>
      <c r="E5" s="46"/>
      <c r="F5" s="47">
        <v>34.46</v>
      </c>
      <c r="G5" s="47">
        <v>0.0</v>
      </c>
      <c r="H5" s="7"/>
      <c r="I5" s="47">
        <v>1.3</v>
      </c>
      <c r="J5" s="8"/>
      <c r="K5" s="7"/>
      <c r="L5" s="7"/>
      <c r="M5" s="7"/>
      <c r="N5" s="7"/>
      <c r="O5" s="7" t="s">
        <v>490</v>
      </c>
      <c r="P5" s="7" t="s">
        <v>1712</v>
      </c>
      <c r="Q5" s="7"/>
      <c r="R5" s="7" t="s">
        <v>1713</v>
      </c>
      <c r="S5" s="7" t="s">
        <v>493</v>
      </c>
      <c r="T5" s="65">
        <v>2937.0</v>
      </c>
      <c r="U5" s="7"/>
      <c r="V5" s="7"/>
    </row>
    <row r="6">
      <c r="A6" s="45">
        <v>45884.012349537035</v>
      </c>
      <c r="B6" s="7" t="s">
        <v>223</v>
      </c>
      <c r="C6" s="7" t="s">
        <v>1703</v>
      </c>
      <c r="D6" s="74">
        <v>1.0</v>
      </c>
      <c r="E6" s="46"/>
      <c r="F6" s="47">
        <v>24.99</v>
      </c>
      <c r="G6" s="47">
        <v>0.0</v>
      </c>
      <c r="H6" s="7"/>
      <c r="I6" s="47">
        <v>1.02</v>
      </c>
      <c r="J6" s="8"/>
      <c r="K6" s="7"/>
      <c r="L6" s="7"/>
      <c r="M6" s="7"/>
      <c r="N6" s="7"/>
      <c r="O6" s="7" t="s">
        <v>490</v>
      </c>
      <c r="P6" s="7" t="s">
        <v>940</v>
      </c>
      <c r="Q6" s="7"/>
      <c r="R6" s="7" t="s">
        <v>941</v>
      </c>
      <c r="S6" s="7" t="s">
        <v>493</v>
      </c>
      <c r="T6" s="65">
        <v>2936.0</v>
      </c>
      <c r="U6" s="7"/>
      <c r="V6" s="7"/>
    </row>
    <row r="7">
      <c r="A7" s="45">
        <v>45883.90195601852</v>
      </c>
      <c r="B7" s="7" t="s">
        <v>117</v>
      </c>
      <c r="C7" s="7" t="s">
        <v>1703</v>
      </c>
      <c r="D7" s="74">
        <v>1.0</v>
      </c>
      <c r="E7" s="46"/>
      <c r="F7" s="47">
        <v>34.46</v>
      </c>
      <c r="G7" s="47">
        <v>0.0</v>
      </c>
      <c r="H7" s="7"/>
      <c r="I7" s="47">
        <v>1.3</v>
      </c>
      <c r="J7" s="8"/>
      <c r="K7" s="7"/>
      <c r="L7" s="7"/>
      <c r="M7" s="7"/>
      <c r="N7" s="7"/>
      <c r="O7" s="7" t="s">
        <v>490</v>
      </c>
      <c r="P7" s="7" t="s">
        <v>1714</v>
      </c>
      <c r="Q7" s="7" t="s">
        <v>1715</v>
      </c>
      <c r="R7" s="7" t="s">
        <v>1716</v>
      </c>
      <c r="S7" s="7" t="s">
        <v>493</v>
      </c>
      <c r="T7" s="65">
        <v>2935.0</v>
      </c>
      <c r="U7" s="7"/>
      <c r="V7" s="7"/>
    </row>
    <row r="8">
      <c r="A8" s="45">
        <v>45883.893425925926</v>
      </c>
      <c r="B8" s="7" t="s">
        <v>64</v>
      </c>
      <c r="C8" s="7" t="s">
        <v>1703</v>
      </c>
      <c r="D8" s="74">
        <v>1.0</v>
      </c>
      <c r="E8" s="46"/>
      <c r="F8" s="47">
        <v>24.99</v>
      </c>
      <c r="G8" s="47">
        <v>0.0</v>
      </c>
      <c r="H8" s="7"/>
      <c r="I8" s="47">
        <v>16.02</v>
      </c>
      <c r="J8" s="47">
        <v>24.99</v>
      </c>
      <c r="K8" s="45">
        <v>45973.12221064815</v>
      </c>
      <c r="L8" s="45">
        <v>45988.99998842592</v>
      </c>
      <c r="M8" s="7" t="s">
        <v>52</v>
      </c>
      <c r="N8" s="7" t="s">
        <v>62</v>
      </c>
      <c r="O8" s="7" t="s">
        <v>490</v>
      </c>
      <c r="P8" s="7" t="s">
        <v>990</v>
      </c>
      <c r="Q8" s="7" t="s">
        <v>991</v>
      </c>
      <c r="R8" s="7" t="s">
        <v>992</v>
      </c>
      <c r="S8" s="7" t="s">
        <v>493</v>
      </c>
      <c r="T8" s="65">
        <v>2934.0</v>
      </c>
      <c r="U8" s="7"/>
      <c r="V8" s="7"/>
    </row>
    <row r="9">
      <c r="A9" s="45">
        <v>45883.66952546296</v>
      </c>
      <c r="B9" s="7" t="s">
        <v>621</v>
      </c>
      <c r="C9" s="7" t="s">
        <v>1703</v>
      </c>
      <c r="D9" s="74">
        <v>1.0</v>
      </c>
      <c r="E9" s="46"/>
      <c r="F9" s="47">
        <v>24.99</v>
      </c>
      <c r="G9" s="47">
        <v>0.0</v>
      </c>
      <c r="H9" s="7"/>
      <c r="I9" s="47">
        <v>1.4</v>
      </c>
      <c r="J9" s="8"/>
      <c r="K9" s="7"/>
      <c r="L9" s="7"/>
      <c r="M9" s="7"/>
      <c r="N9" s="7"/>
      <c r="O9" s="7" t="s">
        <v>490</v>
      </c>
      <c r="P9" s="7"/>
      <c r="Q9" s="7"/>
      <c r="R9" s="7"/>
      <c r="S9" s="7" t="s">
        <v>622</v>
      </c>
      <c r="T9" s="65">
        <v>2929.0</v>
      </c>
      <c r="U9" s="7"/>
      <c r="V9" s="7"/>
    </row>
    <row r="10">
      <c r="A10" s="45">
        <v>45883.57524305556</v>
      </c>
      <c r="B10" s="7" t="s">
        <v>749</v>
      </c>
      <c r="C10" s="7" t="s">
        <v>1703</v>
      </c>
      <c r="D10" s="74">
        <v>1.0</v>
      </c>
      <c r="E10" s="46"/>
      <c r="F10" s="47">
        <v>26.49</v>
      </c>
      <c r="G10" s="47">
        <v>0.0</v>
      </c>
      <c r="H10" s="7"/>
      <c r="I10" s="47">
        <v>1.07</v>
      </c>
      <c r="J10" s="8"/>
      <c r="K10" s="7"/>
      <c r="L10" s="7"/>
      <c r="M10" s="7"/>
      <c r="N10" s="7"/>
      <c r="O10" s="7" t="s">
        <v>490</v>
      </c>
      <c r="P10" s="7" t="s">
        <v>750</v>
      </c>
      <c r="Q10" s="7"/>
      <c r="R10" s="7" t="s">
        <v>751</v>
      </c>
      <c r="S10" s="7" t="s">
        <v>493</v>
      </c>
      <c r="T10" s="65">
        <v>2928.0</v>
      </c>
      <c r="U10" s="7"/>
      <c r="V10" s="7"/>
    </row>
    <row r="11">
      <c r="A11" s="45">
        <v>45883.55820601852</v>
      </c>
      <c r="B11" s="7" t="s">
        <v>305</v>
      </c>
      <c r="C11" s="7" t="s">
        <v>1703</v>
      </c>
      <c r="D11" s="74">
        <v>1.0</v>
      </c>
      <c r="E11" s="46"/>
      <c r="F11" s="47">
        <v>24.99</v>
      </c>
      <c r="G11" s="47">
        <v>0.0</v>
      </c>
      <c r="H11" s="7"/>
      <c r="I11" s="47">
        <v>1.4</v>
      </c>
      <c r="J11" s="8"/>
      <c r="K11" s="7"/>
      <c r="L11" s="7"/>
      <c r="M11" s="7"/>
      <c r="N11" s="7"/>
      <c r="O11" s="7" t="s">
        <v>490</v>
      </c>
      <c r="P11" s="7" t="s">
        <v>1505</v>
      </c>
      <c r="Q11" s="7" t="s">
        <v>1717</v>
      </c>
      <c r="R11" s="7" t="s">
        <v>1506</v>
      </c>
      <c r="S11" s="7" t="s">
        <v>1012</v>
      </c>
      <c r="T11" s="65">
        <v>2926.0</v>
      </c>
      <c r="U11" s="7"/>
      <c r="V11" s="7"/>
    </row>
    <row r="12">
      <c r="A12" s="45">
        <v>45883.553622685184</v>
      </c>
      <c r="B12" s="7" t="s">
        <v>1718</v>
      </c>
      <c r="C12" s="7" t="s">
        <v>1703</v>
      </c>
      <c r="D12" s="74">
        <v>1.0</v>
      </c>
      <c r="E12" s="46"/>
      <c r="F12" s="47">
        <v>34.46</v>
      </c>
      <c r="G12" s="47">
        <v>0.0</v>
      </c>
      <c r="H12" s="7"/>
      <c r="I12" s="47">
        <v>1.3</v>
      </c>
      <c r="J12" s="8"/>
      <c r="K12" s="7"/>
      <c r="L12" s="7"/>
      <c r="M12" s="7"/>
      <c r="N12" s="7"/>
      <c r="O12" s="7" t="s">
        <v>490</v>
      </c>
      <c r="P12" s="7" t="s">
        <v>1719</v>
      </c>
      <c r="Q12" s="7"/>
      <c r="R12" s="7" t="s">
        <v>1720</v>
      </c>
      <c r="S12" s="7" t="s">
        <v>493</v>
      </c>
      <c r="T12" s="65">
        <v>2927.0</v>
      </c>
      <c r="U12" s="7"/>
      <c r="V12" s="7"/>
    </row>
    <row r="13">
      <c r="A13" s="45">
        <v>45883.50434027778</v>
      </c>
      <c r="B13" s="7" t="s">
        <v>1721</v>
      </c>
      <c r="C13" s="7" t="s">
        <v>1703</v>
      </c>
      <c r="D13" s="74">
        <v>1.0</v>
      </c>
      <c r="E13" s="46"/>
      <c r="F13" s="47">
        <v>54.09</v>
      </c>
      <c r="G13" s="47">
        <v>0.0</v>
      </c>
      <c r="H13" s="7"/>
      <c r="I13" s="47">
        <v>2.68</v>
      </c>
      <c r="J13" s="8"/>
      <c r="K13" s="7"/>
      <c r="L13" s="7"/>
      <c r="M13" s="7"/>
      <c r="N13" s="7"/>
      <c r="O13" s="7" t="s">
        <v>490</v>
      </c>
      <c r="P13" s="7" t="s">
        <v>1722</v>
      </c>
      <c r="Q13" s="7"/>
      <c r="R13" s="7" t="s">
        <v>1723</v>
      </c>
      <c r="S13" s="7" t="s">
        <v>545</v>
      </c>
      <c r="T13" s="65">
        <v>2924.0</v>
      </c>
      <c r="U13" s="7"/>
      <c r="V13" s="7"/>
    </row>
    <row r="14">
      <c r="A14" s="45">
        <v>45883.42652777778</v>
      </c>
      <c r="B14" s="7" t="s">
        <v>1724</v>
      </c>
      <c r="C14" s="7" t="s">
        <v>1703</v>
      </c>
      <c r="D14" s="74">
        <v>1.0</v>
      </c>
      <c r="E14" s="46"/>
      <c r="F14" s="47">
        <v>68.8</v>
      </c>
      <c r="G14" s="47">
        <v>0.0</v>
      </c>
      <c r="H14" s="7"/>
      <c r="I14" s="47">
        <v>3.33</v>
      </c>
      <c r="J14" s="8"/>
      <c r="K14" s="7"/>
      <c r="L14" s="7"/>
      <c r="M14" s="7"/>
      <c r="N14" s="7"/>
      <c r="O14" s="7" t="s">
        <v>490</v>
      </c>
      <c r="P14" s="7" t="s">
        <v>1725</v>
      </c>
      <c r="Q14" s="7"/>
      <c r="R14" s="7" t="s">
        <v>1726</v>
      </c>
      <c r="S14" s="7" t="s">
        <v>51</v>
      </c>
      <c r="T14" s="65">
        <v>2922.0</v>
      </c>
      <c r="U14" s="7"/>
      <c r="V14" s="7"/>
    </row>
    <row r="15">
      <c r="A15" s="45">
        <v>45883.40856481482</v>
      </c>
      <c r="B15" s="7" t="s">
        <v>1727</v>
      </c>
      <c r="C15" s="7" t="s">
        <v>1703</v>
      </c>
      <c r="D15" s="74">
        <v>1.0</v>
      </c>
      <c r="E15" s="46"/>
      <c r="F15" s="47">
        <v>34.46</v>
      </c>
      <c r="G15" s="47">
        <v>0.0</v>
      </c>
      <c r="H15" s="7"/>
      <c r="I15" s="47">
        <v>1.3</v>
      </c>
      <c r="J15" s="8"/>
      <c r="K15" s="7"/>
      <c r="L15" s="7"/>
      <c r="M15" s="7"/>
      <c r="N15" s="7"/>
      <c r="O15" s="7" t="s">
        <v>490</v>
      </c>
      <c r="P15" s="7" t="s">
        <v>1728</v>
      </c>
      <c r="Q15" s="7"/>
      <c r="R15" s="7" t="s">
        <v>1729</v>
      </c>
      <c r="S15" s="7" t="s">
        <v>493</v>
      </c>
      <c r="T15" s="65">
        <v>2921.0</v>
      </c>
      <c r="U15" s="7"/>
      <c r="V15" s="7"/>
    </row>
    <row r="16">
      <c r="A16" s="45">
        <v>45883.201840277776</v>
      </c>
      <c r="B16" s="7" t="s">
        <v>415</v>
      </c>
      <c r="C16" s="7" t="s">
        <v>1703</v>
      </c>
      <c r="D16" s="74">
        <v>1.0</v>
      </c>
      <c r="E16" s="46"/>
      <c r="F16" s="47">
        <v>38.68</v>
      </c>
      <c r="G16" s="47">
        <v>0.0</v>
      </c>
      <c r="H16" s="7"/>
      <c r="I16" s="47">
        <v>1.42</v>
      </c>
      <c r="J16" s="8"/>
      <c r="K16" s="7"/>
      <c r="L16" s="7"/>
      <c r="M16" s="7"/>
      <c r="N16" s="7"/>
      <c r="O16" s="7" t="s">
        <v>490</v>
      </c>
      <c r="P16" s="7" t="s">
        <v>1060</v>
      </c>
      <c r="Q16" s="7"/>
      <c r="R16" s="7" t="s">
        <v>1061</v>
      </c>
      <c r="S16" s="7" t="s">
        <v>493</v>
      </c>
      <c r="T16" s="65">
        <v>2918.0</v>
      </c>
      <c r="U16" s="7"/>
      <c r="V16" s="7"/>
    </row>
    <row r="17">
      <c r="A17" s="45">
        <v>45882.79782407408</v>
      </c>
      <c r="B17" s="7" t="s">
        <v>1730</v>
      </c>
      <c r="C17" s="7" t="s">
        <v>1703</v>
      </c>
      <c r="D17" s="74">
        <v>1.0</v>
      </c>
      <c r="E17" s="46"/>
      <c r="F17" s="47">
        <v>38.17</v>
      </c>
      <c r="G17" s="47">
        <v>0.0</v>
      </c>
      <c r="H17" s="7"/>
      <c r="I17" s="47">
        <v>1.41</v>
      </c>
      <c r="J17" s="8"/>
      <c r="K17" s="7"/>
      <c r="L17" s="7"/>
      <c r="M17" s="7"/>
      <c r="N17" s="7"/>
      <c r="O17" s="7" t="s">
        <v>490</v>
      </c>
      <c r="P17" s="7" t="s">
        <v>1731</v>
      </c>
      <c r="Q17" s="7"/>
      <c r="R17" s="7" t="s">
        <v>1732</v>
      </c>
      <c r="S17" s="7" t="s">
        <v>493</v>
      </c>
      <c r="T17" s="65">
        <v>2914.0</v>
      </c>
      <c r="U17" s="7"/>
      <c r="V17" s="7"/>
    </row>
    <row r="18">
      <c r="A18" s="45">
        <v>45882.17636574074</v>
      </c>
      <c r="B18" s="7" t="s">
        <v>1733</v>
      </c>
      <c r="C18" s="7" t="s">
        <v>1703</v>
      </c>
      <c r="D18" s="74">
        <v>1.0</v>
      </c>
      <c r="E18" s="46"/>
      <c r="F18" s="47">
        <v>24.99</v>
      </c>
      <c r="G18" s="47">
        <v>0.0</v>
      </c>
      <c r="H18" s="7"/>
      <c r="I18" s="47">
        <v>1.02</v>
      </c>
      <c r="J18" s="8"/>
      <c r="K18" s="7"/>
      <c r="L18" s="7"/>
      <c r="M18" s="7"/>
      <c r="N18" s="7"/>
      <c r="O18" s="7" t="s">
        <v>490</v>
      </c>
      <c r="P18" s="7" t="s">
        <v>657</v>
      </c>
      <c r="Q18" s="7"/>
      <c r="R18" s="7" t="s">
        <v>658</v>
      </c>
      <c r="S18" s="7" t="s">
        <v>493</v>
      </c>
      <c r="T18" s="65">
        <v>2913.0</v>
      </c>
      <c r="U18" s="7"/>
      <c r="V18" s="7"/>
    </row>
    <row r="19">
      <c r="A19" s="45">
        <v>45882.01878472222</v>
      </c>
      <c r="B19" s="7" t="s">
        <v>1127</v>
      </c>
      <c r="C19" s="7" t="s">
        <v>1703</v>
      </c>
      <c r="D19" s="74">
        <v>1.0</v>
      </c>
      <c r="E19" s="46"/>
      <c r="F19" s="47">
        <v>24.99</v>
      </c>
      <c r="G19" s="47">
        <v>0.0</v>
      </c>
      <c r="H19" s="7"/>
      <c r="I19" s="47">
        <v>1.02</v>
      </c>
      <c r="J19" s="8"/>
      <c r="K19" s="7"/>
      <c r="L19" s="7"/>
      <c r="M19" s="7"/>
      <c r="N19" s="7"/>
      <c r="O19" s="7" t="s">
        <v>490</v>
      </c>
      <c r="P19" s="7" t="s">
        <v>1128</v>
      </c>
      <c r="Q19" s="7"/>
      <c r="R19" s="7" t="s">
        <v>1129</v>
      </c>
      <c r="S19" s="7" t="s">
        <v>493</v>
      </c>
      <c r="T19" s="65">
        <v>2912.0</v>
      </c>
      <c r="U19" s="7"/>
      <c r="V19" s="7"/>
    </row>
    <row r="20">
      <c r="A20" s="45">
        <v>45881.950277777774</v>
      </c>
      <c r="B20" s="7" t="s">
        <v>1734</v>
      </c>
      <c r="C20" s="7" t="s">
        <v>1703</v>
      </c>
      <c r="D20" s="74">
        <v>1.0</v>
      </c>
      <c r="E20" s="46"/>
      <c r="F20" s="47">
        <v>24.99</v>
      </c>
      <c r="G20" s="47">
        <v>0.0</v>
      </c>
      <c r="H20" s="7"/>
      <c r="I20" s="47">
        <v>1.02</v>
      </c>
      <c r="J20" s="8"/>
      <c r="K20" s="7"/>
      <c r="L20" s="7"/>
      <c r="M20" s="7"/>
      <c r="N20" s="7"/>
      <c r="O20" s="7" t="s">
        <v>490</v>
      </c>
      <c r="P20" s="7" t="s">
        <v>1517</v>
      </c>
      <c r="Q20" s="7" t="s">
        <v>1518</v>
      </c>
      <c r="R20" s="7" t="s">
        <v>1519</v>
      </c>
      <c r="S20" s="7" t="s">
        <v>493</v>
      </c>
      <c r="T20" s="65">
        <v>2911.0</v>
      </c>
      <c r="U20" s="7"/>
      <c r="V20" s="7"/>
    </row>
    <row r="21">
      <c r="A21" s="45">
        <v>45881.874502314815</v>
      </c>
      <c r="B21" s="7" t="s">
        <v>1500</v>
      </c>
      <c r="C21" s="7" t="s">
        <v>1703</v>
      </c>
      <c r="D21" s="74">
        <v>1.0</v>
      </c>
      <c r="E21" s="46"/>
      <c r="F21" s="47">
        <v>38.68</v>
      </c>
      <c r="G21" s="47">
        <v>0.0</v>
      </c>
      <c r="H21" s="7"/>
      <c r="I21" s="47">
        <v>1.42</v>
      </c>
      <c r="J21" s="8"/>
      <c r="K21" s="7"/>
      <c r="L21" s="7"/>
      <c r="M21" s="7"/>
      <c r="N21" s="7"/>
      <c r="O21" s="7" t="s">
        <v>490</v>
      </c>
      <c r="P21" s="7"/>
      <c r="Q21" s="7"/>
      <c r="R21" s="7"/>
      <c r="S21" s="7" t="s">
        <v>493</v>
      </c>
      <c r="T21" s="65">
        <v>2910.0</v>
      </c>
      <c r="U21" s="7"/>
      <c r="V21" s="7"/>
    </row>
    <row r="22">
      <c r="A22" s="45">
        <v>45881.41747685185</v>
      </c>
      <c r="B22" s="7" t="s">
        <v>614</v>
      </c>
      <c r="C22" s="7" t="s">
        <v>1703</v>
      </c>
      <c r="D22" s="74">
        <v>1.0</v>
      </c>
      <c r="E22" s="46"/>
      <c r="F22" s="47">
        <v>24.99</v>
      </c>
      <c r="G22" s="47">
        <v>0.0</v>
      </c>
      <c r="H22" s="7"/>
      <c r="I22" s="47">
        <v>1.4</v>
      </c>
      <c r="J22" s="8"/>
      <c r="K22" s="7"/>
      <c r="L22" s="7"/>
      <c r="M22" s="7"/>
      <c r="N22" s="7"/>
      <c r="O22" s="7" t="s">
        <v>490</v>
      </c>
      <c r="P22" s="7" t="s">
        <v>615</v>
      </c>
      <c r="Q22" s="7"/>
      <c r="R22" s="7" t="s">
        <v>616</v>
      </c>
      <c r="S22" s="7" t="s">
        <v>617</v>
      </c>
      <c r="T22" s="65">
        <v>2908.0</v>
      </c>
      <c r="U22" s="7"/>
      <c r="V22" s="7"/>
    </row>
    <row r="23">
      <c r="A23" s="45">
        <v>45881.23136574074</v>
      </c>
      <c r="B23" s="7" t="s">
        <v>177</v>
      </c>
      <c r="C23" s="7" t="s">
        <v>1703</v>
      </c>
      <c r="D23" s="74">
        <v>1.0</v>
      </c>
      <c r="E23" s="46"/>
      <c r="F23" s="47">
        <v>24.99</v>
      </c>
      <c r="G23" s="47">
        <v>0.0</v>
      </c>
      <c r="H23" s="7"/>
      <c r="I23" s="47">
        <v>1.4</v>
      </c>
      <c r="J23" s="8"/>
      <c r="K23" s="7"/>
      <c r="L23" s="7"/>
      <c r="M23" s="7"/>
      <c r="N23" s="7"/>
      <c r="O23" s="7" t="s">
        <v>490</v>
      </c>
      <c r="P23" s="7" t="s">
        <v>494</v>
      </c>
      <c r="Q23" s="7" t="s">
        <v>1503</v>
      </c>
      <c r="R23" s="7" t="s">
        <v>1504</v>
      </c>
      <c r="S23" s="7" t="s">
        <v>497</v>
      </c>
      <c r="T23" s="65">
        <v>2902.0</v>
      </c>
      <c r="U23" s="7"/>
      <c r="V23" s="7"/>
    </row>
    <row r="24">
      <c r="A24" s="45">
        <v>45881.020150462966</v>
      </c>
      <c r="B24" s="7" t="s">
        <v>667</v>
      </c>
      <c r="C24" s="7" t="s">
        <v>1703</v>
      </c>
      <c r="D24" s="74">
        <v>1.0</v>
      </c>
      <c r="E24" s="46"/>
      <c r="F24" s="47">
        <v>24.99</v>
      </c>
      <c r="G24" s="47">
        <v>0.0</v>
      </c>
      <c r="H24" s="7"/>
      <c r="I24" s="47">
        <v>1.02</v>
      </c>
      <c r="J24" s="8"/>
      <c r="K24" s="7"/>
      <c r="L24" s="7"/>
      <c r="M24" s="7"/>
      <c r="N24" s="7"/>
      <c r="O24" s="7" t="s">
        <v>490</v>
      </c>
      <c r="P24" s="7" t="s">
        <v>668</v>
      </c>
      <c r="Q24" s="7"/>
      <c r="R24" s="7" t="s">
        <v>669</v>
      </c>
      <c r="S24" s="7" t="s">
        <v>493</v>
      </c>
      <c r="T24" s="65">
        <v>2900.0</v>
      </c>
      <c r="U24" s="7"/>
      <c r="V24" s="7"/>
    </row>
    <row r="25">
      <c r="A25" s="45">
        <v>45881.011666666665</v>
      </c>
      <c r="B25" s="7" t="s">
        <v>595</v>
      </c>
      <c r="C25" s="7" t="s">
        <v>1703</v>
      </c>
      <c r="D25" s="74">
        <v>1.0</v>
      </c>
      <c r="E25" s="46"/>
      <c r="F25" s="47">
        <v>27.43</v>
      </c>
      <c r="G25" s="47">
        <v>0.0</v>
      </c>
      <c r="H25" s="7"/>
      <c r="I25" s="47">
        <v>1.1</v>
      </c>
      <c r="J25" s="8"/>
      <c r="K25" s="7"/>
      <c r="L25" s="7"/>
      <c r="M25" s="7"/>
      <c r="N25" s="7"/>
      <c r="O25" s="7" t="s">
        <v>490</v>
      </c>
      <c r="P25" s="7" t="s">
        <v>596</v>
      </c>
      <c r="Q25" s="7"/>
      <c r="R25" s="7" t="s">
        <v>597</v>
      </c>
      <c r="S25" s="7" t="s">
        <v>493</v>
      </c>
      <c r="T25" s="65">
        <v>2899.0</v>
      </c>
      <c r="U25" s="7"/>
      <c r="V25" s="7"/>
    </row>
    <row r="26">
      <c r="A26" s="45">
        <v>45880.89040509259</v>
      </c>
      <c r="B26" s="7" t="s">
        <v>1542</v>
      </c>
      <c r="C26" s="7" t="s">
        <v>1703</v>
      </c>
      <c r="D26" s="74">
        <v>1.0</v>
      </c>
      <c r="E26" s="46"/>
      <c r="F26" s="47">
        <v>24.99</v>
      </c>
      <c r="G26" s="47">
        <v>0.0</v>
      </c>
      <c r="H26" s="7"/>
      <c r="I26" s="47">
        <v>1.4</v>
      </c>
      <c r="J26" s="8"/>
      <c r="K26" s="7"/>
      <c r="L26" s="7"/>
      <c r="M26" s="7"/>
      <c r="N26" s="7"/>
      <c r="O26" s="7" t="s">
        <v>490</v>
      </c>
      <c r="P26" s="7" t="s">
        <v>1543</v>
      </c>
      <c r="Q26" s="7"/>
      <c r="R26" s="7" t="s">
        <v>1120</v>
      </c>
      <c r="S26" s="7" t="s">
        <v>617</v>
      </c>
      <c r="T26" s="65">
        <v>2898.0</v>
      </c>
      <c r="U26" s="7"/>
      <c r="V26" s="7"/>
    </row>
    <row r="27">
      <c r="A27" s="45">
        <v>45880.86177083333</v>
      </c>
      <c r="B27" s="7" t="s">
        <v>1735</v>
      </c>
      <c r="C27" s="7" t="s">
        <v>1703</v>
      </c>
      <c r="D27" s="74">
        <v>1.0</v>
      </c>
      <c r="E27" s="46"/>
      <c r="F27" s="47">
        <v>34.46</v>
      </c>
      <c r="G27" s="47">
        <v>0.0</v>
      </c>
      <c r="H27" s="7"/>
      <c r="I27" s="47">
        <v>1.3</v>
      </c>
      <c r="J27" s="8"/>
      <c r="K27" s="7"/>
      <c r="L27" s="7"/>
      <c r="M27" s="7"/>
      <c r="N27" s="7"/>
      <c r="O27" s="7" t="s">
        <v>490</v>
      </c>
      <c r="P27" s="7" t="s">
        <v>1736</v>
      </c>
      <c r="Q27" s="7"/>
      <c r="R27" s="7" t="s">
        <v>1737</v>
      </c>
      <c r="S27" s="7" t="s">
        <v>493</v>
      </c>
      <c r="T27" s="65">
        <v>2897.0</v>
      </c>
      <c r="U27" s="7"/>
      <c r="V27" s="7"/>
    </row>
    <row r="28">
      <c r="A28" s="45">
        <v>45880.85015046296</v>
      </c>
      <c r="B28" s="7" t="s">
        <v>727</v>
      </c>
      <c r="C28" s="7" t="s">
        <v>1703</v>
      </c>
      <c r="D28" s="74">
        <v>1.0</v>
      </c>
      <c r="E28" s="46"/>
      <c r="F28" s="47">
        <v>24.99</v>
      </c>
      <c r="G28" s="47">
        <v>0.0</v>
      </c>
      <c r="H28" s="7"/>
      <c r="I28" s="47">
        <v>1.02</v>
      </c>
      <c r="J28" s="8"/>
      <c r="K28" s="7"/>
      <c r="L28" s="7"/>
      <c r="M28" s="7"/>
      <c r="N28" s="7"/>
      <c r="O28" s="7" t="s">
        <v>490</v>
      </c>
      <c r="P28" s="7" t="s">
        <v>728</v>
      </c>
      <c r="Q28" s="7"/>
      <c r="R28" s="7" t="s">
        <v>729</v>
      </c>
      <c r="S28" s="7" t="s">
        <v>493</v>
      </c>
      <c r="T28" s="65">
        <v>2896.0</v>
      </c>
      <c r="U28" s="7"/>
      <c r="V28" s="7"/>
    </row>
    <row r="29">
      <c r="A29" s="45">
        <v>45880.844930555555</v>
      </c>
      <c r="B29" s="7" t="s">
        <v>311</v>
      </c>
      <c r="C29" s="7" t="s">
        <v>1703</v>
      </c>
      <c r="D29" s="74">
        <v>1.0</v>
      </c>
      <c r="E29" s="46"/>
      <c r="F29" s="47">
        <v>24.99</v>
      </c>
      <c r="G29" s="47">
        <v>0.0</v>
      </c>
      <c r="H29" s="7"/>
      <c r="I29" s="47">
        <v>1.02</v>
      </c>
      <c r="J29" s="8"/>
      <c r="K29" s="7"/>
      <c r="L29" s="7"/>
      <c r="M29" s="7"/>
      <c r="N29" s="7"/>
      <c r="O29" s="7" t="s">
        <v>490</v>
      </c>
      <c r="P29" s="7" t="s">
        <v>625</v>
      </c>
      <c r="Q29" s="7"/>
      <c r="R29" s="7" t="s">
        <v>626</v>
      </c>
      <c r="S29" s="7" t="s">
        <v>493</v>
      </c>
      <c r="T29" s="65">
        <v>2895.0</v>
      </c>
      <c r="U29" s="7"/>
      <c r="V29" s="7"/>
    </row>
    <row r="30">
      <c r="A30" s="45">
        <v>45880.798622685186</v>
      </c>
      <c r="B30" s="7" t="s">
        <v>273</v>
      </c>
      <c r="C30" s="7" t="s">
        <v>1703</v>
      </c>
      <c r="D30" s="74">
        <v>1.0</v>
      </c>
      <c r="E30" s="46"/>
      <c r="F30" s="47">
        <v>24.99</v>
      </c>
      <c r="G30" s="47">
        <v>0.0</v>
      </c>
      <c r="H30" s="7"/>
      <c r="I30" s="47">
        <v>1.02</v>
      </c>
      <c r="J30" s="8"/>
      <c r="K30" s="7"/>
      <c r="L30" s="7"/>
      <c r="M30" s="7"/>
      <c r="N30" s="7"/>
      <c r="O30" s="7" t="s">
        <v>490</v>
      </c>
      <c r="P30" s="7" t="s">
        <v>646</v>
      </c>
      <c r="Q30" s="7"/>
      <c r="R30" s="7" t="s">
        <v>647</v>
      </c>
      <c r="S30" s="7" t="s">
        <v>493</v>
      </c>
      <c r="T30" s="65">
        <v>2894.0</v>
      </c>
      <c r="U30" s="7"/>
      <c r="V30" s="7"/>
    </row>
    <row r="31">
      <c r="A31" s="45">
        <v>45880.77945601852</v>
      </c>
      <c r="B31" s="7" t="s">
        <v>1738</v>
      </c>
      <c r="C31" s="7" t="s">
        <v>1703</v>
      </c>
      <c r="D31" s="74">
        <v>1.0</v>
      </c>
      <c r="E31" s="46"/>
      <c r="F31" s="47">
        <v>62.33</v>
      </c>
      <c r="G31" s="47">
        <v>0.0</v>
      </c>
      <c r="H31" s="7"/>
      <c r="I31" s="47">
        <v>3.04</v>
      </c>
      <c r="J31" s="8"/>
      <c r="K31" s="7"/>
      <c r="L31" s="7"/>
      <c r="M31" s="7"/>
      <c r="N31" s="7"/>
      <c r="O31" s="7" t="s">
        <v>490</v>
      </c>
      <c r="P31" s="7" t="s">
        <v>1739</v>
      </c>
      <c r="Q31" s="7" t="s">
        <v>1740</v>
      </c>
      <c r="R31" s="7" t="s">
        <v>1601</v>
      </c>
      <c r="S31" s="7" t="s">
        <v>497</v>
      </c>
      <c r="T31" s="65">
        <v>2893.0</v>
      </c>
      <c r="U31" s="7"/>
      <c r="V31" s="7"/>
    </row>
    <row r="32">
      <c r="A32" s="45">
        <v>45880.76604166667</v>
      </c>
      <c r="B32" s="7" t="s">
        <v>1741</v>
      </c>
      <c r="C32" s="7" t="s">
        <v>1703</v>
      </c>
      <c r="D32" s="74">
        <v>1.0</v>
      </c>
      <c r="E32" s="46"/>
      <c r="F32" s="47">
        <v>24.99</v>
      </c>
      <c r="G32" s="47">
        <v>0.0</v>
      </c>
      <c r="H32" s="7"/>
      <c r="I32" s="47">
        <v>1.02</v>
      </c>
      <c r="J32" s="8"/>
      <c r="K32" s="7"/>
      <c r="L32" s="7"/>
      <c r="M32" s="7"/>
      <c r="N32" s="7"/>
      <c r="O32" s="7" t="s">
        <v>490</v>
      </c>
      <c r="P32" s="7" t="s">
        <v>1535</v>
      </c>
      <c r="Q32" s="7"/>
      <c r="R32" s="7" t="s">
        <v>552</v>
      </c>
      <c r="S32" s="7" t="s">
        <v>493</v>
      </c>
      <c r="T32" s="65">
        <v>2890.0</v>
      </c>
      <c r="U32" s="7"/>
      <c r="V32" s="7"/>
    </row>
    <row r="33">
      <c r="A33" s="45">
        <v>45880.239340277774</v>
      </c>
      <c r="B33" s="7" t="s">
        <v>1742</v>
      </c>
      <c r="C33" s="7" t="s">
        <v>1703</v>
      </c>
      <c r="D33" s="74">
        <v>1.0</v>
      </c>
      <c r="E33" s="46"/>
      <c r="F33" s="47">
        <v>24.99</v>
      </c>
      <c r="G33" s="47">
        <v>0.0</v>
      </c>
      <c r="H33" s="7"/>
      <c r="I33" s="47">
        <v>1.02</v>
      </c>
      <c r="J33" s="8"/>
      <c r="K33" s="7"/>
      <c r="L33" s="7"/>
      <c r="M33" s="7"/>
      <c r="N33" s="7"/>
      <c r="O33" s="7" t="s">
        <v>490</v>
      </c>
      <c r="P33" s="7" t="s">
        <v>731</v>
      </c>
      <c r="Q33" s="7"/>
      <c r="R33" s="7" t="s">
        <v>732</v>
      </c>
      <c r="S33" s="7" t="s">
        <v>493</v>
      </c>
      <c r="T33" s="65">
        <v>2883.0</v>
      </c>
      <c r="U33" s="7"/>
      <c r="V33" s="7"/>
    </row>
    <row r="34">
      <c r="A34" s="45">
        <v>45880.20025462963</v>
      </c>
      <c r="B34" s="7" t="s">
        <v>1743</v>
      </c>
      <c r="C34" s="7" t="s">
        <v>1703</v>
      </c>
      <c r="D34" s="74">
        <v>1.0</v>
      </c>
      <c r="E34" s="46"/>
      <c r="F34" s="47">
        <v>34.46</v>
      </c>
      <c r="G34" s="47">
        <v>0.0</v>
      </c>
      <c r="H34" s="7"/>
      <c r="I34" s="47">
        <v>1.3</v>
      </c>
      <c r="J34" s="8"/>
      <c r="K34" s="7"/>
      <c r="L34" s="7"/>
      <c r="M34" s="7"/>
      <c r="N34" s="7"/>
      <c r="O34" s="7" t="s">
        <v>490</v>
      </c>
      <c r="P34" s="7" t="s">
        <v>1744</v>
      </c>
      <c r="Q34" s="7"/>
      <c r="R34" s="7" t="s">
        <v>1745</v>
      </c>
      <c r="S34" s="7" t="s">
        <v>493</v>
      </c>
      <c r="T34" s="65">
        <v>2881.0</v>
      </c>
      <c r="U34" s="7"/>
      <c r="V34" s="7"/>
    </row>
    <row r="35">
      <c r="A35" s="45">
        <v>45880.13469907407</v>
      </c>
      <c r="B35" s="7" t="s">
        <v>1490</v>
      </c>
      <c r="C35" s="7" t="s">
        <v>1703</v>
      </c>
      <c r="D35" s="74">
        <v>1.0</v>
      </c>
      <c r="E35" s="46"/>
      <c r="F35" s="47">
        <v>24.99</v>
      </c>
      <c r="G35" s="47">
        <v>0.0</v>
      </c>
      <c r="H35" s="7"/>
      <c r="I35" s="47">
        <v>1.4</v>
      </c>
      <c r="J35" s="8"/>
      <c r="K35" s="7"/>
      <c r="L35" s="7"/>
      <c r="M35" s="7"/>
      <c r="N35" s="7"/>
      <c r="O35" s="7" t="s">
        <v>490</v>
      </c>
      <c r="P35" s="7" t="s">
        <v>1746</v>
      </c>
      <c r="Q35" s="7" t="s">
        <v>1492</v>
      </c>
      <c r="R35" s="7" t="s">
        <v>1493</v>
      </c>
      <c r="S35" s="7" t="s">
        <v>882</v>
      </c>
      <c r="T35" s="65">
        <v>2880.0</v>
      </c>
      <c r="U35" s="7"/>
      <c r="V35" s="7"/>
    </row>
    <row r="36">
      <c r="A36" s="45">
        <v>45880.11965277778</v>
      </c>
      <c r="B36" s="7" t="s">
        <v>1085</v>
      </c>
      <c r="C36" s="7" t="s">
        <v>1703</v>
      </c>
      <c r="D36" s="74">
        <v>1.0</v>
      </c>
      <c r="E36" s="46"/>
      <c r="F36" s="47">
        <v>24.99</v>
      </c>
      <c r="G36" s="47">
        <v>0.0</v>
      </c>
      <c r="H36" s="7"/>
      <c r="I36" s="47">
        <v>1.02</v>
      </c>
      <c r="J36" s="8"/>
      <c r="K36" s="7"/>
      <c r="L36" s="7"/>
      <c r="M36" s="7"/>
      <c r="N36" s="7"/>
      <c r="O36" s="7" t="s">
        <v>490</v>
      </c>
      <c r="P36" s="7" t="s">
        <v>1086</v>
      </c>
      <c r="Q36" s="7"/>
      <c r="R36" s="7" t="s">
        <v>1087</v>
      </c>
      <c r="S36" s="7" t="s">
        <v>493</v>
      </c>
      <c r="T36" s="65">
        <v>2879.0</v>
      </c>
      <c r="U36" s="7"/>
      <c r="V36" s="7"/>
    </row>
    <row r="37">
      <c r="A37" s="45">
        <v>45879.80914351852</v>
      </c>
      <c r="B37" s="7" t="s">
        <v>914</v>
      </c>
      <c r="C37" s="7" t="s">
        <v>1703</v>
      </c>
      <c r="D37" s="74">
        <v>1.0</v>
      </c>
      <c r="E37" s="46"/>
      <c r="F37" s="47">
        <v>27.18</v>
      </c>
      <c r="G37" s="47">
        <v>0.0</v>
      </c>
      <c r="H37" s="7"/>
      <c r="I37" s="47">
        <v>1.09</v>
      </c>
      <c r="J37" s="8"/>
      <c r="K37" s="7"/>
      <c r="L37" s="7"/>
      <c r="M37" s="7"/>
      <c r="N37" s="7"/>
      <c r="O37" s="7" t="s">
        <v>490</v>
      </c>
      <c r="P37" s="7" t="s">
        <v>915</v>
      </c>
      <c r="Q37" s="7"/>
      <c r="R37" s="7" t="s">
        <v>916</v>
      </c>
      <c r="S37" s="7" t="s">
        <v>493</v>
      </c>
      <c r="T37" s="65">
        <v>2876.0</v>
      </c>
      <c r="U37" s="7"/>
      <c r="V37" s="7"/>
    </row>
    <row r="38">
      <c r="A38" s="45">
        <v>45879.79886574074</v>
      </c>
      <c r="B38" s="7" t="s">
        <v>140</v>
      </c>
      <c r="C38" s="7" t="s">
        <v>1703</v>
      </c>
      <c r="D38" s="74">
        <v>1.0</v>
      </c>
      <c r="E38" s="46"/>
      <c r="F38" s="47">
        <v>24.99</v>
      </c>
      <c r="G38" s="47">
        <v>0.0</v>
      </c>
      <c r="H38" s="7"/>
      <c r="I38" s="47">
        <v>1.02</v>
      </c>
      <c r="J38" s="8"/>
      <c r="K38" s="7"/>
      <c r="L38" s="7"/>
      <c r="M38" s="7"/>
      <c r="N38" s="7"/>
      <c r="O38" s="7" t="s">
        <v>490</v>
      </c>
      <c r="P38" s="7" t="s">
        <v>1006</v>
      </c>
      <c r="Q38" s="7"/>
      <c r="R38" s="7" t="s">
        <v>1007</v>
      </c>
      <c r="S38" s="7" t="s">
        <v>493</v>
      </c>
      <c r="T38" s="65">
        <v>2874.0</v>
      </c>
      <c r="U38" s="7"/>
      <c r="V38" s="7"/>
    </row>
    <row r="39">
      <c r="A39" s="45">
        <v>45879.6871875</v>
      </c>
      <c r="B39" s="7" t="s">
        <v>107</v>
      </c>
      <c r="C39" s="7" t="s">
        <v>1703</v>
      </c>
      <c r="D39" s="74">
        <v>1.0</v>
      </c>
      <c r="E39" s="46"/>
      <c r="F39" s="47">
        <v>24.99</v>
      </c>
      <c r="G39" s="47">
        <v>0.0</v>
      </c>
      <c r="H39" s="7"/>
      <c r="I39" s="47">
        <v>1.02</v>
      </c>
      <c r="J39" s="8"/>
      <c r="K39" s="7"/>
      <c r="L39" s="7"/>
      <c r="M39" s="7"/>
      <c r="N39" s="7"/>
      <c r="O39" s="7" t="s">
        <v>490</v>
      </c>
      <c r="P39" s="7" t="s">
        <v>810</v>
      </c>
      <c r="Q39" s="7"/>
      <c r="R39" s="7" t="s">
        <v>811</v>
      </c>
      <c r="S39" s="7" t="s">
        <v>493</v>
      </c>
      <c r="T39" s="65">
        <v>2873.0</v>
      </c>
      <c r="U39" s="7"/>
      <c r="V39" s="7"/>
    </row>
    <row r="40">
      <c r="A40" s="45">
        <v>45878.73074074074</v>
      </c>
      <c r="B40" s="7" t="s">
        <v>1495</v>
      </c>
      <c r="C40" s="7" t="s">
        <v>1703</v>
      </c>
      <c r="D40" s="74">
        <v>1.0</v>
      </c>
      <c r="E40" s="46"/>
      <c r="F40" s="47">
        <v>24.99</v>
      </c>
      <c r="G40" s="47">
        <v>0.0</v>
      </c>
      <c r="H40" s="7"/>
      <c r="I40" s="47">
        <v>1.02</v>
      </c>
      <c r="J40" s="8"/>
      <c r="K40" s="7"/>
      <c r="L40" s="7"/>
      <c r="M40" s="7"/>
      <c r="N40" s="7"/>
      <c r="O40" s="7" t="s">
        <v>490</v>
      </c>
      <c r="P40" s="7" t="s">
        <v>1496</v>
      </c>
      <c r="Q40" s="7"/>
      <c r="R40" s="7" t="s">
        <v>1497</v>
      </c>
      <c r="S40" s="7" t="s">
        <v>493</v>
      </c>
      <c r="T40" s="65">
        <v>2871.0</v>
      </c>
      <c r="U40" s="7"/>
      <c r="V40" s="7"/>
    </row>
    <row r="41">
      <c r="A41" s="45">
        <v>45878.604849537034</v>
      </c>
      <c r="B41" s="7" t="s">
        <v>172</v>
      </c>
      <c r="C41" s="7" t="s">
        <v>1703</v>
      </c>
      <c r="D41" s="74">
        <v>1.0</v>
      </c>
      <c r="E41" s="46"/>
      <c r="F41" s="47">
        <v>24.99</v>
      </c>
      <c r="G41" s="47">
        <v>0.0</v>
      </c>
      <c r="H41" s="7"/>
      <c r="I41" s="47">
        <v>1.02</v>
      </c>
      <c r="J41" s="8"/>
      <c r="K41" s="7"/>
      <c r="L41" s="7"/>
      <c r="M41" s="7"/>
      <c r="N41" s="7"/>
      <c r="O41" s="7" t="s">
        <v>490</v>
      </c>
      <c r="P41" s="7" t="s">
        <v>1102</v>
      </c>
      <c r="Q41" s="7"/>
      <c r="R41" s="7" t="s">
        <v>1103</v>
      </c>
      <c r="S41" s="7" t="s">
        <v>493</v>
      </c>
      <c r="T41" s="65">
        <v>2869.0</v>
      </c>
      <c r="U41" s="7"/>
      <c r="V41" s="7"/>
    </row>
    <row r="42">
      <c r="A42" s="45">
        <v>45878.35988425926</v>
      </c>
      <c r="B42" s="7" t="s">
        <v>1747</v>
      </c>
      <c r="C42" s="7" t="s">
        <v>1703</v>
      </c>
      <c r="D42" s="74">
        <v>1.0</v>
      </c>
      <c r="E42" s="46"/>
      <c r="F42" s="47">
        <v>34.46</v>
      </c>
      <c r="G42" s="47">
        <v>0.0</v>
      </c>
      <c r="H42" s="7"/>
      <c r="I42" s="47">
        <v>1.3</v>
      </c>
      <c r="J42" s="8"/>
      <c r="K42" s="7"/>
      <c r="L42" s="7"/>
      <c r="M42" s="7"/>
      <c r="N42" s="7"/>
      <c r="O42" s="7" t="s">
        <v>490</v>
      </c>
      <c r="P42" s="7" t="s">
        <v>1748</v>
      </c>
      <c r="Q42" s="7"/>
      <c r="R42" s="7" t="s">
        <v>1749</v>
      </c>
      <c r="S42" s="7" t="s">
        <v>493</v>
      </c>
      <c r="T42" s="65">
        <v>2866.0</v>
      </c>
      <c r="U42" s="7"/>
      <c r="V42" s="7"/>
    </row>
    <row r="43">
      <c r="A43" s="45">
        <v>45878.285092592596</v>
      </c>
      <c r="B43" s="7" t="s">
        <v>1680</v>
      </c>
      <c r="C43" s="7" t="s">
        <v>1703</v>
      </c>
      <c r="D43" s="74">
        <v>1.0</v>
      </c>
      <c r="E43" s="46"/>
      <c r="F43" s="47">
        <v>38.23</v>
      </c>
      <c r="G43" s="47">
        <v>0.0</v>
      </c>
      <c r="H43" s="7"/>
      <c r="I43" s="47">
        <v>1.98</v>
      </c>
      <c r="J43" s="8"/>
      <c r="K43" s="7"/>
      <c r="L43" s="7"/>
      <c r="M43" s="7"/>
      <c r="N43" s="7"/>
      <c r="O43" s="7" t="s">
        <v>490</v>
      </c>
      <c r="P43" s="7"/>
      <c r="Q43" s="7"/>
      <c r="R43" s="7"/>
      <c r="S43" s="7" t="s">
        <v>948</v>
      </c>
      <c r="T43" s="65">
        <v>2865.0</v>
      </c>
      <c r="U43" s="7"/>
      <c r="V43" s="7"/>
    </row>
    <row r="44">
      <c r="A44" s="45">
        <v>45878.24083333334</v>
      </c>
      <c r="B44" s="7" t="s">
        <v>741</v>
      </c>
      <c r="C44" s="7" t="s">
        <v>1703</v>
      </c>
      <c r="D44" s="74">
        <v>1.0</v>
      </c>
      <c r="E44" s="46"/>
      <c r="F44" s="47">
        <v>24.99</v>
      </c>
      <c r="G44" s="47">
        <v>0.0</v>
      </c>
      <c r="H44" s="7"/>
      <c r="I44" s="47">
        <v>1.02</v>
      </c>
      <c r="J44" s="8"/>
      <c r="K44" s="7"/>
      <c r="L44" s="7"/>
      <c r="M44" s="7"/>
      <c r="N44" s="7"/>
      <c r="O44" s="7" t="s">
        <v>490</v>
      </c>
      <c r="P44" s="7" t="s">
        <v>742</v>
      </c>
      <c r="Q44" s="7"/>
      <c r="R44" s="7" t="s">
        <v>743</v>
      </c>
      <c r="S44" s="7" t="s">
        <v>493</v>
      </c>
      <c r="T44" s="65">
        <v>2864.0</v>
      </c>
      <c r="U44" s="7"/>
      <c r="V44" s="7"/>
    </row>
    <row r="45">
      <c r="A45" s="45">
        <v>45878.1371875</v>
      </c>
      <c r="B45" s="7" t="s">
        <v>1750</v>
      </c>
      <c r="C45" s="7" t="s">
        <v>1703</v>
      </c>
      <c r="D45" s="74">
        <v>1.0</v>
      </c>
      <c r="E45" s="46"/>
      <c r="F45" s="47">
        <v>36.27</v>
      </c>
      <c r="G45" s="47">
        <v>0.0</v>
      </c>
      <c r="H45" s="7"/>
      <c r="I45" s="47">
        <v>1.35</v>
      </c>
      <c r="J45" s="8"/>
      <c r="K45" s="7"/>
      <c r="L45" s="7"/>
      <c r="M45" s="7"/>
      <c r="N45" s="7"/>
      <c r="O45" s="7" t="s">
        <v>490</v>
      </c>
      <c r="P45" s="7" t="s">
        <v>1751</v>
      </c>
      <c r="Q45" s="7"/>
      <c r="R45" s="7" t="s">
        <v>1752</v>
      </c>
      <c r="S45" s="7" t="s">
        <v>493</v>
      </c>
      <c r="T45" s="65">
        <v>2863.0</v>
      </c>
      <c r="U45" s="7"/>
      <c r="V45" s="7"/>
    </row>
    <row r="46">
      <c r="A46" s="45">
        <v>45877.91587962963</v>
      </c>
      <c r="B46" s="7" t="s">
        <v>120</v>
      </c>
      <c r="C46" s="7" t="s">
        <v>1703</v>
      </c>
      <c r="D46" s="74">
        <v>1.0</v>
      </c>
      <c r="E46" s="46"/>
      <c r="F46" s="47">
        <v>24.99</v>
      </c>
      <c r="G46" s="47">
        <v>0.0</v>
      </c>
      <c r="H46" s="7"/>
      <c r="I46" s="47">
        <v>1.02</v>
      </c>
      <c r="J46" s="8"/>
      <c r="K46" s="7"/>
      <c r="L46" s="7"/>
      <c r="M46" s="7"/>
      <c r="N46" s="7"/>
      <c r="O46" s="7" t="s">
        <v>490</v>
      </c>
      <c r="P46" s="7" t="s">
        <v>623</v>
      </c>
      <c r="Q46" s="7"/>
      <c r="R46" s="7" t="s">
        <v>624</v>
      </c>
      <c r="S46" s="7" t="s">
        <v>493</v>
      </c>
      <c r="T46" s="65">
        <v>2862.0</v>
      </c>
      <c r="U46" s="7"/>
      <c r="V46" s="7"/>
    </row>
    <row r="47">
      <c r="A47" s="45">
        <v>45877.294027777774</v>
      </c>
      <c r="B47" s="7" t="s">
        <v>189</v>
      </c>
      <c r="C47" s="7" t="s">
        <v>1703</v>
      </c>
      <c r="D47" s="74">
        <v>1.0</v>
      </c>
      <c r="E47" s="46"/>
      <c r="F47" s="47">
        <v>26.49</v>
      </c>
      <c r="G47" s="47">
        <v>0.0</v>
      </c>
      <c r="H47" s="7"/>
      <c r="I47" s="47">
        <v>1.07</v>
      </c>
      <c r="J47" s="8"/>
      <c r="K47" s="7"/>
      <c r="L47" s="7"/>
      <c r="M47" s="7"/>
      <c r="N47" s="7"/>
      <c r="O47" s="7" t="s">
        <v>490</v>
      </c>
      <c r="P47" s="7" t="s">
        <v>491</v>
      </c>
      <c r="Q47" s="7"/>
      <c r="R47" s="7" t="s">
        <v>492</v>
      </c>
      <c r="S47" s="7" t="s">
        <v>493</v>
      </c>
      <c r="T47" s="65">
        <v>2860.0</v>
      </c>
      <c r="U47" s="7"/>
      <c r="V47" s="7"/>
    </row>
    <row r="48">
      <c r="A48" s="45">
        <v>45877.083344907405</v>
      </c>
      <c r="B48" s="7" t="s">
        <v>786</v>
      </c>
      <c r="C48" s="7" t="s">
        <v>1703</v>
      </c>
      <c r="D48" s="74">
        <v>1.0</v>
      </c>
      <c r="E48" s="46"/>
      <c r="F48" s="47">
        <v>24.99</v>
      </c>
      <c r="G48" s="47">
        <v>0.0</v>
      </c>
      <c r="H48" s="7"/>
      <c r="I48" s="47">
        <v>1.4</v>
      </c>
      <c r="J48" s="8"/>
      <c r="K48" s="7"/>
      <c r="L48" s="7"/>
      <c r="M48" s="7"/>
      <c r="N48" s="7"/>
      <c r="O48" s="7" t="s">
        <v>490</v>
      </c>
      <c r="P48" s="7" t="s">
        <v>787</v>
      </c>
      <c r="Q48" s="7" t="s">
        <v>1753</v>
      </c>
      <c r="R48" s="7" t="s">
        <v>789</v>
      </c>
      <c r="S48" s="7" t="s">
        <v>617</v>
      </c>
      <c r="T48" s="65">
        <v>2859.0</v>
      </c>
      <c r="U48" s="7"/>
      <c r="V48" s="7"/>
    </row>
    <row r="49">
      <c r="A49" s="45">
        <v>45876.99353009259</v>
      </c>
      <c r="B49" s="7" t="s">
        <v>736</v>
      </c>
      <c r="C49" s="7" t="s">
        <v>1703</v>
      </c>
      <c r="D49" s="74">
        <v>1.0</v>
      </c>
      <c r="E49" s="46"/>
      <c r="F49" s="47">
        <v>24.99</v>
      </c>
      <c r="G49" s="47">
        <v>0.0</v>
      </c>
      <c r="H49" s="7"/>
      <c r="I49" s="47">
        <v>1.4</v>
      </c>
      <c r="J49" s="8"/>
      <c r="K49" s="7"/>
      <c r="L49" s="7"/>
      <c r="M49" s="7"/>
      <c r="N49" s="7"/>
      <c r="O49" s="7" t="s">
        <v>490</v>
      </c>
      <c r="P49" s="7" t="s">
        <v>737</v>
      </c>
      <c r="Q49" s="65">
        <v>2.0</v>
      </c>
      <c r="R49" s="7" t="s">
        <v>738</v>
      </c>
      <c r="S49" s="7" t="s">
        <v>51</v>
      </c>
      <c r="T49" s="65">
        <v>2858.0</v>
      </c>
      <c r="U49" s="7"/>
      <c r="V49" s="7"/>
    </row>
    <row r="50">
      <c r="A50" s="45">
        <v>45876.97211805556</v>
      </c>
      <c r="B50" s="7" t="s">
        <v>869</v>
      </c>
      <c r="C50" s="7" t="s">
        <v>1703</v>
      </c>
      <c r="D50" s="74">
        <v>1.0</v>
      </c>
      <c r="E50" s="46"/>
      <c r="F50" s="47">
        <v>27.15</v>
      </c>
      <c r="G50" s="47">
        <v>0.0</v>
      </c>
      <c r="H50" s="7"/>
      <c r="I50" s="47">
        <v>1.09</v>
      </c>
      <c r="J50" s="8"/>
      <c r="K50" s="7"/>
      <c r="L50" s="7"/>
      <c r="M50" s="7"/>
      <c r="N50" s="7"/>
      <c r="O50" s="7" t="s">
        <v>490</v>
      </c>
      <c r="P50" s="7" t="s">
        <v>870</v>
      </c>
      <c r="Q50" s="7"/>
      <c r="R50" s="7" t="s">
        <v>871</v>
      </c>
      <c r="S50" s="7" t="s">
        <v>493</v>
      </c>
      <c r="T50" s="65">
        <v>2856.0</v>
      </c>
      <c r="U50" s="7"/>
      <c r="V50" s="7"/>
    </row>
    <row r="51">
      <c r="A51" s="45">
        <v>45876.76337962963</v>
      </c>
      <c r="B51" s="7" t="s">
        <v>254</v>
      </c>
      <c r="C51" s="7" t="s">
        <v>1703</v>
      </c>
      <c r="D51" s="74">
        <v>1.0</v>
      </c>
      <c r="E51" s="46"/>
      <c r="F51" s="47">
        <v>24.99</v>
      </c>
      <c r="G51" s="47">
        <v>0.0</v>
      </c>
      <c r="H51" s="7"/>
      <c r="I51" s="47">
        <v>1.02</v>
      </c>
      <c r="J51" s="8"/>
      <c r="K51" s="7"/>
      <c r="L51" s="7"/>
      <c r="M51" s="7"/>
      <c r="N51" s="7"/>
      <c r="O51" s="7" t="s">
        <v>490</v>
      </c>
      <c r="P51" s="7"/>
      <c r="Q51" s="7"/>
      <c r="R51" s="7"/>
      <c r="S51" s="7" t="s">
        <v>493</v>
      </c>
      <c r="T51" s="65">
        <v>2854.0</v>
      </c>
      <c r="U51" s="7"/>
      <c r="V51" s="7"/>
    </row>
    <row r="52">
      <c r="A52" s="45">
        <v>45876.73300925926</v>
      </c>
      <c r="B52" s="7" t="s">
        <v>1531</v>
      </c>
      <c r="C52" s="7" t="s">
        <v>1703</v>
      </c>
      <c r="D52" s="74">
        <v>1.0</v>
      </c>
      <c r="E52" s="46"/>
      <c r="F52" s="47">
        <v>24.99</v>
      </c>
      <c r="G52" s="47">
        <v>0.0</v>
      </c>
      <c r="H52" s="7"/>
      <c r="I52" s="47">
        <v>1.02</v>
      </c>
      <c r="J52" s="8"/>
      <c r="K52" s="7"/>
      <c r="L52" s="7"/>
      <c r="M52" s="7"/>
      <c r="N52" s="7"/>
      <c r="O52" s="7" t="s">
        <v>490</v>
      </c>
      <c r="P52" s="7" t="s">
        <v>925</v>
      </c>
      <c r="Q52" s="7"/>
      <c r="R52" s="7" t="s">
        <v>926</v>
      </c>
      <c r="S52" s="7" t="s">
        <v>493</v>
      </c>
      <c r="T52" s="65">
        <v>2853.0</v>
      </c>
      <c r="U52" s="7"/>
      <c r="V52" s="7"/>
    </row>
    <row r="53">
      <c r="A53" s="45">
        <v>45876.619571759256</v>
      </c>
      <c r="B53" s="7" t="s">
        <v>1259</v>
      </c>
      <c r="C53" s="7" t="s">
        <v>1703</v>
      </c>
      <c r="D53" s="74">
        <v>1.0</v>
      </c>
      <c r="E53" s="46"/>
      <c r="F53" s="47">
        <v>24.99</v>
      </c>
      <c r="G53" s="47">
        <v>0.0</v>
      </c>
      <c r="H53" s="7"/>
      <c r="I53" s="47">
        <v>1.02</v>
      </c>
      <c r="J53" s="8"/>
      <c r="K53" s="7"/>
      <c r="L53" s="7"/>
      <c r="M53" s="7"/>
      <c r="N53" s="7"/>
      <c r="O53" s="7" t="s">
        <v>490</v>
      </c>
      <c r="P53" s="7" t="s">
        <v>1260</v>
      </c>
      <c r="Q53" s="7"/>
      <c r="R53" s="7" t="s">
        <v>1261</v>
      </c>
      <c r="S53" s="7" t="s">
        <v>493</v>
      </c>
      <c r="T53" s="65">
        <v>2852.0</v>
      </c>
      <c r="U53" s="7"/>
      <c r="V53" s="7"/>
    </row>
    <row r="54">
      <c r="A54" s="45">
        <v>45876.58546296296</v>
      </c>
      <c r="B54" s="7" t="s">
        <v>47</v>
      </c>
      <c r="C54" s="7" t="s">
        <v>1703</v>
      </c>
      <c r="D54" s="74">
        <v>1.0</v>
      </c>
      <c r="E54" s="46"/>
      <c r="F54" s="47">
        <v>24.99</v>
      </c>
      <c r="G54" s="47">
        <v>0.0</v>
      </c>
      <c r="H54" s="7"/>
      <c r="I54" s="47">
        <v>1.4</v>
      </c>
      <c r="J54" s="8"/>
      <c r="K54" s="7"/>
      <c r="L54" s="7"/>
      <c r="M54" s="7"/>
      <c r="N54" s="7"/>
      <c r="O54" s="7" t="s">
        <v>490</v>
      </c>
      <c r="P54" s="7" t="s">
        <v>55</v>
      </c>
      <c r="Q54" s="7" t="s">
        <v>1754</v>
      </c>
      <c r="R54" s="7" t="s">
        <v>49</v>
      </c>
      <c r="S54" s="7" t="s">
        <v>51</v>
      </c>
      <c r="T54" s="65">
        <v>2851.0</v>
      </c>
      <c r="U54" s="7"/>
      <c r="V54" s="7"/>
    </row>
    <row r="55">
      <c r="A55" s="45">
        <v>45876.425717592596</v>
      </c>
      <c r="B55" s="7" t="s">
        <v>166</v>
      </c>
      <c r="C55" s="7" t="s">
        <v>1703</v>
      </c>
      <c r="D55" s="74">
        <v>1.0</v>
      </c>
      <c r="E55" s="46"/>
      <c r="F55" s="47">
        <v>24.99</v>
      </c>
      <c r="G55" s="47">
        <v>0.0</v>
      </c>
      <c r="H55" s="7"/>
      <c r="I55" s="47">
        <v>1.4</v>
      </c>
      <c r="J55" s="8"/>
      <c r="K55" s="7"/>
      <c r="L55" s="7"/>
      <c r="M55" s="7"/>
      <c r="N55" s="7"/>
      <c r="O55" s="7" t="s">
        <v>490</v>
      </c>
      <c r="P55" s="7" t="s">
        <v>766</v>
      </c>
      <c r="Q55" s="7"/>
      <c r="R55" s="7" t="s">
        <v>767</v>
      </c>
      <c r="S55" s="7" t="s">
        <v>521</v>
      </c>
      <c r="T55" s="65">
        <v>2850.0</v>
      </c>
      <c r="U55" s="7"/>
      <c r="V55" s="7"/>
    </row>
    <row r="56">
      <c r="A56" s="45">
        <v>45876.27616898148</v>
      </c>
      <c r="B56" s="7" t="s">
        <v>1023</v>
      </c>
      <c r="C56" s="7" t="s">
        <v>1703</v>
      </c>
      <c r="D56" s="74">
        <v>1.0</v>
      </c>
      <c r="E56" s="46"/>
      <c r="F56" s="47">
        <v>24.99</v>
      </c>
      <c r="G56" s="47">
        <v>0.0</v>
      </c>
      <c r="H56" s="7"/>
      <c r="I56" s="47">
        <v>1.02</v>
      </c>
      <c r="J56" s="8"/>
      <c r="K56" s="7"/>
      <c r="L56" s="7"/>
      <c r="M56" s="7"/>
      <c r="N56" s="7"/>
      <c r="O56" s="7" t="s">
        <v>490</v>
      </c>
      <c r="P56" s="7" t="s">
        <v>1024</v>
      </c>
      <c r="Q56" s="7"/>
      <c r="R56" s="7" t="s">
        <v>1025</v>
      </c>
      <c r="S56" s="7" t="s">
        <v>493</v>
      </c>
      <c r="T56" s="65">
        <v>2848.0</v>
      </c>
      <c r="U56" s="7"/>
      <c r="V56" s="7"/>
    </row>
    <row r="57">
      <c r="A57" s="45">
        <v>45876.0008912037</v>
      </c>
      <c r="B57" s="7" t="s">
        <v>642</v>
      </c>
      <c r="C57" s="7" t="s">
        <v>1703</v>
      </c>
      <c r="D57" s="74">
        <v>1.0</v>
      </c>
      <c r="E57" s="46"/>
      <c r="F57" s="47">
        <v>24.99</v>
      </c>
      <c r="G57" s="47">
        <v>0.0</v>
      </c>
      <c r="H57" s="7"/>
      <c r="I57" s="47">
        <v>1.4</v>
      </c>
      <c r="J57" s="8"/>
      <c r="K57" s="7"/>
      <c r="L57" s="7"/>
      <c r="M57" s="7"/>
      <c r="N57" s="7"/>
      <c r="O57" s="7" t="s">
        <v>490</v>
      </c>
      <c r="P57" s="7" t="s">
        <v>643</v>
      </c>
      <c r="Q57" s="7" t="s">
        <v>1477</v>
      </c>
      <c r="R57" s="7" t="s">
        <v>645</v>
      </c>
      <c r="S57" s="7" t="s">
        <v>622</v>
      </c>
      <c r="T57" s="65">
        <v>2846.0</v>
      </c>
      <c r="U57" s="7"/>
      <c r="V57" s="7"/>
    </row>
    <row r="58">
      <c r="A58" s="45">
        <v>45875.9468287037</v>
      </c>
      <c r="B58" s="7" t="s">
        <v>1755</v>
      </c>
      <c r="C58" s="7" t="s">
        <v>1703</v>
      </c>
      <c r="D58" s="74">
        <v>1.0</v>
      </c>
      <c r="E58" s="46"/>
      <c r="F58" s="47">
        <v>36.52</v>
      </c>
      <c r="G58" s="47">
        <v>0.0</v>
      </c>
      <c r="H58" s="7"/>
      <c r="I58" s="47">
        <v>1.36</v>
      </c>
      <c r="J58" s="8"/>
      <c r="K58" s="7"/>
      <c r="L58" s="7"/>
      <c r="M58" s="7"/>
      <c r="N58" s="7"/>
      <c r="O58" s="7" t="s">
        <v>490</v>
      </c>
      <c r="P58" s="7" t="s">
        <v>1756</v>
      </c>
      <c r="Q58" s="7"/>
      <c r="R58" s="7" t="s">
        <v>1757</v>
      </c>
      <c r="S58" s="7" t="s">
        <v>493</v>
      </c>
      <c r="T58" s="65">
        <v>2845.0</v>
      </c>
      <c r="U58" s="7"/>
      <c r="V58" s="7"/>
    </row>
    <row r="59">
      <c r="A59" s="45">
        <v>45875.939988425926</v>
      </c>
      <c r="B59" s="7" t="s">
        <v>1537</v>
      </c>
      <c r="C59" s="7" t="s">
        <v>1703</v>
      </c>
      <c r="D59" s="74">
        <v>1.0</v>
      </c>
      <c r="E59" s="46"/>
      <c r="F59" s="47">
        <v>24.99</v>
      </c>
      <c r="G59" s="47">
        <v>0.0</v>
      </c>
      <c r="H59" s="7"/>
      <c r="I59" s="47">
        <v>1.02</v>
      </c>
      <c r="J59" s="8"/>
      <c r="K59" s="7"/>
      <c r="L59" s="7"/>
      <c r="M59" s="7"/>
      <c r="N59" s="7"/>
      <c r="O59" s="7" t="s">
        <v>490</v>
      </c>
      <c r="P59" s="7" t="s">
        <v>1538</v>
      </c>
      <c r="Q59" s="7"/>
      <c r="R59" s="7" t="s">
        <v>1539</v>
      </c>
      <c r="S59" s="7" t="s">
        <v>493</v>
      </c>
      <c r="T59" s="65">
        <v>2844.0</v>
      </c>
      <c r="U59" s="7"/>
      <c r="V59" s="7"/>
    </row>
    <row r="60">
      <c r="A60" s="45">
        <v>45875.85438657407</v>
      </c>
      <c r="B60" s="7" t="s">
        <v>421</v>
      </c>
      <c r="C60" s="7" t="s">
        <v>1703</v>
      </c>
      <c r="D60" s="74">
        <v>1.0</v>
      </c>
      <c r="E60" s="46"/>
      <c r="F60" s="47">
        <v>24.99</v>
      </c>
      <c r="G60" s="47">
        <v>0.0</v>
      </c>
      <c r="H60" s="7"/>
      <c r="I60" s="47">
        <v>1.02</v>
      </c>
      <c r="J60" s="8"/>
      <c r="K60" s="7"/>
      <c r="L60" s="7"/>
      <c r="M60" s="7"/>
      <c r="N60" s="7"/>
      <c r="O60" s="7" t="s">
        <v>490</v>
      </c>
      <c r="P60" s="7" t="s">
        <v>1312</v>
      </c>
      <c r="Q60" s="7"/>
      <c r="R60" s="7" t="s">
        <v>1298</v>
      </c>
      <c r="S60" s="7" t="s">
        <v>493</v>
      </c>
      <c r="T60" s="65">
        <v>2840.0</v>
      </c>
      <c r="U60" s="7"/>
      <c r="V60" s="7"/>
    </row>
    <row r="61">
      <c r="A61" s="45">
        <v>45875.699108796296</v>
      </c>
      <c r="B61" s="7" t="s">
        <v>634</v>
      </c>
      <c r="C61" s="7" t="s">
        <v>1703</v>
      </c>
      <c r="D61" s="74">
        <v>1.0</v>
      </c>
      <c r="E61" s="46"/>
      <c r="F61" s="47">
        <v>24.99</v>
      </c>
      <c r="G61" s="47">
        <v>0.0</v>
      </c>
      <c r="H61" s="7"/>
      <c r="I61" s="47">
        <v>1.4</v>
      </c>
      <c r="J61" s="8"/>
      <c r="K61" s="7"/>
      <c r="L61" s="7"/>
      <c r="M61" s="7"/>
      <c r="N61" s="7"/>
      <c r="O61" s="7" t="s">
        <v>490</v>
      </c>
      <c r="P61" s="7" t="s">
        <v>635</v>
      </c>
      <c r="Q61" s="7" t="s">
        <v>636</v>
      </c>
      <c r="R61" s="7" t="s">
        <v>637</v>
      </c>
      <c r="S61" s="7" t="s">
        <v>638</v>
      </c>
      <c r="T61" s="65">
        <v>2839.0</v>
      </c>
      <c r="U61" s="7"/>
      <c r="V61" s="7"/>
    </row>
    <row r="62">
      <c r="A62" s="45">
        <v>45875.66898148148</v>
      </c>
      <c r="B62" s="7" t="s">
        <v>717</v>
      </c>
      <c r="C62" s="7" t="s">
        <v>1703</v>
      </c>
      <c r="D62" s="74">
        <v>1.0</v>
      </c>
      <c r="E62" s="46"/>
      <c r="F62" s="47">
        <v>24.99</v>
      </c>
      <c r="G62" s="47">
        <v>0.0</v>
      </c>
      <c r="H62" s="7"/>
      <c r="I62" s="47">
        <v>1.02</v>
      </c>
      <c r="J62" s="8"/>
      <c r="K62" s="7"/>
      <c r="L62" s="7"/>
      <c r="M62" s="7"/>
      <c r="N62" s="7"/>
      <c r="O62" s="7" t="s">
        <v>490</v>
      </c>
      <c r="P62" s="7" t="s">
        <v>718</v>
      </c>
      <c r="Q62" s="7"/>
      <c r="R62" s="7" t="s">
        <v>719</v>
      </c>
      <c r="S62" s="7" t="s">
        <v>493</v>
      </c>
      <c r="T62" s="65">
        <v>2838.0</v>
      </c>
      <c r="U62" s="7"/>
      <c r="V62" s="7"/>
    </row>
    <row r="63">
      <c r="A63" s="45">
        <v>45875.60859953704</v>
      </c>
      <c r="B63" s="7" t="s">
        <v>518</v>
      </c>
      <c r="C63" s="7" t="s">
        <v>1703</v>
      </c>
      <c r="D63" s="74">
        <v>1.0</v>
      </c>
      <c r="E63" s="46"/>
      <c r="F63" s="47">
        <v>24.99</v>
      </c>
      <c r="G63" s="47">
        <v>0.0</v>
      </c>
      <c r="H63" s="7"/>
      <c r="I63" s="47">
        <v>1.4</v>
      </c>
      <c r="J63" s="8"/>
      <c r="K63" s="7"/>
      <c r="L63" s="7"/>
      <c r="M63" s="7"/>
      <c r="N63" s="7"/>
      <c r="O63" s="7" t="s">
        <v>490</v>
      </c>
      <c r="P63" s="7" t="s">
        <v>1758</v>
      </c>
      <c r="Q63" s="7"/>
      <c r="R63" s="7" t="s">
        <v>520</v>
      </c>
      <c r="S63" s="7" t="s">
        <v>521</v>
      </c>
      <c r="T63" s="65">
        <v>2836.0</v>
      </c>
      <c r="U63" s="7"/>
      <c r="V63" s="7"/>
    </row>
    <row r="64">
      <c r="A64" s="45">
        <v>45875.477951388886</v>
      </c>
      <c r="B64" s="7" t="s">
        <v>260</v>
      </c>
      <c r="C64" s="7" t="s">
        <v>1703</v>
      </c>
      <c r="D64" s="74">
        <v>1.0</v>
      </c>
      <c r="E64" s="46"/>
      <c r="F64" s="47">
        <v>24.99</v>
      </c>
      <c r="G64" s="47">
        <v>0.0</v>
      </c>
      <c r="H64" s="7"/>
      <c r="I64" s="47">
        <v>1.02</v>
      </c>
      <c r="J64" s="8"/>
      <c r="K64" s="7"/>
      <c r="L64" s="7"/>
      <c r="M64" s="7"/>
      <c r="N64" s="7"/>
      <c r="O64" s="7" t="s">
        <v>490</v>
      </c>
      <c r="P64" s="7" t="s">
        <v>561</v>
      </c>
      <c r="Q64" s="7" t="s">
        <v>562</v>
      </c>
      <c r="R64" s="7" t="s">
        <v>563</v>
      </c>
      <c r="S64" s="7" t="s">
        <v>493</v>
      </c>
      <c r="T64" s="65">
        <v>2835.0</v>
      </c>
      <c r="U64" s="7"/>
      <c r="V64" s="7"/>
    </row>
    <row r="65">
      <c r="A65" s="45">
        <v>45875.460127314815</v>
      </c>
      <c r="B65" s="7" t="s">
        <v>1614</v>
      </c>
      <c r="C65" s="7" t="s">
        <v>1703</v>
      </c>
      <c r="D65" s="74">
        <v>1.0</v>
      </c>
      <c r="E65" s="46"/>
      <c r="F65" s="47">
        <v>27.68</v>
      </c>
      <c r="G65" s="47">
        <v>0.0</v>
      </c>
      <c r="H65" s="7"/>
      <c r="I65" s="47">
        <v>1.1</v>
      </c>
      <c r="J65" s="8"/>
      <c r="K65" s="7"/>
      <c r="L65" s="7"/>
      <c r="M65" s="7"/>
      <c r="N65" s="7"/>
      <c r="O65" s="7" t="s">
        <v>490</v>
      </c>
      <c r="P65" s="7" t="s">
        <v>1615</v>
      </c>
      <c r="Q65" s="7"/>
      <c r="R65" s="7" t="s">
        <v>1616</v>
      </c>
      <c r="S65" s="7" t="s">
        <v>493</v>
      </c>
      <c r="T65" s="65">
        <v>2834.0</v>
      </c>
      <c r="U65" s="7"/>
      <c r="V65" s="7"/>
    </row>
    <row r="66">
      <c r="A66" s="45">
        <v>45875.37944444444</v>
      </c>
      <c r="B66" s="7" t="s">
        <v>111</v>
      </c>
      <c r="C66" s="7" t="s">
        <v>1703</v>
      </c>
      <c r="D66" s="74">
        <v>1.0</v>
      </c>
      <c r="E66" s="46"/>
      <c r="F66" s="47">
        <v>27.68</v>
      </c>
      <c r="G66" s="47">
        <v>0.0</v>
      </c>
      <c r="H66" s="7"/>
      <c r="I66" s="47">
        <v>1.1</v>
      </c>
      <c r="J66" s="8"/>
      <c r="K66" s="7"/>
      <c r="L66" s="7"/>
      <c r="M66" s="7"/>
      <c r="N66" s="7"/>
      <c r="O66" s="7" t="s">
        <v>490</v>
      </c>
      <c r="P66" s="7" t="s">
        <v>1553</v>
      </c>
      <c r="Q66" s="7"/>
      <c r="R66" s="7" t="s">
        <v>1554</v>
      </c>
      <c r="S66" s="7" t="s">
        <v>493</v>
      </c>
      <c r="T66" s="65">
        <v>2833.0</v>
      </c>
      <c r="U66" s="7"/>
      <c r="V66" s="7"/>
    </row>
    <row r="67">
      <c r="A67" s="45">
        <v>45875.079560185186</v>
      </c>
      <c r="B67" s="7" t="s">
        <v>1759</v>
      </c>
      <c r="C67" s="7" t="s">
        <v>1703</v>
      </c>
      <c r="D67" s="74">
        <v>1.0</v>
      </c>
      <c r="E67" s="46"/>
      <c r="F67" s="47">
        <v>51.46</v>
      </c>
      <c r="G67" s="47">
        <v>0.0</v>
      </c>
      <c r="H67" s="7"/>
      <c r="I67" s="47">
        <v>1.79</v>
      </c>
      <c r="J67" s="8"/>
      <c r="K67" s="7"/>
      <c r="L67" s="7"/>
      <c r="M67" s="7"/>
      <c r="N67" s="7"/>
      <c r="O67" s="7" t="s">
        <v>490</v>
      </c>
      <c r="P67" s="7" t="s">
        <v>1760</v>
      </c>
      <c r="Q67" s="7" t="s">
        <v>1761</v>
      </c>
      <c r="R67" s="7" t="s">
        <v>1762</v>
      </c>
      <c r="S67" s="7" t="s">
        <v>493</v>
      </c>
      <c r="T67" s="65">
        <v>2832.0</v>
      </c>
      <c r="U67" s="7"/>
      <c r="V67" s="7"/>
    </row>
    <row r="68">
      <c r="A68" s="45">
        <v>45874.98173611111</v>
      </c>
      <c r="B68" s="7" t="s">
        <v>1026</v>
      </c>
      <c r="C68" s="7" t="s">
        <v>1703</v>
      </c>
      <c r="D68" s="74">
        <v>1.0</v>
      </c>
      <c r="E68" s="46"/>
      <c r="F68" s="47">
        <v>27.68</v>
      </c>
      <c r="G68" s="47">
        <v>0.0</v>
      </c>
      <c r="H68" s="7"/>
      <c r="I68" s="47">
        <v>1.1</v>
      </c>
      <c r="J68" s="8"/>
      <c r="K68" s="7"/>
      <c r="L68" s="7"/>
      <c r="M68" s="7"/>
      <c r="N68" s="7"/>
      <c r="O68" s="7" t="s">
        <v>490</v>
      </c>
      <c r="P68" s="7" t="s">
        <v>1763</v>
      </c>
      <c r="Q68" s="65">
        <v>310.0</v>
      </c>
      <c r="R68" s="7" t="s">
        <v>1030</v>
      </c>
      <c r="S68" s="7" t="s">
        <v>493</v>
      </c>
      <c r="T68" s="65">
        <v>2829.0</v>
      </c>
      <c r="U68" s="7"/>
      <c r="V68" s="7"/>
    </row>
    <row r="69">
      <c r="A69" s="45">
        <v>45874.95622685185</v>
      </c>
      <c r="B69" s="7" t="s">
        <v>242</v>
      </c>
      <c r="C69" s="7" t="s">
        <v>1703</v>
      </c>
      <c r="D69" s="74">
        <v>1.0</v>
      </c>
      <c r="E69" s="46"/>
      <c r="F69" s="47">
        <v>24.99</v>
      </c>
      <c r="G69" s="47">
        <v>0.0</v>
      </c>
      <c r="H69" s="7"/>
      <c r="I69" s="47">
        <v>1.4</v>
      </c>
      <c r="J69" s="8"/>
      <c r="K69" s="7"/>
      <c r="L69" s="7"/>
      <c r="M69" s="7"/>
      <c r="N69" s="7"/>
      <c r="O69" s="7" t="s">
        <v>490</v>
      </c>
      <c r="P69" s="7" t="s">
        <v>618</v>
      </c>
      <c r="Q69" s="7" t="s">
        <v>619</v>
      </c>
      <c r="R69" s="7" t="s">
        <v>620</v>
      </c>
      <c r="S69" s="7" t="s">
        <v>545</v>
      </c>
      <c r="T69" s="65">
        <v>2828.0</v>
      </c>
      <c r="U69" s="7"/>
      <c r="V69" s="7"/>
    </row>
    <row r="70">
      <c r="A70" s="45">
        <v>45873.97524305555</v>
      </c>
      <c r="B70" s="7" t="s">
        <v>1764</v>
      </c>
      <c r="C70" s="7" t="s">
        <v>1765</v>
      </c>
      <c r="D70" s="74">
        <v>2.0</v>
      </c>
      <c r="E70" s="46"/>
      <c r="F70" s="47">
        <v>79.67</v>
      </c>
      <c r="G70" s="47">
        <v>0.0</v>
      </c>
      <c r="H70" s="7"/>
      <c r="I70" s="47">
        <v>3.81</v>
      </c>
      <c r="J70" s="8"/>
      <c r="K70" s="7"/>
      <c r="L70" s="7"/>
      <c r="M70" s="7"/>
      <c r="N70" s="7"/>
      <c r="O70" s="7" t="s">
        <v>490</v>
      </c>
      <c r="P70" s="7"/>
      <c r="Q70" s="7"/>
      <c r="R70" s="7"/>
      <c r="S70" s="7" t="s">
        <v>545</v>
      </c>
      <c r="T70" s="65">
        <v>2826.0</v>
      </c>
      <c r="U70" s="7"/>
      <c r="V70" s="7"/>
    </row>
    <row r="71">
      <c r="A71" s="45">
        <v>45873.90895833333</v>
      </c>
      <c r="B71" s="7" t="s">
        <v>1327</v>
      </c>
      <c r="C71" s="7" t="s">
        <v>1703</v>
      </c>
      <c r="D71" s="74">
        <v>1.0</v>
      </c>
      <c r="E71" s="46"/>
      <c r="F71" s="47">
        <v>24.99</v>
      </c>
      <c r="G71" s="47">
        <v>0.0</v>
      </c>
      <c r="H71" s="7"/>
      <c r="I71" s="47">
        <v>1.4</v>
      </c>
      <c r="J71" s="8"/>
      <c r="K71" s="7"/>
      <c r="L71" s="7"/>
      <c r="M71" s="7"/>
      <c r="N71" s="7"/>
      <c r="O71" s="7" t="s">
        <v>490</v>
      </c>
      <c r="P71" s="7" t="s">
        <v>1328</v>
      </c>
      <c r="Q71" s="7"/>
      <c r="R71" s="7" t="s">
        <v>1330</v>
      </c>
      <c r="S71" s="7" t="s">
        <v>555</v>
      </c>
      <c r="T71" s="65">
        <v>2823.0</v>
      </c>
      <c r="U71" s="7"/>
      <c r="V71" s="7"/>
    </row>
    <row r="72">
      <c r="A72" s="45">
        <v>45873.905960648146</v>
      </c>
      <c r="B72" s="7" t="s">
        <v>251</v>
      </c>
      <c r="C72" s="7" t="s">
        <v>1703</v>
      </c>
      <c r="D72" s="74">
        <v>1.0</v>
      </c>
      <c r="E72" s="46"/>
      <c r="F72" s="47">
        <v>24.99</v>
      </c>
      <c r="G72" s="47">
        <v>0.0</v>
      </c>
      <c r="H72" s="7"/>
      <c r="I72" s="47">
        <v>1.4</v>
      </c>
      <c r="J72" s="8"/>
      <c r="K72" s="7"/>
      <c r="L72" s="7"/>
      <c r="M72" s="7"/>
      <c r="N72" s="7"/>
      <c r="O72" s="7" t="s">
        <v>490</v>
      </c>
      <c r="P72" s="7" t="s">
        <v>1592</v>
      </c>
      <c r="Q72" s="7" t="s">
        <v>1593</v>
      </c>
      <c r="R72" s="7" t="s">
        <v>572</v>
      </c>
      <c r="S72" s="7" t="s">
        <v>510</v>
      </c>
      <c r="T72" s="65">
        <v>2822.0</v>
      </c>
      <c r="U72" s="7"/>
      <c r="V72" s="7"/>
    </row>
    <row r="73">
      <c r="A73" s="45">
        <v>45873.80751157407</v>
      </c>
      <c r="B73" s="7" t="s">
        <v>1766</v>
      </c>
      <c r="C73" s="7" t="s">
        <v>1703</v>
      </c>
      <c r="D73" s="74">
        <v>1.0</v>
      </c>
      <c r="E73" s="46"/>
      <c r="F73" s="47">
        <v>49.87</v>
      </c>
      <c r="G73" s="47">
        <v>0.0</v>
      </c>
      <c r="H73" s="7"/>
      <c r="I73" s="47">
        <v>2.49</v>
      </c>
      <c r="J73" s="8"/>
      <c r="K73" s="7"/>
      <c r="L73" s="7"/>
      <c r="M73" s="7"/>
      <c r="N73" s="7"/>
      <c r="O73" s="7" t="s">
        <v>490</v>
      </c>
      <c r="P73" s="7" t="s">
        <v>1767</v>
      </c>
      <c r="Q73" s="7"/>
      <c r="R73" s="7" t="s">
        <v>1768</v>
      </c>
      <c r="S73" s="7" t="s">
        <v>542</v>
      </c>
      <c r="T73" s="65">
        <v>2820.0</v>
      </c>
      <c r="U73" s="7"/>
      <c r="V73" s="7"/>
    </row>
    <row r="74">
      <c r="A74" s="45">
        <v>45873.72387731481</v>
      </c>
      <c r="B74" s="7" t="s">
        <v>150</v>
      </c>
      <c r="C74" s="7" t="s">
        <v>1703</v>
      </c>
      <c r="D74" s="74">
        <v>1.0</v>
      </c>
      <c r="E74" s="46"/>
      <c r="F74" s="47">
        <v>24.99</v>
      </c>
      <c r="G74" s="47">
        <v>0.0</v>
      </c>
      <c r="H74" s="7"/>
      <c r="I74" s="47">
        <v>1.02</v>
      </c>
      <c r="J74" s="8"/>
      <c r="K74" s="7"/>
      <c r="L74" s="7"/>
      <c r="M74" s="7"/>
      <c r="N74" s="7"/>
      <c r="O74" s="7" t="s">
        <v>490</v>
      </c>
      <c r="P74" s="7" t="s">
        <v>768</v>
      </c>
      <c r="Q74" s="7"/>
      <c r="R74" s="7" t="s">
        <v>769</v>
      </c>
      <c r="S74" s="7" t="s">
        <v>493</v>
      </c>
      <c r="T74" s="65">
        <v>2819.0</v>
      </c>
      <c r="U74" s="7"/>
      <c r="V74" s="7"/>
    </row>
    <row r="75">
      <c r="A75" s="45">
        <v>45873.70060185185</v>
      </c>
      <c r="B75" s="7" t="s">
        <v>930</v>
      </c>
      <c r="C75" s="7" t="s">
        <v>1703</v>
      </c>
      <c r="D75" s="74">
        <v>1.0</v>
      </c>
      <c r="E75" s="46"/>
      <c r="F75" s="47">
        <v>24.99</v>
      </c>
      <c r="G75" s="47">
        <v>0.0</v>
      </c>
      <c r="H75" s="7"/>
      <c r="I75" s="47">
        <v>1.4</v>
      </c>
      <c r="J75" s="8"/>
      <c r="K75" s="7"/>
      <c r="L75" s="7"/>
      <c r="M75" s="7"/>
      <c r="N75" s="7"/>
      <c r="O75" s="7" t="s">
        <v>490</v>
      </c>
      <c r="P75" s="7" t="s">
        <v>931</v>
      </c>
      <c r="Q75" s="7"/>
      <c r="R75" s="7" t="s">
        <v>932</v>
      </c>
      <c r="S75" s="7" t="s">
        <v>1175</v>
      </c>
      <c r="T75" s="65">
        <v>2818.0</v>
      </c>
      <c r="U75" s="7"/>
      <c r="V75" s="7"/>
    </row>
    <row r="76">
      <c r="A76" s="45">
        <v>45873.627337962964</v>
      </c>
      <c r="B76" s="7" t="s">
        <v>1216</v>
      </c>
      <c r="C76" s="7" t="s">
        <v>1703</v>
      </c>
      <c r="D76" s="74">
        <v>1.0</v>
      </c>
      <c r="E76" s="46"/>
      <c r="F76" s="47">
        <v>38.23</v>
      </c>
      <c r="G76" s="47">
        <v>0.0</v>
      </c>
      <c r="H76" s="7"/>
      <c r="I76" s="47">
        <v>1.41</v>
      </c>
      <c r="J76" s="8"/>
      <c r="K76" s="7"/>
      <c r="L76" s="7"/>
      <c r="M76" s="7"/>
      <c r="N76" s="7"/>
      <c r="O76" s="7" t="s">
        <v>490</v>
      </c>
      <c r="P76" s="7" t="s">
        <v>1217</v>
      </c>
      <c r="Q76" s="7"/>
      <c r="R76" s="7" t="s">
        <v>1769</v>
      </c>
      <c r="S76" s="7" t="s">
        <v>493</v>
      </c>
      <c r="T76" s="65">
        <v>2817.0</v>
      </c>
      <c r="U76" s="7"/>
      <c r="V76" s="7"/>
    </row>
    <row r="77">
      <c r="A77" s="45">
        <v>45873.61960648148</v>
      </c>
      <c r="B77" s="7" t="s">
        <v>1244</v>
      </c>
      <c r="C77" s="7" t="s">
        <v>1703</v>
      </c>
      <c r="D77" s="74">
        <v>1.0</v>
      </c>
      <c r="E77" s="46"/>
      <c r="F77" s="47">
        <v>24.99</v>
      </c>
      <c r="G77" s="47">
        <v>0.0</v>
      </c>
      <c r="H77" s="7"/>
      <c r="I77" s="47">
        <v>1.4</v>
      </c>
      <c r="J77" s="8"/>
      <c r="K77" s="7"/>
      <c r="L77" s="7"/>
      <c r="M77" s="7"/>
      <c r="N77" s="7"/>
      <c r="O77" s="7" t="s">
        <v>490</v>
      </c>
      <c r="P77" s="7" t="s">
        <v>1770</v>
      </c>
      <c r="Q77" s="7"/>
      <c r="R77" s="7" t="s">
        <v>1771</v>
      </c>
      <c r="S77" s="7" t="s">
        <v>542</v>
      </c>
      <c r="T77" s="65">
        <v>2816.0</v>
      </c>
      <c r="U77" s="7"/>
      <c r="V77" s="7"/>
    </row>
    <row r="78">
      <c r="A78" s="45">
        <v>45873.52788194444</v>
      </c>
      <c r="B78" s="7" t="s">
        <v>423</v>
      </c>
      <c r="C78" s="7" t="s">
        <v>1703</v>
      </c>
      <c r="D78" s="74">
        <v>1.0</v>
      </c>
      <c r="E78" s="46"/>
      <c r="F78" s="47">
        <v>24.99</v>
      </c>
      <c r="G78" s="47">
        <v>0.0</v>
      </c>
      <c r="H78" s="7"/>
      <c r="I78" s="47">
        <v>1.4</v>
      </c>
      <c r="J78" s="8"/>
      <c r="K78" s="7"/>
      <c r="L78" s="7"/>
      <c r="M78" s="7"/>
      <c r="N78" s="7"/>
      <c r="O78" s="7" t="s">
        <v>490</v>
      </c>
      <c r="P78" s="7" t="s">
        <v>1445</v>
      </c>
      <c r="Q78" s="7"/>
      <c r="R78" s="7" t="s">
        <v>541</v>
      </c>
      <c r="S78" s="7" t="s">
        <v>542</v>
      </c>
      <c r="T78" s="65">
        <v>2815.0</v>
      </c>
      <c r="U78" s="7"/>
      <c r="V78" s="7"/>
    </row>
    <row r="79">
      <c r="A79" s="45">
        <v>45873.503287037034</v>
      </c>
      <c r="B79" s="7" t="s">
        <v>1511</v>
      </c>
      <c r="C79" s="7" t="s">
        <v>1703</v>
      </c>
      <c r="D79" s="74">
        <v>1.0</v>
      </c>
      <c r="E79" s="46"/>
      <c r="F79" s="47">
        <v>24.99</v>
      </c>
      <c r="G79" s="47">
        <v>0.0</v>
      </c>
      <c r="H79" s="7"/>
      <c r="I79" s="47">
        <v>1.4</v>
      </c>
      <c r="J79" s="8"/>
      <c r="K79" s="7"/>
      <c r="L79" s="7"/>
      <c r="M79" s="7"/>
      <c r="N79" s="7"/>
      <c r="O79" s="7" t="s">
        <v>490</v>
      </c>
      <c r="P79" s="7" t="s">
        <v>681</v>
      </c>
      <c r="Q79" s="7" t="s">
        <v>682</v>
      </c>
      <c r="R79" s="7" t="s">
        <v>683</v>
      </c>
      <c r="S79" s="7" t="s">
        <v>684</v>
      </c>
      <c r="T79" s="65">
        <v>2814.0</v>
      </c>
      <c r="U79" s="7"/>
      <c r="V79" s="7"/>
    </row>
    <row r="80">
      <c r="A80" s="45">
        <v>45873.334548611114</v>
      </c>
      <c r="B80" s="7" t="s">
        <v>148</v>
      </c>
      <c r="C80" s="7" t="s">
        <v>1703</v>
      </c>
      <c r="D80" s="74">
        <v>1.0</v>
      </c>
      <c r="E80" s="46"/>
      <c r="F80" s="47">
        <v>24.99</v>
      </c>
      <c r="G80" s="47">
        <v>0.0</v>
      </c>
      <c r="H80" s="7"/>
      <c r="I80" s="47">
        <v>1.02</v>
      </c>
      <c r="J80" s="8"/>
      <c r="K80" s="7"/>
      <c r="L80" s="7"/>
      <c r="M80" s="7"/>
      <c r="N80" s="7"/>
      <c r="O80" s="7" t="s">
        <v>490</v>
      </c>
      <c r="P80" s="7" t="s">
        <v>1140</v>
      </c>
      <c r="Q80" s="7"/>
      <c r="R80" s="7" t="s">
        <v>1141</v>
      </c>
      <c r="S80" s="7" t="s">
        <v>493</v>
      </c>
      <c r="T80" s="65">
        <v>2812.0</v>
      </c>
      <c r="U80" s="7"/>
      <c r="V80" s="7"/>
    </row>
    <row r="81">
      <c r="A81" s="45">
        <v>45873.288136574076</v>
      </c>
      <c r="B81" s="7" t="s">
        <v>827</v>
      </c>
      <c r="C81" s="7" t="s">
        <v>1703</v>
      </c>
      <c r="D81" s="74">
        <v>1.0</v>
      </c>
      <c r="E81" s="46"/>
      <c r="F81" s="47">
        <v>24.99</v>
      </c>
      <c r="G81" s="47">
        <v>0.0</v>
      </c>
      <c r="H81" s="7"/>
      <c r="I81" s="47">
        <v>1.4</v>
      </c>
      <c r="J81" s="8"/>
      <c r="K81" s="7"/>
      <c r="L81" s="7"/>
      <c r="M81" s="7"/>
      <c r="N81" s="7"/>
      <c r="O81" s="7" t="s">
        <v>490</v>
      </c>
      <c r="P81" s="7" t="s">
        <v>828</v>
      </c>
      <c r="Q81" s="7" t="s">
        <v>829</v>
      </c>
      <c r="R81" s="7" t="s">
        <v>830</v>
      </c>
      <c r="S81" s="7" t="s">
        <v>542</v>
      </c>
      <c r="T81" s="65">
        <v>2811.0</v>
      </c>
      <c r="U81" s="7"/>
      <c r="V81" s="7"/>
    </row>
    <row r="82">
      <c r="A82" s="45">
        <v>45873.27545138889</v>
      </c>
      <c r="B82" s="7" t="s">
        <v>911</v>
      </c>
      <c r="C82" s="7" t="s">
        <v>1703</v>
      </c>
      <c r="D82" s="74">
        <v>1.0</v>
      </c>
      <c r="E82" s="46"/>
      <c r="F82" s="47">
        <v>26.49</v>
      </c>
      <c r="G82" s="47">
        <v>0.0</v>
      </c>
      <c r="H82" s="7"/>
      <c r="I82" s="47">
        <v>1.07</v>
      </c>
      <c r="J82" s="8"/>
      <c r="K82" s="7"/>
      <c r="L82" s="7"/>
      <c r="M82" s="7"/>
      <c r="N82" s="7"/>
      <c r="O82" s="7" t="s">
        <v>490</v>
      </c>
      <c r="P82" s="7" t="s">
        <v>912</v>
      </c>
      <c r="Q82" s="7"/>
      <c r="R82" s="7" t="s">
        <v>913</v>
      </c>
      <c r="S82" s="7" t="s">
        <v>493</v>
      </c>
      <c r="T82" s="65">
        <v>2810.0</v>
      </c>
      <c r="U82" s="7"/>
      <c r="V82" s="7"/>
    </row>
    <row r="83">
      <c r="A83" s="45">
        <v>45873.16633101852</v>
      </c>
      <c r="B83" s="7" t="s">
        <v>1772</v>
      </c>
      <c r="C83" s="7" t="s">
        <v>1703</v>
      </c>
      <c r="D83" s="74">
        <v>1.0</v>
      </c>
      <c r="E83" s="46"/>
      <c r="F83" s="47">
        <v>34.46</v>
      </c>
      <c r="G83" s="47">
        <v>0.0</v>
      </c>
      <c r="H83" s="7"/>
      <c r="I83" s="47">
        <v>1.3</v>
      </c>
      <c r="J83" s="8"/>
      <c r="K83" s="7"/>
      <c r="L83" s="7"/>
      <c r="M83" s="7"/>
      <c r="N83" s="7"/>
      <c r="O83" s="7" t="s">
        <v>490</v>
      </c>
      <c r="P83" s="7" t="s">
        <v>1773</v>
      </c>
      <c r="Q83" s="7"/>
      <c r="R83" s="7" t="s">
        <v>1774</v>
      </c>
      <c r="S83" s="7" t="s">
        <v>493</v>
      </c>
      <c r="T83" s="65">
        <v>2809.0</v>
      </c>
      <c r="U83" s="7"/>
      <c r="V83" s="7"/>
    </row>
    <row r="84">
      <c r="A84" s="45">
        <v>45873.14671296296</v>
      </c>
      <c r="B84" s="7" t="s">
        <v>559</v>
      </c>
      <c r="C84" s="7" t="s">
        <v>1703</v>
      </c>
      <c r="D84" s="74">
        <v>1.0</v>
      </c>
      <c r="E84" s="46"/>
      <c r="F84" s="47">
        <v>24.99</v>
      </c>
      <c r="G84" s="47">
        <v>0.0</v>
      </c>
      <c r="H84" s="7"/>
      <c r="I84" s="47">
        <v>1.4</v>
      </c>
      <c r="J84" s="8"/>
      <c r="K84" s="7"/>
      <c r="L84" s="7"/>
      <c r="M84" s="7"/>
      <c r="N84" s="7"/>
      <c r="O84" s="7" t="s">
        <v>490</v>
      </c>
      <c r="P84" s="7" t="s">
        <v>1775</v>
      </c>
      <c r="Q84" s="7"/>
      <c r="R84" s="7" t="s">
        <v>1776</v>
      </c>
      <c r="S84" s="7" t="s">
        <v>560</v>
      </c>
      <c r="T84" s="65">
        <v>2808.0</v>
      </c>
      <c r="U84" s="7"/>
      <c r="V84" s="7"/>
    </row>
    <row r="85">
      <c r="A85" s="45">
        <v>45873.13085648148</v>
      </c>
      <c r="B85" s="7" t="s">
        <v>1110</v>
      </c>
      <c r="C85" s="7" t="s">
        <v>1703</v>
      </c>
      <c r="D85" s="74">
        <v>1.0</v>
      </c>
      <c r="E85" s="46"/>
      <c r="F85" s="47">
        <v>37.15</v>
      </c>
      <c r="G85" s="47">
        <v>0.0</v>
      </c>
      <c r="H85" s="7"/>
      <c r="I85" s="47">
        <v>1.38</v>
      </c>
      <c r="J85" s="8"/>
      <c r="K85" s="7"/>
      <c r="L85" s="7"/>
      <c r="M85" s="7"/>
      <c r="N85" s="7"/>
      <c r="O85" s="7" t="s">
        <v>490</v>
      </c>
      <c r="P85" s="7" t="s">
        <v>1111</v>
      </c>
      <c r="Q85" s="7"/>
      <c r="R85" s="7" t="s">
        <v>1112</v>
      </c>
      <c r="S85" s="7" t="s">
        <v>493</v>
      </c>
      <c r="T85" s="65">
        <v>2806.0</v>
      </c>
      <c r="U85" s="7"/>
      <c r="V85" s="7"/>
    </row>
    <row r="86">
      <c r="A86" s="45">
        <v>45873.09239583334</v>
      </c>
      <c r="B86" s="7" t="s">
        <v>831</v>
      </c>
      <c r="C86" s="7" t="s">
        <v>1703</v>
      </c>
      <c r="D86" s="74">
        <v>1.0</v>
      </c>
      <c r="E86" s="46"/>
      <c r="F86" s="47">
        <v>24.99</v>
      </c>
      <c r="G86" s="47">
        <v>0.0</v>
      </c>
      <c r="H86" s="7"/>
      <c r="I86" s="47">
        <v>1.02</v>
      </c>
      <c r="J86" s="8"/>
      <c r="K86" s="7"/>
      <c r="L86" s="7"/>
      <c r="M86" s="7"/>
      <c r="N86" s="7"/>
      <c r="O86" s="7" t="s">
        <v>490</v>
      </c>
      <c r="P86" s="7" t="s">
        <v>832</v>
      </c>
      <c r="Q86" s="7" t="s">
        <v>833</v>
      </c>
      <c r="R86" s="7" t="s">
        <v>834</v>
      </c>
      <c r="S86" s="7" t="s">
        <v>493</v>
      </c>
      <c r="T86" s="65">
        <v>2805.0</v>
      </c>
      <c r="U86" s="7"/>
      <c r="V86" s="7"/>
    </row>
    <row r="87">
      <c r="A87" s="45">
        <v>45873.057592592595</v>
      </c>
      <c r="B87" s="7" t="s">
        <v>369</v>
      </c>
      <c r="C87" s="7" t="s">
        <v>1703</v>
      </c>
      <c r="D87" s="74">
        <v>1.0</v>
      </c>
      <c r="E87" s="46"/>
      <c r="F87" s="47">
        <v>38.23</v>
      </c>
      <c r="G87" s="47">
        <v>0.0</v>
      </c>
      <c r="H87" s="7"/>
      <c r="I87" s="47">
        <v>1.41</v>
      </c>
      <c r="J87" s="8"/>
      <c r="K87" s="7"/>
      <c r="L87" s="7"/>
      <c r="M87" s="7"/>
      <c r="N87" s="7"/>
      <c r="O87" s="7" t="s">
        <v>490</v>
      </c>
      <c r="P87" s="7" t="s">
        <v>845</v>
      </c>
      <c r="Q87" s="7"/>
      <c r="R87" s="7" t="s">
        <v>846</v>
      </c>
      <c r="S87" s="7" t="s">
        <v>493</v>
      </c>
      <c r="T87" s="65">
        <v>2801.0</v>
      </c>
      <c r="U87" s="7"/>
      <c r="V87" s="7"/>
    </row>
    <row r="88">
      <c r="A88" s="45">
        <v>45873.05216435185</v>
      </c>
      <c r="B88" s="7" t="s">
        <v>1777</v>
      </c>
      <c r="C88" s="7" t="s">
        <v>1703</v>
      </c>
      <c r="D88" s="74">
        <v>1.0</v>
      </c>
      <c r="E88" s="46"/>
      <c r="F88" s="47">
        <v>24.99</v>
      </c>
      <c r="G88" s="47">
        <v>0.0</v>
      </c>
      <c r="H88" s="7"/>
      <c r="I88" s="47">
        <v>1.4</v>
      </c>
      <c r="J88" s="8"/>
      <c r="K88" s="7"/>
      <c r="L88" s="7"/>
      <c r="M88" s="7"/>
      <c r="N88" s="7"/>
      <c r="O88" s="7" t="s">
        <v>490</v>
      </c>
      <c r="P88" s="7" t="s">
        <v>896</v>
      </c>
      <c r="Q88" s="7"/>
      <c r="R88" s="7" t="s">
        <v>897</v>
      </c>
      <c r="S88" s="7" t="s">
        <v>542</v>
      </c>
      <c r="T88" s="65">
        <v>2800.0</v>
      </c>
      <c r="U88" s="7"/>
      <c r="V88" s="7"/>
    </row>
    <row r="89">
      <c r="A89" s="45">
        <v>45873.048055555555</v>
      </c>
      <c r="B89" s="7" t="s">
        <v>392</v>
      </c>
      <c r="C89" s="7" t="s">
        <v>1703</v>
      </c>
      <c r="D89" s="74">
        <v>1.0</v>
      </c>
      <c r="E89" s="46"/>
      <c r="F89" s="47">
        <v>24.99</v>
      </c>
      <c r="G89" s="47">
        <v>0.0</v>
      </c>
      <c r="H89" s="7"/>
      <c r="I89" s="47">
        <v>1.02</v>
      </c>
      <c r="J89" s="8"/>
      <c r="K89" s="7"/>
      <c r="L89" s="7"/>
      <c r="M89" s="7"/>
      <c r="N89" s="7"/>
      <c r="O89" s="7" t="s">
        <v>490</v>
      </c>
      <c r="P89" s="7" t="s">
        <v>1133</v>
      </c>
      <c r="Q89" s="7" t="s">
        <v>1134</v>
      </c>
      <c r="R89" s="7" t="s">
        <v>947</v>
      </c>
      <c r="S89" s="7" t="s">
        <v>493</v>
      </c>
      <c r="T89" s="65">
        <v>2799.0</v>
      </c>
      <c r="U89" s="7"/>
      <c r="V89" s="7"/>
    </row>
    <row r="90">
      <c r="A90" s="45">
        <v>45873.04589120371</v>
      </c>
      <c r="B90" s="7" t="s">
        <v>1663</v>
      </c>
      <c r="C90" s="7" t="s">
        <v>1703</v>
      </c>
      <c r="D90" s="74">
        <v>1.0</v>
      </c>
      <c r="E90" s="46"/>
      <c r="F90" s="47">
        <v>24.99</v>
      </c>
      <c r="G90" s="47">
        <v>0.0</v>
      </c>
      <c r="H90" s="7"/>
      <c r="I90" s="47">
        <v>1.4</v>
      </c>
      <c r="J90" s="8"/>
      <c r="K90" s="7"/>
      <c r="L90" s="7"/>
      <c r="M90" s="7"/>
      <c r="N90" s="7"/>
      <c r="O90" s="7" t="s">
        <v>490</v>
      </c>
      <c r="P90" s="7" t="s">
        <v>1322</v>
      </c>
      <c r="Q90" s="7"/>
      <c r="R90" s="7" t="s">
        <v>1664</v>
      </c>
      <c r="S90" s="7" t="s">
        <v>542</v>
      </c>
      <c r="T90" s="65">
        <v>2798.0</v>
      </c>
      <c r="U90" s="7"/>
      <c r="V90" s="7"/>
    </row>
    <row r="91">
      <c r="A91" s="45">
        <v>45872.57346064815</v>
      </c>
      <c r="B91" s="7" t="s">
        <v>1778</v>
      </c>
      <c r="C91" s="7" t="s">
        <v>1703</v>
      </c>
      <c r="D91" s="74">
        <v>1.0</v>
      </c>
      <c r="E91" s="46"/>
      <c r="F91" s="47">
        <v>34.46</v>
      </c>
      <c r="G91" s="47">
        <v>0.0</v>
      </c>
      <c r="H91" s="7"/>
      <c r="I91" s="47">
        <v>1.82</v>
      </c>
      <c r="J91" s="8"/>
      <c r="K91" s="7"/>
      <c r="L91" s="7"/>
      <c r="M91" s="7"/>
      <c r="N91" s="7"/>
      <c r="O91" s="7" t="s">
        <v>490</v>
      </c>
      <c r="P91" s="7"/>
      <c r="Q91" s="7"/>
      <c r="R91" s="7"/>
      <c r="S91" s="7" t="s">
        <v>545</v>
      </c>
      <c r="T91" s="65">
        <v>2792.0</v>
      </c>
      <c r="U91" s="7"/>
      <c r="V91" s="7"/>
    </row>
    <row r="92">
      <c r="A92" s="45">
        <v>45872.481886574074</v>
      </c>
      <c r="B92" s="7" t="s">
        <v>1135</v>
      </c>
      <c r="C92" s="7" t="s">
        <v>1703</v>
      </c>
      <c r="D92" s="74">
        <v>1.0</v>
      </c>
      <c r="E92" s="46"/>
      <c r="F92" s="47">
        <v>24.99</v>
      </c>
      <c r="G92" s="47">
        <v>0.0</v>
      </c>
      <c r="H92" s="7"/>
      <c r="I92" s="47">
        <v>1.4</v>
      </c>
      <c r="J92" s="8"/>
      <c r="K92" s="7"/>
      <c r="L92" s="7"/>
      <c r="M92" s="7"/>
      <c r="N92" s="7"/>
      <c r="O92" s="7" t="s">
        <v>490</v>
      </c>
      <c r="P92" s="7" t="s">
        <v>1136</v>
      </c>
      <c r="Q92" s="7"/>
      <c r="R92" s="7" t="s">
        <v>1137</v>
      </c>
      <c r="S92" s="7" t="s">
        <v>525</v>
      </c>
      <c r="T92" s="65">
        <v>2787.0</v>
      </c>
      <c r="U92" s="7"/>
      <c r="V92" s="7"/>
    </row>
    <row r="93">
      <c r="A93" s="45">
        <v>45872.467523148145</v>
      </c>
      <c r="B93" s="7" t="s">
        <v>1096</v>
      </c>
      <c r="C93" s="7" t="s">
        <v>1703</v>
      </c>
      <c r="D93" s="74">
        <v>1.0</v>
      </c>
      <c r="E93" s="46"/>
      <c r="F93" s="47">
        <v>24.99</v>
      </c>
      <c r="G93" s="47">
        <v>0.0</v>
      </c>
      <c r="H93" s="7"/>
      <c r="I93" s="47">
        <v>1.02</v>
      </c>
      <c r="J93" s="8"/>
      <c r="K93" s="7"/>
      <c r="L93" s="7"/>
      <c r="M93" s="7"/>
      <c r="N93" s="7"/>
      <c r="O93" s="7" t="s">
        <v>490</v>
      </c>
      <c r="P93" s="7" t="s">
        <v>1097</v>
      </c>
      <c r="Q93" s="7"/>
      <c r="R93" s="7" t="s">
        <v>1098</v>
      </c>
      <c r="S93" s="7" t="s">
        <v>493</v>
      </c>
      <c r="T93" s="65">
        <v>2786.0</v>
      </c>
      <c r="U93" s="7"/>
      <c r="V93" s="7"/>
    </row>
    <row r="94">
      <c r="A94" s="45">
        <v>45872.2590625</v>
      </c>
      <c r="B94" s="7" t="s">
        <v>216</v>
      </c>
      <c r="C94" s="7" t="s">
        <v>1703</v>
      </c>
      <c r="D94" s="74">
        <v>1.0</v>
      </c>
      <c r="E94" s="46"/>
      <c r="F94" s="47">
        <v>24.99</v>
      </c>
      <c r="G94" s="47">
        <v>0.0</v>
      </c>
      <c r="H94" s="7"/>
      <c r="I94" s="47">
        <v>1.4</v>
      </c>
      <c r="J94" s="8"/>
      <c r="K94" s="7"/>
      <c r="L94" s="7"/>
      <c r="M94" s="7"/>
      <c r="N94" s="7"/>
      <c r="O94" s="7" t="s">
        <v>490</v>
      </c>
      <c r="P94" s="7" t="s">
        <v>1779</v>
      </c>
      <c r="Q94" s="65">
        <v>27.0</v>
      </c>
      <c r="R94" s="7" t="s">
        <v>1525</v>
      </c>
      <c r="S94" s="7" t="s">
        <v>525</v>
      </c>
      <c r="T94" s="65">
        <v>2780.0</v>
      </c>
      <c r="U94" s="7"/>
      <c r="V94" s="7"/>
    </row>
    <row r="95">
      <c r="A95" s="45">
        <v>45872.07136574074</v>
      </c>
      <c r="B95" s="7" t="s">
        <v>243</v>
      </c>
      <c r="C95" s="7" t="s">
        <v>1703</v>
      </c>
      <c r="D95" s="74">
        <v>1.0</v>
      </c>
      <c r="E95" s="46"/>
      <c r="F95" s="47">
        <v>24.99</v>
      </c>
      <c r="G95" s="47">
        <v>0.0</v>
      </c>
      <c r="H95" s="7"/>
      <c r="I95" s="47">
        <v>1.02</v>
      </c>
      <c r="J95" s="8"/>
      <c r="K95" s="7"/>
      <c r="L95" s="7"/>
      <c r="M95" s="7"/>
      <c r="N95" s="7"/>
      <c r="O95" s="7" t="s">
        <v>490</v>
      </c>
      <c r="P95" s="7" t="s">
        <v>739</v>
      </c>
      <c r="Q95" s="7"/>
      <c r="R95" s="7" t="s">
        <v>740</v>
      </c>
      <c r="S95" s="7" t="s">
        <v>493</v>
      </c>
      <c r="T95" s="65">
        <v>2778.0</v>
      </c>
      <c r="U95" s="7"/>
      <c r="V95" s="7"/>
    </row>
    <row r="96">
      <c r="A96" s="45">
        <v>45872.06151620371</v>
      </c>
      <c r="B96" s="7" t="s">
        <v>233</v>
      </c>
      <c r="C96" s="7" t="s">
        <v>1703</v>
      </c>
      <c r="D96" s="74">
        <v>1.0</v>
      </c>
      <c r="E96" s="46"/>
      <c r="F96" s="47">
        <v>24.99</v>
      </c>
      <c r="G96" s="47">
        <v>0.0</v>
      </c>
      <c r="H96" s="7"/>
      <c r="I96" s="47">
        <v>1.02</v>
      </c>
      <c r="J96" s="8"/>
      <c r="K96" s="7"/>
      <c r="L96" s="7"/>
      <c r="M96" s="7"/>
      <c r="N96" s="7"/>
      <c r="O96" s="7" t="s">
        <v>490</v>
      </c>
      <c r="P96" s="7" t="s">
        <v>795</v>
      </c>
      <c r="Q96" s="7"/>
      <c r="R96" s="7" t="s">
        <v>796</v>
      </c>
      <c r="S96" s="7" t="s">
        <v>493</v>
      </c>
      <c r="T96" s="65">
        <v>2777.0</v>
      </c>
      <c r="U96" s="7"/>
      <c r="V96" s="7"/>
    </row>
    <row r="97">
      <c r="A97" s="45">
        <v>45871.85178240741</v>
      </c>
      <c r="B97" s="7" t="s">
        <v>364</v>
      </c>
      <c r="C97" s="7" t="s">
        <v>1703</v>
      </c>
      <c r="D97" s="74">
        <v>1.0</v>
      </c>
      <c r="E97" s="46"/>
      <c r="F97" s="47">
        <v>24.99</v>
      </c>
      <c r="G97" s="47">
        <v>0.0</v>
      </c>
      <c r="H97" s="7"/>
      <c r="I97" s="47">
        <v>1.4</v>
      </c>
      <c r="J97" s="8"/>
      <c r="K97" s="7"/>
      <c r="L97" s="7"/>
      <c r="M97" s="7"/>
      <c r="N97" s="7"/>
      <c r="O97" s="7" t="s">
        <v>490</v>
      </c>
      <c r="P97" s="7" t="s">
        <v>855</v>
      </c>
      <c r="Q97" s="7" t="s">
        <v>855</v>
      </c>
      <c r="R97" s="7" t="s">
        <v>856</v>
      </c>
      <c r="S97" s="7" t="s">
        <v>545</v>
      </c>
      <c r="T97" s="65">
        <v>2774.0</v>
      </c>
      <c r="U97" s="7"/>
      <c r="V97" s="7"/>
    </row>
    <row r="98">
      <c r="A98" s="45">
        <v>45871.663460648146</v>
      </c>
      <c r="B98" s="7" t="s">
        <v>1780</v>
      </c>
      <c r="C98" s="7" t="s">
        <v>1703</v>
      </c>
      <c r="D98" s="74">
        <v>1.0</v>
      </c>
      <c r="E98" s="46"/>
      <c r="F98" s="47">
        <v>24.99</v>
      </c>
      <c r="G98" s="47">
        <v>0.0</v>
      </c>
      <c r="H98" s="7"/>
      <c r="I98" s="47">
        <v>1.02</v>
      </c>
      <c r="J98" s="8"/>
      <c r="K98" s="7"/>
      <c r="L98" s="7"/>
      <c r="M98" s="7"/>
      <c r="N98" s="7"/>
      <c r="O98" s="7" t="s">
        <v>490</v>
      </c>
      <c r="P98" s="7" t="s">
        <v>1781</v>
      </c>
      <c r="Q98" s="7"/>
      <c r="R98" s="7" t="s">
        <v>818</v>
      </c>
      <c r="S98" s="7" t="s">
        <v>493</v>
      </c>
      <c r="T98" s="65">
        <v>2771.0</v>
      </c>
      <c r="U98" s="7"/>
      <c r="V98" s="7"/>
    </row>
    <row r="99">
      <c r="A99" s="45">
        <v>45871.639502314814</v>
      </c>
      <c r="B99" s="7" t="s">
        <v>293</v>
      </c>
      <c r="C99" s="7" t="s">
        <v>1703</v>
      </c>
      <c r="D99" s="74">
        <v>1.0</v>
      </c>
      <c r="E99" s="46"/>
      <c r="F99" s="47">
        <v>24.99</v>
      </c>
      <c r="G99" s="47">
        <v>0.0</v>
      </c>
      <c r="H99" s="7"/>
      <c r="I99" s="47">
        <v>1.4</v>
      </c>
      <c r="J99" s="8"/>
      <c r="K99" s="7"/>
      <c r="L99" s="7"/>
      <c r="M99" s="7"/>
      <c r="N99" s="7"/>
      <c r="O99" s="7" t="s">
        <v>490</v>
      </c>
      <c r="P99" s="7" t="s">
        <v>1579</v>
      </c>
      <c r="Q99" s="7" t="s">
        <v>1580</v>
      </c>
      <c r="R99" s="7" t="s">
        <v>1581</v>
      </c>
      <c r="S99" s="7" t="s">
        <v>542</v>
      </c>
      <c r="T99" s="65">
        <v>2770.0</v>
      </c>
      <c r="U99" s="7"/>
      <c r="V99" s="7"/>
    </row>
    <row r="100">
      <c r="A100" s="45">
        <v>45871.63570601852</v>
      </c>
      <c r="B100" s="7" t="s">
        <v>987</v>
      </c>
      <c r="C100" s="7" t="s">
        <v>1703</v>
      </c>
      <c r="D100" s="74">
        <v>1.0</v>
      </c>
      <c r="E100" s="46"/>
      <c r="F100" s="47">
        <v>24.99</v>
      </c>
      <c r="G100" s="47">
        <v>0.0</v>
      </c>
      <c r="H100" s="7"/>
      <c r="I100" s="47">
        <v>1.02</v>
      </c>
      <c r="J100" s="8"/>
      <c r="K100" s="7"/>
      <c r="L100" s="7"/>
      <c r="M100" s="7"/>
      <c r="N100" s="7"/>
      <c r="O100" s="7" t="s">
        <v>490</v>
      </c>
      <c r="P100" s="7" t="s">
        <v>988</v>
      </c>
      <c r="Q100" s="7"/>
      <c r="R100" s="7" t="s">
        <v>989</v>
      </c>
      <c r="S100" s="7" t="s">
        <v>493</v>
      </c>
      <c r="T100" s="65">
        <v>2769.0</v>
      </c>
      <c r="U100" s="7"/>
      <c r="V100" s="7"/>
    </row>
    <row r="101">
      <c r="A101" s="45">
        <v>45871.58268518518</v>
      </c>
      <c r="B101" s="7" t="s">
        <v>1057</v>
      </c>
      <c r="C101" s="7" t="s">
        <v>1703</v>
      </c>
      <c r="D101" s="74">
        <v>1.0</v>
      </c>
      <c r="E101" s="46"/>
      <c r="F101" s="47">
        <v>24.99</v>
      </c>
      <c r="G101" s="47">
        <v>0.0</v>
      </c>
      <c r="H101" s="7"/>
      <c r="I101" s="47">
        <v>1.4</v>
      </c>
      <c r="J101" s="8"/>
      <c r="K101" s="7"/>
      <c r="L101" s="7"/>
      <c r="M101" s="7"/>
      <c r="N101" s="7"/>
      <c r="O101" s="7" t="s">
        <v>490</v>
      </c>
      <c r="P101" s="7" t="s">
        <v>1058</v>
      </c>
      <c r="Q101" s="7"/>
      <c r="R101" s="7" t="s">
        <v>1059</v>
      </c>
      <c r="S101" s="7" t="s">
        <v>545</v>
      </c>
      <c r="T101" s="65">
        <v>2767.0</v>
      </c>
      <c r="U101" s="7"/>
      <c r="V101" s="7"/>
    </row>
    <row r="102">
      <c r="A102" s="45">
        <v>45871.50363425926</v>
      </c>
      <c r="B102" s="7" t="s">
        <v>132</v>
      </c>
      <c r="C102" s="7" t="s">
        <v>1703</v>
      </c>
      <c r="D102" s="74">
        <v>1.0</v>
      </c>
      <c r="E102" s="46"/>
      <c r="F102" s="47">
        <v>24.99</v>
      </c>
      <c r="G102" s="47">
        <v>0.0</v>
      </c>
      <c r="H102" s="7"/>
      <c r="I102" s="47">
        <v>1.4</v>
      </c>
      <c r="J102" s="8"/>
      <c r="K102" s="7"/>
      <c r="L102" s="7"/>
      <c r="M102" s="7"/>
      <c r="N102" s="7"/>
      <c r="O102" s="7" t="s">
        <v>490</v>
      </c>
      <c r="P102" s="7" t="s">
        <v>821</v>
      </c>
      <c r="Q102" s="7"/>
      <c r="R102" s="7" t="s">
        <v>822</v>
      </c>
      <c r="S102" s="7" t="s">
        <v>823</v>
      </c>
      <c r="T102" s="65">
        <v>2766.0</v>
      </c>
      <c r="U102" s="7"/>
      <c r="V102" s="7"/>
    </row>
    <row r="103">
      <c r="A103" s="45">
        <v>45871.433969907404</v>
      </c>
      <c r="B103" s="7" t="s">
        <v>1250</v>
      </c>
      <c r="C103" s="7" t="s">
        <v>1703</v>
      </c>
      <c r="D103" s="74">
        <v>1.0</v>
      </c>
      <c r="E103" s="46"/>
      <c r="F103" s="47">
        <v>24.99</v>
      </c>
      <c r="G103" s="47">
        <v>0.0</v>
      </c>
      <c r="H103" s="7"/>
      <c r="I103" s="47">
        <v>1.4</v>
      </c>
      <c r="J103" s="8"/>
      <c r="K103" s="7"/>
      <c r="L103" s="7"/>
      <c r="M103" s="7"/>
      <c r="N103" s="7"/>
      <c r="O103" s="7" t="s">
        <v>490</v>
      </c>
      <c r="P103" s="7" t="s">
        <v>1622</v>
      </c>
      <c r="Q103" s="7"/>
      <c r="R103" s="7" t="s">
        <v>1252</v>
      </c>
      <c r="S103" s="7" t="s">
        <v>525</v>
      </c>
      <c r="T103" s="65">
        <v>2764.0</v>
      </c>
      <c r="U103" s="7"/>
      <c r="V103" s="7"/>
    </row>
    <row r="104">
      <c r="A104" s="45">
        <v>45871.38820601852</v>
      </c>
      <c r="B104" s="7" t="s">
        <v>108</v>
      </c>
      <c r="C104" s="7" t="s">
        <v>1703</v>
      </c>
      <c r="D104" s="74">
        <v>1.0</v>
      </c>
      <c r="E104" s="46"/>
      <c r="F104" s="47">
        <v>24.99</v>
      </c>
      <c r="G104" s="47">
        <v>0.0</v>
      </c>
      <c r="H104" s="7"/>
      <c r="I104" s="47">
        <v>1.4</v>
      </c>
      <c r="J104" s="8"/>
      <c r="K104" s="7"/>
      <c r="L104" s="7"/>
      <c r="M104" s="7"/>
      <c r="N104" s="7"/>
      <c r="O104" s="7" t="s">
        <v>490</v>
      </c>
      <c r="P104" s="7" t="s">
        <v>543</v>
      </c>
      <c r="Q104" s="7"/>
      <c r="R104" s="7" t="s">
        <v>544</v>
      </c>
      <c r="S104" s="7" t="s">
        <v>545</v>
      </c>
      <c r="T104" s="65">
        <v>2762.0</v>
      </c>
      <c r="U104" s="7"/>
      <c r="V104" s="7"/>
    </row>
    <row r="105">
      <c r="A105" s="45">
        <v>45871.35859953704</v>
      </c>
      <c r="B105" s="7" t="s">
        <v>204</v>
      </c>
      <c r="C105" s="7" t="s">
        <v>1703</v>
      </c>
      <c r="D105" s="74">
        <v>1.0</v>
      </c>
      <c r="E105" s="46"/>
      <c r="F105" s="47">
        <v>24.99</v>
      </c>
      <c r="G105" s="47">
        <v>0.0</v>
      </c>
      <c r="H105" s="7"/>
      <c r="I105" s="47">
        <v>1.4</v>
      </c>
      <c r="J105" s="8"/>
      <c r="K105" s="7"/>
      <c r="L105" s="7"/>
      <c r="M105" s="7"/>
      <c r="N105" s="7"/>
      <c r="O105" s="7" t="s">
        <v>490</v>
      </c>
      <c r="P105" s="7" t="s">
        <v>1113</v>
      </c>
      <c r="Q105" s="65">
        <v>46.0</v>
      </c>
      <c r="R105" s="7" t="s">
        <v>1114</v>
      </c>
      <c r="S105" s="7" t="s">
        <v>525</v>
      </c>
      <c r="T105" s="65">
        <v>2761.0</v>
      </c>
      <c r="U105" s="7"/>
      <c r="V105" s="7"/>
    </row>
    <row r="106">
      <c r="A106" s="45">
        <v>45871.33175925926</v>
      </c>
      <c r="B106" s="7" t="s">
        <v>110</v>
      </c>
      <c r="C106" s="7" t="s">
        <v>1703</v>
      </c>
      <c r="D106" s="74">
        <v>1.0</v>
      </c>
      <c r="E106" s="46"/>
      <c r="F106" s="47">
        <v>24.99</v>
      </c>
      <c r="G106" s="47">
        <v>0.0</v>
      </c>
      <c r="H106" s="7"/>
      <c r="I106" s="47">
        <v>1.4</v>
      </c>
      <c r="J106" s="8"/>
      <c r="K106" s="7"/>
      <c r="L106" s="7"/>
      <c r="M106" s="7"/>
      <c r="N106" s="7"/>
      <c r="O106" s="7" t="s">
        <v>490</v>
      </c>
      <c r="P106" s="7" t="s">
        <v>1143</v>
      </c>
      <c r="Q106" s="65">
        <v>36.0</v>
      </c>
      <c r="R106" s="7" t="s">
        <v>1144</v>
      </c>
      <c r="S106" s="7" t="s">
        <v>966</v>
      </c>
      <c r="T106" s="65">
        <v>2758.0</v>
      </c>
      <c r="U106" s="7"/>
      <c r="V106" s="7"/>
    </row>
    <row r="107">
      <c r="A107" s="45">
        <v>45871.32439814815</v>
      </c>
      <c r="B107" s="7" t="s">
        <v>147</v>
      </c>
      <c r="C107" s="7" t="s">
        <v>1703</v>
      </c>
      <c r="D107" s="74">
        <v>1.0</v>
      </c>
      <c r="E107" s="46"/>
      <c r="F107" s="47">
        <v>24.99</v>
      </c>
      <c r="G107" s="47">
        <v>0.0</v>
      </c>
      <c r="H107" s="7"/>
      <c r="I107" s="47">
        <v>1.4</v>
      </c>
      <c r="J107" s="8"/>
      <c r="K107" s="7"/>
      <c r="L107" s="7"/>
      <c r="M107" s="7"/>
      <c r="N107" s="7"/>
      <c r="O107" s="7" t="s">
        <v>490</v>
      </c>
      <c r="P107" s="7" t="s">
        <v>1389</v>
      </c>
      <c r="Q107" s="7" t="s">
        <v>1390</v>
      </c>
      <c r="R107" s="7" t="s">
        <v>1391</v>
      </c>
      <c r="S107" s="7" t="s">
        <v>542</v>
      </c>
      <c r="T107" s="65">
        <v>2755.0</v>
      </c>
      <c r="U107" s="7"/>
      <c r="V107" s="7"/>
    </row>
    <row r="108">
      <c r="A108" s="45">
        <v>45871.323912037034</v>
      </c>
      <c r="B108" s="7" t="s">
        <v>576</v>
      </c>
      <c r="C108" s="7" t="s">
        <v>1765</v>
      </c>
      <c r="D108" s="74">
        <v>2.0</v>
      </c>
      <c r="E108" s="46"/>
      <c r="F108" s="47">
        <v>49.98</v>
      </c>
      <c r="G108" s="47">
        <v>0.0</v>
      </c>
      <c r="H108" s="7"/>
      <c r="I108" s="47">
        <v>2.5</v>
      </c>
      <c r="J108" s="8"/>
      <c r="K108" s="7"/>
      <c r="L108" s="7"/>
      <c r="M108" s="7"/>
      <c r="N108" s="7"/>
      <c r="O108" s="7" t="s">
        <v>490</v>
      </c>
      <c r="P108" s="7" t="s">
        <v>578</v>
      </c>
      <c r="Q108" s="7" t="s">
        <v>579</v>
      </c>
      <c r="R108" s="7" t="s">
        <v>580</v>
      </c>
      <c r="S108" s="7" t="s">
        <v>581</v>
      </c>
      <c r="T108" s="65">
        <v>2754.0</v>
      </c>
      <c r="U108" s="7"/>
      <c r="V108" s="7"/>
    </row>
    <row r="109">
      <c r="A109" s="45">
        <v>45871.32377314815</v>
      </c>
      <c r="B109" s="7" t="s">
        <v>1669</v>
      </c>
      <c r="C109" s="7" t="s">
        <v>1703</v>
      </c>
      <c r="D109" s="74">
        <v>1.0</v>
      </c>
      <c r="E109" s="46"/>
      <c r="F109" s="47">
        <v>24.99</v>
      </c>
      <c r="G109" s="47">
        <v>0.0</v>
      </c>
      <c r="H109" s="7"/>
      <c r="I109" s="47">
        <v>1.4</v>
      </c>
      <c r="J109" s="8"/>
      <c r="K109" s="7"/>
      <c r="L109" s="7"/>
      <c r="M109" s="7"/>
      <c r="N109" s="7"/>
      <c r="O109" s="7" t="s">
        <v>490</v>
      </c>
      <c r="P109" s="7" t="s">
        <v>1782</v>
      </c>
      <c r="Q109" s="7" t="s">
        <v>707</v>
      </c>
      <c r="R109" s="7" t="s">
        <v>1783</v>
      </c>
      <c r="S109" s="7" t="s">
        <v>525</v>
      </c>
      <c r="T109" s="65">
        <v>2756.0</v>
      </c>
      <c r="U109" s="7"/>
      <c r="V109" s="7"/>
    </row>
    <row r="110">
      <c r="A110" s="45">
        <v>45871.299629629626</v>
      </c>
      <c r="B110" s="7" t="s">
        <v>1394</v>
      </c>
      <c r="C110" s="7" t="s">
        <v>1703</v>
      </c>
      <c r="D110" s="74">
        <v>1.0</v>
      </c>
      <c r="E110" s="46"/>
      <c r="F110" s="47">
        <v>24.99</v>
      </c>
      <c r="G110" s="47">
        <v>0.0</v>
      </c>
      <c r="H110" s="7"/>
      <c r="I110" s="47">
        <v>1.4</v>
      </c>
      <c r="J110" s="8"/>
      <c r="K110" s="7"/>
      <c r="L110" s="7"/>
      <c r="M110" s="7"/>
      <c r="N110" s="7"/>
      <c r="O110" s="7" t="s">
        <v>490</v>
      </c>
      <c r="P110" s="7" t="s">
        <v>1395</v>
      </c>
      <c r="Q110" s="7"/>
      <c r="R110" s="7" t="s">
        <v>1396</v>
      </c>
      <c r="S110" s="7" t="s">
        <v>542</v>
      </c>
      <c r="T110" s="65">
        <v>2753.0</v>
      </c>
      <c r="U110" s="7"/>
      <c r="V110" s="7"/>
    </row>
    <row r="111">
      <c r="A111" s="45">
        <v>45871.26283564815</v>
      </c>
      <c r="B111" s="7" t="s">
        <v>192</v>
      </c>
      <c r="C111" s="7" t="s">
        <v>1703</v>
      </c>
      <c r="D111" s="74">
        <v>1.0</v>
      </c>
      <c r="E111" s="46"/>
      <c r="F111" s="47">
        <v>24.99</v>
      </c>
      <c r="G111" s="47">
        <v>0.0</v>
      </c>
      <c r="H111" s="7"/>
      <c r="I111" s="47">
        <v>1.4</v>
      </c>
      <c r="J111" s="8"/>
      <c r="K111" s="7"/>
      <c r="L111" s="7"/>
      <c r="M111" s="7"/>
      <c r="N111" s="7"/>
      <c r="O111" s="7" t="s">
        <v>490</v>
      </c>
      <c r="P111" s="7" t="s">
        <v>1364</v>
      </c>
      <c r="Q111" s="7"/>
      <c r="R111" s="7" t="s">
        <v>1365</v>
      </c>
      <c r="S111" s="7" t="s">
        <v>525</v>
      </c>
      <c r="T111" s="65">
        <v>2751.0</v>
      </c>
      <c r="U111" s="7"/>
      <c r="V111" s="7"/>
    </row>
    <row r="112">
      <c r="A112" s="45">
        <v>45871.20142361111</v>
      </c>
      <c r="B112" s="7" t="s">
        <v>1784</v>
      </c>
      <c r="C112" s="7" t="s">
        <v>1703</v>
      </c>
      <c r="D112" s="74">
        <v>1.0</v>
      </c>
      <c r="E112" s="46"/>
      <c r="F112" s="47">
        <v>36.9</v>
      </c>
      <c r="G112" s="47">
        <v>0.0</v>
      </c>
      <c r="H112" s="7"/>
      <c r="I112" s="47">
        <v>1.37</v>
      </c>
      <c r="J112" s="8"/>
      <c r="K112" s="7"/>
      <c r="L112" s="7"/>
      <c r="M112" s="7"/>
      <c r="N112" s="7"/>
      <c r="O112" s="7" t="s">
        <v>490</v>
      </c>
      <c r="P112" s="7" t="s">
        <v>1785</v>
      </c>
      <c r="Q112" s="7" t="s">
        <v>1786</v>
      </c>
      <c r="R112" s="7" t="s">
        <v>1787</v>
      </c>
      <c r="S112" s="7" t="s">
        <v>493</v>
      </c>
      <c r="T112" s="65">
        <v>2749.0</v>
      </c>
      <c r="U112" s="7"/>
      <c r="V112" s="7"/>
    </row>
    <row r="113">
      <c r="A113" s="45">
        <v>45871.19965277778</v>
      </c>
      <c r="B113" s="7" t="s">
        <v>152</v>
      </c>
      <c r="C113" s="7" t="s">
        <v>1703</v>
      </c>
      <c r="D113" s="74">
        <v>1.0</v>
      </c>
      <c r="E113" s="46"/>
      <c r="F113" s="47">
        <v>24.99</v>
      </c>
      <c r="G113" s="47">
        <v>0.0</v>
      </c>
      <c r="H113" s="7"/>
      <c r="I113" s="47">
        <v>1.02</v>
      </c>
      <c r="J113" s="8"/>
      <c r="K113" s="7"/>
      <c r="L113" s="7"/>
      <c r="M113" s="7"/>
      <c r="N113" s="7"/>
      <c r="O113" s="7" t="s">
        <v>490</v>
      </c>
      <c r="P113" s="7" t="s">
        <v>568</v>
      </c>
      <c r="Q113" s="7"/>
      <c r="R113" s="7" t="s">
        <v>569</v>
      </c>
      <c r="S113" s="7" t="s">
        <v>493</v>
      </c>
      <c r="T113" s="65">
        <v>2748.0</v>
      </c>
      <c r="U113" s="7"/>
      <c r="V113" s="7"/>
    </row>
    <row r="114">
      <c r="A114" s="45">
        <v>45871.19280092593</v>
      </c>
      <c r="B114" s="7" t="s">
        <v>783</v>
      </c>
      <c r="C114" s="7" t="s">
        <v>1703</v>
      </c>
      <c r="D114" s="74">
        <v>1.0</v>
      </c>
      <c r="E114" s="46"/>
      <c r="F114" s="47">
        <v>24.99</v>
      </c>
      <c r="G114" s="47">
        <v>0.0</v>
      </c>
      <c r="H114" s="7"/>
      <c r="I114" s="47">
        <v>1.02</v>
      </c>
      <c r="J114" s="8"/>
      <c r="K114" s="7"/>
      <c r="L114" s="7"/>
      <c r="M114" s="7"/>
      <c r="N114" s="7"/>
      <c r="O114" s="7" t="s">
        <v>490</v>
      </c>
      <c r="P114" s="65">
        <v>14710.0</v>
      </c>
      <c r="Q114" s="7" t="s">
        <v>1788</v>
      </c>
      <c r="R114" s="7" t="s">
        <v>785</v>
      </c>
      <c r="S114" s="7" t="s">
        <v>493</v>
      </c>
      <c r="T114" s="65">
        <v>2747.0</v>
      </c>
      <c r="U114" s="7"/>
      <c r="V114" s="7"/>
    </row>
    <row r="115">
      <c r="A115" s="45">
        <v>45871.186423611114</v>
      </c>
      <c r="B115" s="7" t="s">
        <v>139</v>
      </c>
      <c r="C115" s="7" t="s">
        <v>1703</v>
      </c>
      <c r="D115" s="74">
        <v>1.0</v>
      </c>
      <c r="E115" s="46"/>
      <c r="F115" s="47">
        <v>24.99</v>
      </c>
      <c r="G115" s="47">
        <v>0.0</v>
      </c>
      <c r="H115" s="7"/>
      <c r="I115" s="47">
        <v>1.02</v>
      </c>
      <c r="J115" s="8"/>
      <c r="K115" s="7"/>
      <c r="L115" s="7"/>
      <c r="M115" s="7"/>
      <c r="N115" s="7"/>
      <c r="O115" s="7" t="s">
        <v>490</v>
      </c>
      <c r="P115" s="7" t="s">
        <v>1310</v>
      </c>
      <c r="Q115" s="7"/>
      <c r="R115" s="7" t="s">
        <v>1311</v>
      </c>
      <c r="S115" s="7" t="s">
        <v>493</v>
      </c>
      <c r="T115" s="65">
        <v>2746.0</v>
      </c>
      <c r="U115" s="7"/>
      <c r="V115" s="7"/>
    </row>
    <row r="116">
      <c r="A116" s="45">
        <v>45871.17946759259</v>
      </c>
      <c r="B116" s="7" t="s">
        <v>256</v>
      </c>
      <c r="C116" s="7" t="s">
        <v>1703</v>
      </c>
      <c r="D116" s="74">
        <v>1.0</v>
      </c>
      <c r="E116" s="46"/>
      <c r="F116" s="47">
        <v>24.99</v>
      </c>
      <c r="G116" s="47">
        <v>0.0</v>
      </c>
      <c r="H116" s="7"/>
      <c r="I116" s="47">
        <v>1.02</v>
      </c>
      <c r="J116" s="8"/>
      <c r="K116" s="7"/>
      <c r="L116" s="7"/>
      <c r="M116" s="7"/>
      <c r="N116" s="7"/>
      <c r="O116" s="7" t="s">
        <v>490</v>
      </c>
      <c r="P116" s="7" t="s">
        <v>1789</v>
      </c>
      <c r="Q116" s="7" t="s">
        <v>1790</v>
      </c>
      <c r="R116" s="7" t="s">
        <v>572</v>
      </c>
      <c r="S116" s="7" t="s">
        <v>493</v>
      </c>
      <c r="T116" s="65">
        <v>2745.0</v>
      </c>
      <c r="U116" s="7"/>
      <c r="V116" s="7"/>
    </row>
    <row r="117">
      <c r="A117" s="45">
        <v>45871.13626157407</v>
      </c>
      <c r="B117" s="7" t="s">
        <v>389</v>
      </c>
      <c r="C117" s="7" t="s">
        <v>1703</v>
      </c>
      <c r="D117" s="74">
        <v>1.0</v>
      </c>
      <c r="E117" s="46"/>
      <c r="F117" s="47">
        <v>24.99</v>
      </c>
      <c r="G117" s="47">
        <v>0.0</v>
      </c>
      <c r="H117" s="7"/>
      <c r="I117" s="47">
        <v>1.4</v>
      </c>
      <c r="J117" s="8"/>
      <c r="K117" s="7"/>
      <c r="L117" s="7"/>
      <c r="M117" s="7"/>
      <c r="N117" s="7"/>
      <c r="O117" s="7" t="s">
        <v>490</v>
      </c>
      <c r="P117" s="7" t="s">
        <v>1791</v>
      </c>
      <c r="Q117" s="7"/>
      <c r="R117" s="7" t="s">
        <v>960</v>
      </c>
      <c r="S117" s="7" t="s">
        <v>525</v>
      </c>
      <c r="T117" s="65">
        <v>2742.0</v>
      </c>
      <c r="U117" s="7"/>
      <c r="V117" s="7"/>
    </row>
    <row r="118">
      <c r="A118" s="45">
        <v>45871.09594907407</v>
      </c>
      <c r="B118" s="7" t="s">
        <v>984</v>
      </c>
      <c r="C118" s="7" t="s">
        <v>1703</v>
      </c>
      <c r="D118" s="74">
        <v>1.0</v>
      </c>
      <c r="E118" s="46"/>
      <c r="F118" s="47">
        <v>24.99</v>
      </c>
      <c r="G118" s="47">
        <v>0.0</v>
      </c>
      <c r="H118" s="7"/>
      <c r="I118" s="47">
        <v>1.02</v>
      </c>
      <c r="J118" s="8"/>
      <c r="K118" s="7"/>
      <c r="L118" s="7"/>
      <c r="M118" s="7"/>
      <c r="N118" s="7"/>
      <c r="O118" s="7" t="s">
        <v>490</v>
      </c>
      <c r="P118" s="7" t="s">
        <v>985</v>
      </c>
      <c r="Q118" s="7"/>
      <c r="R118" s="7" t="s">
        <v>986</v>
      </c>
      <c r="S118" s="7" t="s">
        <v>493</v>
      </c>
      <c r="T118" s="65">
        <v>2741.0</v>
      </c>
      <c r="U118" s="7"/>
      <c r="V118" s="7"/>
    </row>
    <row r="119">
      <c r="A119" s="45">
        <v>45871.070752314816</v>
      </c>
      <c r="B119" s="7" t="s">
        <v>921</v>
      </c>
      <c r="C119" s="7" t="s">
        <v>1703</v>
      </c>
      <c r="D119" s="74">
        <v>1.0</v>
      </c>
      <c r="E119" s="46"/>
      <c r="F119" s="47">
        <v>24.99</v>
      </c>
      <c r="G119" s="47">
        <v>0.0</v>
      </c>
      <c r="H119" s="7"/>
      <c r="I119" s="47">
        <v>1.02</v>
      </c>
      <c r="J119" s="8"/>
      <c r="K119" s="7"/>
      <c r="L119" s="7"/>
      <c r="M119" s="7"/>
      <c r="N119" s="7"/>
      <c r="O119" s="7" t="s">
        <v>490</v>
      </c>
      <c r="P119" s="7" t="s">
        <v>922</v>
      </c>
      <c r="Q119" s="7"/>
      <c r="R119" s="7" t="s">
        <v>923</v>
      </c>
      <c r="S119" s="7" t="s">
        <v>493</v>
      </c>
      <c r="T119" s="65">
        <v>2740.0</v>
      </c>
      <c r="U119" s="7"/>
      <c r="V119" s="7"/>
    </row>
    <row r="120">
      <c r="A120" s="45">
        <v>45871.066516203704</v>
      </c>
      <c r="B120" s="7" t="s">
        <v>199</v>
      </c>
      <c r="C120" s="7" t="s">
        <v>1703</v>
      </c>
      <c r="D120" s="74">
        <v>1.0</v>
      </c>
      <c r="E120" s="46"/>
      <c r="F120" s="47">
        <v>24.99</v>
      </c>
      <c r="G120" s="47">
        <v>0.0</v>
      </c>
      <c r="H120" s="7"/>
      <c r="I120" s="47">
        <v>1.4</v>
      </c>
      <c r="J120" s="8"/>
      <c r="K120" s="7"/>
      <c r="L120" s="7"/>
      <c r="M120" s="7"/>
      <c r="N120" s="7"/>
      <c r="O120" s="7" t="s">
        <v>490</v>
      </c>
      <c r="P120" s="7" t="s">
        <v>1687</v>
      </c>
      <c r="Q120" s="7"/>
      <c r="R120" s="7" t="s">
        <v>1379</v>
      </c>
      <c r="S120" s="7" t="s">
        <v>525</v>
      </c>
      <c r="T120" s="65">
        <v>2739.0</v>
      </c>
      <c r="U120" s="7"/>
      <c r="V120" s="7"/>
    </row>
    <row r="121">
      <c r="A121" s="45">
        <v>45871.059328703705</v>
      </c>
      <c r="B121" s="7" t="s">
        <v>1792</v>
      </c>
      <c r="C121" s="7" t="s">
        <v>1703</v>
      </c>
      <c r="D121" s="74">
        <v>1.0</v>
      </c>
      <c r="E121" s="46"/>
      <c r="F121" s="47">
        <v>46.67</v>
      </c>
      <c r="G121" s="47">
        <v>0.0</v>
      </c>
      <c r="H121" s="7"/>
      <c r="I121" s="47">
        <v>2.35</v>
      </c>
      <c r="J121" s="8"/>
      <c r="K121" s="7"/>
      <c r="L121" s="7"/>
      <c r="M121" s="7"/>
      <c r="N121" s="7"/>
      <c r="O121" s="7" t="s">
        <v>490</v>
      </c>
      <c r="P121" s="7" t="s">
        <v>1793</v>
      </c>
      <c r="Q121" s="7"/>
      <c r="R121" s="7" t="s">
        <v>1794</v>
      </c>
      <c r="S121" s="7" t="s">
        <v>545</v>
      </c>
      <c r="T121" s="65">
        <v>2737.0</v>
      </c>
      <c r="U121" s="7"/>
      <c r="V121" s="7"/>
    </row>
    <row r="122">
      <c r="A122" s="45">
        <v>45871.055439814816</v>
      </c>
      <c r="B122" s="7" t="s">
        <v>1403</v>
      </c>
      <c r="C122" s="7" t="s">
        <v>1703</v>
      </c>
      <c r="D122" s="74">
        <v>1.0</v>
      </c>
      <c r="E122" s="46"/>
      <c r="F122" s="47">
        <v>26.49</v>
      </c>
      <c r="G122" s="47">
        <v>0.0</v>
      </c>
      <c r="H122" s="7"/>
      <c r="I122" s="47">
        <v>1.07</v>
      </c>
      <c r="J122" s="8"/>
      <c r="K122" s="7"/>
      <c r="L122" s="7"/>
      <c r="M122" s="7"/>
      <c r="N122" s="7"/>
      <c r="O122" s="7" t="s">
        <v>490</v>
      </c>
      <c r="P122" s="7" t="s">
        <v>1404</v>
      </c>
      <c r="Q122" s="7"/>
      <c r="R122" s="7" t="s">
        <v>1405</v>
      </c>
      <c r="S122" s="7" t="s">
        <v>493</v>
      </c>
      <c r="T122" s="65">
        <v>2736.0</v>
      </c>
      <c r="U122" s="7"/>
      <c r="V122" s="7"/>
    </row>
    <row r="123">
      <c r="A123" s="45">
        <v>45871.047268518516</v>
      </c>
      <c r="B123" s="7" t="s">
        <v>1594</v>
      </c>
      <c r="C123" s="7" t="s">
        <v>1703</v>
      </c>
      <c r="D123" s="74">
        <v>1.0</v>
      </c>
      <c r="E123" s="46"/>
      <c r="F123" s="47">
        <v>34.46</v>
      </c>
      <c r="G123" s="47">
        <v>0.0</v>
      </c>
      <c r="H123" s="7"/>
      <c r="I123" s="47">
        <v>1.3</v>
      </c>
      <c r="J123" s="8"/>
      <c r="K123" s="7"/>
      <c r="L123" s="7"/>
      <c r="M123" s="7"/>
      <c r="N123" s="7"/>
      <c r="O123" s="7" t="s">
        <v>490</v>
      </c>
      <c r="P123" s="7" t="s">
        <v>1595</v>
      </c>
      <c r="Q123" s="7"/>
      <c r="R123" s="7" t="s">
        <v>1596</v>
      </c>
      <c r="S123" s="7" t="s">
        <v>493</v>
      </c>
      <c r="T123" s="65">
        <v>2735.0</v>
      </c>
      <c r="U123" s="7"/>
      <c r="V123" s="7"/>
    </row>
    <row r="124">
      <c r="A124" s="45">
        <v>45871.0469212963</v>
      </c>
      <c r="B124" s="7" t="s">
        <v>893</v>
      </c>
      <c r="C124" s="7" t="s">
        <v>1703</v>
      </c>
      <c r="D124" s="74">
        <v>1.0</v>
      </c>
      <c r="E124" s="46"/>
      <c r="F124" s="47">
        <v>24.99</v>
      </c>
      <c r="G124" s="47">
        <v>0.0</v>
      </c>
      <c r="H124" s="7"/>
      <c r="I124" s="47">
        <v>1.02</v>
      </c>
      <c r="J124" s="8"/>
      <c r="K124" s="7"/>
      <c r="L124" s="7"/>
      <c r="M124" s="7"/>
      <c r="N124" s="7"/>
      <c r="O124" s="7" t="s">
        <v>490</v>
      </c>
      <c r="P124" s="7" t="s">
        <v>894</v>
      </c>
      <c r="Q124" s="7"/>
      <c r="R124" s="7" t="s">
        <v>895</v>
      </c>
      <c r="S124" s="7" t="s">
        <v>493</v>
      </c>
      <c r="T124" s="65">
        <v>2734.0</v>
      </c>
      <c r="U124" s="7"/>
      <c r="V124" s="7"/>
    </row>
    <row r="125">
      <c r="A125" s="45">
        <v>45871.04238425926</v>
      </c>
      <c r="B125" s="7" t="s">
        <v>502</v>
      </c>
      <c r="C125" s="7" t="s">
        <v>1703</v>
      </c>
      <c r="D125" s="74">
        <v>1.0</v>
      </c>
      <c r="E125" s="46"/>
      <c r="F125" s="47">
        <v>24.99</v>
      </c>
      <c r="G125" s="47">
        <v>0.0</v>
      </c>
      <c r="H125" s="7"/>
      <c r="I125" s="47">
        <v>1.02</v>
      </c>
      <c r="J125" s="8"/>
      <c r="K125" s="7"/>
      <c r="L125" s="7"/>
      <c r="M125" s="7"/>
      <c r="N125" s="7"/>
      <c r="O125" s="7" t="s">
        <v>490</v>
      </c>
      <c r="P125" s="7" t="s">
        <v>1795</v>
      </c>
      <c r="Q125" s="7" t="s">
        <v>504</v>
      </c>
      <c r="R125" s="7" t="s">
        <v>505</v>
      </c>
      <c r="S125" s="7" t="s">
        <v>493</v>
      </c>
      <c r="T125" s="65">
        <v>2733.0</v>
      </c>
      <c r="U125" s="7"/>
      <c r="V125" s="7"/>
    </row>
    <row r="126">
      <c r="A126" s="45">
        <v>45871.02</v>
      </c>
      <c r="B126" s="7" t="s">
        <v>161</v>
      </c>
      <c r="C126" s="7" t="s">
        <v>1703</v>
      </c>
      <c r="D126" s="74">
        <v>1.0</v>
      </c>
      <c r="E126" s="46"/>
      <c r="F126" s="47">
        <v>37.56</v>
      </c>
      <c r="G126" s="47">
        <v>0.0</v>
      </c>
      <c r="H126" s="7"/>
      <c r="I126" s="47">
        <v>1.39</v>
      </c>
      <c r="J126" s="8"/>
      <c r="K126" s="7"/>
      <c r="L126" s="7"/>
      <c r="M126" s="7"/>
      <c r="N126" s="7"/>
      <c r="O126" s="7" t="s">
        <v>490</v>
      </c>
      <c r="P126" s="7" t="s">
        <v>776</v>
      </c>
      <c r="Q126" s="7"/>
      <c r="R126" s="7" t="s">
        <v>777</v>
      </c>
      <c r="S126" s="7" t="s">
        <v>493</v>
      </c>
      <c r="T126" s="65">
        <v>2731.0</v>
      </c>
      <c r="U126" s="7"/>
      <c r="V126" s="7"/>
    </row>
    <row r="127">
      <c r="A127" s="45">
        <v>45871.00863425926</v>
      </c>
      <c r="B127" s="7" t="s">
        <v>799</v>
      </c>
      <c r="C127" s="7" t="s">
        <v>1703</v>
      </c>
      <c r="D127" s="74">
        <v>1.0</v>
      </c>
      <c r="E127" s="46"/>
      <c r="F127" s="47">
        <v>24.99</v>
      </c>
      <c r="G127" s="47">
        <v>0.0</v>
      </c>
      <c r="H127" s="7"/>
      <c r="I127" s="47">
        <v>1.4</v>
      </c>
      <c r="J127" s="8"/>
      <c r="K127" s="7"/>
      <c r="L127" s="7"/>
      <c r="M127" s="7"/>
      <c r="N127" s="7"/>
      <c r="O127" s="7" t="s">
        <v>490</v>
      </c>
      <c r="P127" s="7" t="s">
        <v>800</v>
      </c>
      <c r="Q127" s="7"/>
      <c r="R127" s="7" t="s">
        <v>620</v>
      </c>
      <c r="S127" s="7" t="s">
        <v>545</v>
      </c>
      <c r="T127" s="65">
        <v>2730.0</v>
      </c>
      <c r="U127" s="7"/>
      <c r="V127" s="7"/>
    </row>
    <row r="128">
      <c r="A128" s="45">
        <v>45870.99935185185</v>
      </c>
      <c r="B128" s="7" t="s">
        <v>752</v>
      </c>
      <c r="C128" s="7" t="s">
        <v>1703</v>
      </c>
      <c r="D128" s="74">
        <v>1.0</v>
      </c>
      <c r="E128" s="46"/>
      <c r="F128" s="47">
        <v>24.99</v>
      </c>
      <c r="G128" s="47">
        <v>0.0</v>
      </c>
      <c r="H128" s="7"/>
      <c r="I128" s="47">
        <v>1.4</v>
      </c>
      <c r="J128" s="8"/>
      <c r="K128" s="7"/>
      <c r="L128" s="7"/>
      <c r="M128" s="7"/>
      <c r="N128" s="7"/>
      <c r="O128" s="7" t="s">
        <v>490</v>
      </c>
      <c r="P128" s="7" t="s">
        <v>1532</v>
      </c>
      <c r="Q128" s="7" t="s">
        <v>754</v>
      </c>
      <c r="R128" s="7" t="s">
        <v>755</v>
      </c>
      <c r="S128" s="7" t="s">
        <v>545</v>
      </c>
      <c r="T128" s="65">
        <v>2726.0</v>
      </c>
      <c r="U128" s="7"/>
      <c r="V128" s="7"/>
    </row>
    <row r="129">
      <c r="A129" s="45">
        <v>45870.990578703706</v>
      </c>
      <c r="B129" s="7" t="s">
        <v>1796</v>
      </c>
      <c r="C129" s="7" t="s">
        <v>1765</v>
      </c>
      <c r="D129" s="74">
        <v>2.0</v>
      </c>
      <c r="E129" s="46"/>
      <c r="F129" s="47">
        <v>49.98</v>
      </c>
      <c r="G129" s="47">
        <v>0.0</v>
      </c>
      <c r="H129" s="7"/>
      <c r="I129" s="47">
        <v>2.5</v>
      </c>
      <c r="J129" s="8"/>
      <c r="K129" s="7"/>
      <c r="L129" s="7"/>
      <c r="M129" s="7"/>
      <c r="N129" s="7"/>
      <c r="O129" s="7" t="s">
        <v>490</v>
      </c>
      <c r="P129" s="7" t="s">
        <v>1597</v>
      </c>
      <c r="Q129" s="7" t="s">
        <v>1797</v>
      </c>
      <c r="R129" s="7" t="s">
        <v>1599</v>
      </c>
      <c r="S129" s="7" t="s">
        <v>684</v>
      </c>
      <c r="T129" s="65">
        <v>2724.0</v>
      </c>
      <c r="U129" s="7"/>
      <c r="V129" s="7"/>
    </row>
    <row r="130">
      <c r="A130" s="45">
        <v>45870.965046296296</v>
      </c>
      <c r="B130" s="7" t="s">
        <v>1177</v>
      </c>
      <c r="C130" s="7" t="s">
        <v>1703</v>
      </c>
      <c r="D130" s="74">
        <v>1.0</v>
      </c>
      <c r="E130" s="46"/>
      <c r="F130" s="47">
        <v>24.99</v>
      </c>
      <c r="G130" s="47">
        <v>0.0</v>
      </c>
      <c r="H130" s="7"/>
      <c r="I130" s="47">
        <v>1.02</v>
      </c>
      <c r="J130" s="8"/>
      <c r="K130" s="7"/>
      <c r="L130" s="7"/>
      <c r="M130" s="7"/>
      <c r="N130" s="7"/>
      <c r="O130" s="7" t="s">
        <v>490</v>
      </c>
      <c r="P130" s="7" t="s">
        <v>1178</v>
      </c>
      <c r="Q130" s="7"/>
      <c r="R130" s="7" t="s">
        <v>1179</v>
      </c>
      <c r="S130" s="7" t="s">
        <v>493</v>
      </c>
      <c r="T130" s="65">
        <v>2723.0</v>
      </c>
      <c r="U130" s="7"/>
      <c r="V130" s="7"/>
    </row>
    <row r="131">
      <c r="A131" s="45">
        <v>45870.9484375</v>
      </c>
      <c r="B131" s="7" t="s">
        <v>1280</v>
      </c>
      <c r="C131" s="7" t="s">
        <v>1703</v>
      </c>
      <c r="D131" s="74">
        <v>1.0</v>
      </c>
      <c r="E131" s="46"/>
      <c r="F131" s="47">
        <v>24.99</v>
      </c>
      <c r="G131" s="47">
        <v>0.0</v>
      </c>
      <c r="H131" s="7"/>
      <c r="I131" s="47">
        <v>1.02</v>
      </c>
      <c r="J131" s="8"/>
      <c r="K131" s="7"/>
      <c r="L131" s="7"/>
      <c r="M131" s="7"/>
      <c r="N131" s="7"/>
      <c r="O131" s="7" t="s">
        <v>490</v>
      </c>
      <c r="P131" s="7" t="s">
        <v>1281</v>
      </c>
      <c r="Q131" s="7" t="s">
        <v>1282</v>
      </c>
      <c r="R131" s="7" t="s">
        <v>1283</v>
      </c>
      <c r="S131" s="7" t="s">
        <v>493</v>
      </c>
      <c r="T131" s="65">
        <v>2722.0</v>
      </c>
      <c r="U131" s="7"/>
      <c r="V131" s="7"/>
    </row>
    <row r="132">
      <c r="A132" s="45">
        <v>45870.94443287037</v>
      </c>
      <c r="B132" s="7" t="s">
        <v>302</v>
      </c>
      <c r="C132" s="7" t="s">
        <v>1703</v>
      </c>
      <c r="D132" s="74">
        <v>1.0</v>
      </c>
      <c r="E132" s="46"/>
      <c r="F132" s="47">
        <v>24.99</v>
      </c>
      <c r="G132" s="47">
        <v>0.0</v>
      </c>
      <c r="H132" s="7"/>
      <c r="I132" s="47">
        <v>1.02</v>
      </c>
      <c r="J132" s="8"/>
      <c r="K132" s="7"/>
      <c r="L132" s="7"/>
      <c r="M132" s="7"/>
      <c r="N132" s="7"/>
      <c r="O132" s="7" t="s">
        <v>490</v>
      </c>
      <c r="P132" s="7" t="s">
        <v>1253</v>
      </c>
      <c r="Q132" s="7"/>
      <c r="R132" s="7" t="s">
        <v>1254</v>
      </c>
      <c r="S132" s="7" t="s">
        <v>493</v>
      </c>
      <c r="T132" s="65">
        <v>2721.0</v>
      </c>
      <c r="U132" s="7"/>
      <c r="V132" s="7"/>
    </row>
    <row r="133">
      <c r="A133" s="45">
        <v>45870.938564814816</v>
      </c>
      <c r="B133" s="7" t="s">
        <v>1798</v>
      </c>
      <c r="C133" s="7" t="s">
        <v>1703</v>
      </c>
      <c r="D133" s="74">
        <v>1.0</v>
      </c>
      <c r="E133" s="46"/>
      <c r="F133" s="47">
        <v>24.99</v>
      </c>
      <c r="G133" s="47">
        <v>0.0</v>
      </c>
      <c r="H133" s="7"/>
      <c r="I133" s="47">
        <v>1.4</v>
      </c>
      <c r="J133" s="8"/>
      <c r="K133" s="7"/>
      <c r="L133" s="7"/>
      <c r="M133" s="7"/>
      <c r="N133" s="7"/>
      <c r="O133" s="7" t="s">
        <v>490</v>
      </c>
      <c r="P133" s="7" t="s">
        <v>1799</v>
      </c>
      <c r="Q133" s="7"/>
      <c r="R133" s="7"/>
      <c r="S133" s="7" t="s">
        <v>687</v>
      </c>
      <c r="T133" s="65">
        <v>2719.0</v>
      </c>
      <c r="U133" s="7"/>
      <c r="V133" s="7"/>
    </row>
    <row r="134">
      <c r="A134" s="45">
        <v>45870.9375462963</v>
      </c>
      <c r="B134" s="7" t="s">
        <v>178</v>
      </c>
      <c r="C134" s="7" t="s">
        <v>1703</v>
      </c>
      <c r="D134" s="74">
        <v>1.0</v>
      </c>
      <c r="E134" s="46"/>
      <c r="F134" s="47">
        <v>24.99</v>
      </c>
      <c r="G134" s="47">
        <v>0.0</v>
      </c>
      <c r="H134" s="7"/>
      <c r="I134" s="47">
        <v>1.02</v>
      </c>
      <c r="J134" s="8"/>
      <c r="K134" s="7"/>
      <c r="L134" s="7"/>
      <c r="M134" s="7"/>
      <c r="N134" s="7"/>
      <c r="O134" s="7" t="s">
        <v>490</v>
      </c>
      <c r="P134" s="7" t="s">
        <v>700</v>
      </c>
      <c r="Q134" s="7"/>
      <c r="R134" s="7" t="s">
        <v>701</v>
      </c>
      <c r="S134" s="7" t="s">
        <v>493</v>
      </c>
      <c r="T134" s="65">
        <v>2718.0</v>
      </c>
      <c r="U134" s="7"/>
      <c r="V134" s="7"/>
    </row>
    <row r="135">
      <c r="A135" s="45">
        <v>45870.93148148148</v>
      </c>
      <c r="B135" s="7" t="s">
        <v>105</v>
      </c>
      <c r="C135" s="7" t="s">
        <v>1703</v>
      </c>
      <c r="D135" s="74">
        <v>1.0</v>
      </c>
      <c r="E135" s="46"/>
      <c r="F135" s="47">
        <v>24.99</v>
      </c>
      <c r="G135" s="47">
        <v>0.0</v>
      </c>
      <c r="H135" s="7"/>
      <c r="I135" s="47">
        <v>1.02</v>
      </c>
      <c r="J135" s="8"/>
      <c r="K135" s="7"/>
      <c r="L135" s="7"/>
      <c r="M135" s="7"/>
      <c r="N135" s="7"/>
      <c r="O135" s="7" t="s">
        <v>490</v>
      </c>
      <c r="P135" s="7" t="s">
        <v>612</v>
      </c>
      <c r="Q135" s="7"/>
      <c r="R135" s="7" t="s">
        <v>613</v>
      </c>
      <c r="S135" s="7" t="s">
        <v>493</v>
      </c>
      <c r="T135" s="65">
        <v>2715.0</v>
      </c>
      <c r="U135" s="7"/>
      <c r="V135" s="7"/>
    </row>
    <row r="136">
      <c r="A136" s="45">
        <v>45870.930810185186</v>
      </c>
      <c r="B136" s="7" t="s">
        <v>113</v>
      </c>
      <c r="C136" s="7" t="s">
        <v>1703</v>
      </c>
      <c r="D136" s="74">
        <v>1.0</v>
      </c>
      <c r="E136" s="46"/>
      <c r="F136" s="47">
        <v>24.99</v>
      </c>
      <c r="G136" s="47">
        <v>0.0</v>
      </c>
      <c r="H136" s="7"/>
      <c r="I136" s="47">
        <v>1.4</v>
      </c>
      <c r="J136" s="8"/>
      <c r="K136" s="7"/>
      <c r="L136" s="7"/>
      <c r="M136" s="7"/>
      <c r="N136" s="7"/>
      <c r="O136" s="7" t="s">
        <v>490</v>
      </c>
      <c r="P136" s="7" t="s">
        <v>553</v>
      </c>
      <c r="Q136" s="7"/>
      <c r="R136" s="7" t="s">
        <v>554</v>
      </c>
      <c r="S136" s="7" t="s">
        <v>555</v>
      </c>
      <c r="T136" s="65">
        <v>2714.0</v>
      </c>
      <c r="U136" s="7"/>
      <c r="V136" s="7"/>
    </row>
    <row r="137">
      <c r="A137" s="45">
        <v>45870.91675925926</v>
      </c>
      <c r="B137" s="7" t="s">
        <v>860</v>
      </c>
      <c r="C137" s="7" t="s">
        <v>1703</v>
      </c>
      <c r="D137" s="74">
        <v>1.0</v>
      </c>
      <c r="E137" s="46"/>
      <c r="F137" s="47">
        <v>24.99</v>
      </c>
      <c r="G137" s="47">
        <v>0.0</v>
      </c>
      <c r="H137" s="7"/>
      <c r="I137" s="47">
        <v>1.02</v>
      </c>
      <c r="J137" s="8"/>
      <c r="K137" s="7"/>
      <c r="L137" s="7"/>
      <c r="M137" s="7"/>
      <c r="N137" s="7"/>
      <c r="O137" s="7" t="s">
        <v>490</v>
      </c>
      <c r="P137" s="7" t="s">
        <v>861</v>
      </c>
      <c r="Q137" s="7"/>
      <c r="R137" s="7" t="s">
        <v>862</v>
      </c>
      <c r="S137" s="7" t="s">
        <v>493</v>
      </c>
      <c r="T137" s="65">
        <v>2710.0</v>
      </c>
      <c r="U137" s="7"/>
      <c r="V137" s="7"/>
    </row>
    <row r="138">
      <c r="A138" s="45">
        <v>45870.915914351855</v>
      </c>
      <c r="B138" s="7" t="s">
        <v>1207</v>
      </c>
      <c r="C138" s="7" t="s">
        <v>1703</v>
      </c>
      <c r="D138" s="74">
        <v>1.0</v>
      </c>
      <c r="E138" s="46"/>
      <c r="F138" s="47">
        <v>24.99</v>
      </c>
      <c r="G138" s="47">
        <v>0.0</v>
      </c>
      <c r="H138" s="7"/>
      <c r="I138" s="47">
        <v>1.02</v>
      </c>
      <c r="J138" s="8"/>
      <c r="K138" s="7"/>
      <c r="L138" s="7"/>
      <c r="M138" s="7"/>
      <c r="N138" s="7"/>
      <c r="O138" s="7" t="s">
        <v>490</v>
      </c>
      <c r="P138" s="7" t="s">
        <v>1208</v>
      </c>
      <c r="Q138" s="7"/>
      <c r="R138" s="7" t="s">
        <v>1209</v>
      </c>
      <c r="S138" s="7" t="s">
        <v>493</v>
      </c>
      <c r="T138" s="65">
        <v>2709.0</v>
      </c>
      <c r="U138" s="7"/>
      <c r="V138" s="7"/>
    </row>
    <row r="139">
      <c r="A139" s="45">
        <v>45870.91233796296</v>
      </c>
      <c r="B139" s="7" t="s">
        <v>279</v>
      </c>
      <c r="C139" s="7" t="s">
        <v>1703</v>
      </c>
      <c r="D139" s="74">
        <v>1.0</v>
      </c>
      <c r="E139" s="46"/>
      <c r="F139" s="47">
        <v>24.99</v>
      </c>
      <c r="G139" s="47">
        <v>0.0</v>
      </c>
      <c r="H139" s="7"/>
      <c r="I139" s="47">
        <v>1.02</v>
      </c>
      <c r="J139" s="8"/>
      <c r="K139" s="7"/>
      <c r="L139" s="7"/>
      <c r="M139" s="7"/>
      <c r="N139" s="7"/>
      <c r="O139" s="7" t="s">
        <v>490</v>
      </c>
      <c r="P139" s="7"/>
      <c r="Q139" s="7"/>
      <c r="R139" s="7"/>
      <c r="S139" s="7" t="s">
        <v>493</v>
      </c>
      <c r="T139" s="65">
        <v>2708.0</v>
      </c>
      <c r="U139" s="7"/>
      <c r="V139" s="7"/>
    </row>
    <row r="140">
      <c r="A140" s="45">
        <v>45870.904699074075</v>
      </c>
      <c r="B140" s="7" t="s">
        <v>375</v>
      </c>
      <c r="C140" s="7" t="s">
        <v>1703</v>
      </c>
      <c r="D140" s="74">
        <v>1.0</v>
      </c>
      <c r="E140" s="46"/>
      <c r="F140" s="47">
        <v>24.99</v>
      </c>
      <c r="G140" s="47">
        <v>0.0</v>
      </c>
      <c r="H140" s="7"/>
      <c r="I140" s="47">
        <v>1.02</v>
      </c>
      <c r="J140" s="8"/>
      <c r="K140" s="7"/>
      <c r="L140" s="7"/>
      <c r="M140" s="7"/>
      <c r="N140" s="7"/>
      <c r="O140" s="7" t="s">
        <v>490</v>
      </c>
      <c r="P140" s="65">
        <v>1215.0</v>
      </c>
      <c r="Q140" s="7" t="s">
        <v>1536</v>
      </c>
      <c r="R140" s="7" t="s">
        <v>794</v>
      </c>
      <c r="S140" s="7" t="s">
        <v>493</v>
      </c>
      <c r="T140" s="65">
        <v>2707.0</v>
      </c>
      <c r="U140" s="7"/>
      <c r="V140" s="7"/>
    </row>
    <row r="141">
      <c r="A141" s="45">
        <v>45870.901238425926</v>
      </c>
      <c r="B141" s="7" t="s">
        <v>442</v>
      </c>
      <c r="C141" s="7" t="s">
        <v>1703</v>
      </c>
      <c r="D141" s="74">
        <v>1.0</v>
      </c>
      <c r="E141" s="46"/>
      <c r="F141" s="47">
        <v>24.99</v>
      </c>
      <c r="G141" s="47">
        <v>0.0</v>
      </c>
      <c r="H141" s="7"/>
      <c r="I141" s="47">
        <v>1.02</v>
      </c>
      <c r="J141" s="8"/>
      <c r="K141" s="7"/>
      <c r="L141" s="7"/>
      <c r="M141" s="7"/>
      <c r="N141" s="7"/>
      <c r="O141" s="7" t="s">
        <v>490</v>
      </c>
      <c r="P141" s="7" t="s">
        <v>1348</v>
      </c>
      <c r="Q141" s="7"/>
      <c r="R141" s="7" t="s">
        <v>1800</v>
      </c>
      <c r="S141" s="7" t="s">
        <v>493</v>
      </c>
      <c r="T141" s="65">
        <v>2705.0</v>
      </c>
      <c r="U141" s="7"/>
      <c r="V141" s="7"/>
    </row>
    <row r="142">
      <c r="A142" s="45">
        <v>45870.89282407407</v>
      </c>
      <c r="B142" s="7" t="s">
        <v>351</v>
      </c>
      <c r="C142" s="7" t="s">
        <v>1703</v>
      </c>
      <c r="D142" s="74">
        <v>1.0</v>
      </c>
      <c r="E142" s="46"/>
      <c r="F142" s="47">
        <v>24.99</v>
      </c>
      <c r="G142" s="47">
        <v>0.0</v>
      </c>
      <c r="H142" s="7"/>
      <c r="I142" s="47">
        <v>1.4</v>
      </c>
      <c r="J142" s="8"/>
      <c r="K142" s="7"/>
      <c r="L142" s="7"/>
      <c r="M142" s="7"/>
      <c r="N142" s="7"/>
      <c r="O142" s="7" t="s">
        <v>490</v>
      </c>
      <c r="P142" s="7" t="s">
        <v>1600</v>
      </c>
      <c r="Q142" s="7" t="s">
        <v>997</v>
      </c>
      <c r="R142" s="7" t="s">
        <v>1601</v>
      </c>
      <c r="S142" s="7" t="s">
        <v>497</v>
      </c>
      <c r="T142" s="65">
        <v>2701.0</v>
      </c>
      <c r="U142" s="7"/>
      <c r="V142" s="7"/>
    </row>
    <row r="143">
      <c r="A143" s="45">
        <v>45870.88953703704</v>
      </c>
      <c r="B143" s="7" t="s">
        <v>876</v>
      </c>
      <c r="C143" s="7" t="s">
        <v>1703</v>
      </c>
      <c r="D143" s="74">
        <v>1.0</v>
      </c>
      <c r="E143" s="46"/>
      <c r="F143" s="47">
        <v>24.99</v>
      </c>
      <c r="G143" s="47">
        <v>0.0</v>
      </c>
      <c r="H143" s="7"/>
      <c r="I143" s="47">
        <v>1.4</v>
      </c>
      <c r="J143" s="8"/>
      <c r="K143" s="7"/>
      <c r="L143" s="7"/>
      <c r="M143" s="7"/>
      <c r="N143" s="7"/>
      <c r="O143" s="7" t="s">
        <v>490</v>
      </c>
      <c r="P143" s="7" t="s">
        <v>877</v>
      </c>
      <c r="Q143" s="7"/>
      <c r="R143" s="7" t="s">
        <v>878</v>
      </c>
      <c r="S143" s="7" t="s">
        <v>525</v>
      </c>
      <c r="T143" s="65">
        <v>2700.0</v>
      </c>
      <c r="U143" s="7"/>
      <c r="V143" s="7"/>
    </row>
    <row r="144">
      <c r="A144" s="45">
        <v>45870.881006944444</v>
      </c>
      <c r="B144" s="7" t="s">
        <v>688</v>
      </c>
      <c r="C144" s="7" t="s">
        <v>1703</v>
      </c>
      <c r="D144" s="74">
        <v>1.0</v>
      </c>
      <c r="E144" s="46"/>
      <c r="F144" s="47">
        <v>27.43</v>
      </c>
      <c r="G144" s="47">
        <v>0.0</v>
      </c>
      <c r="H144" s="7"/>
      <c r="I144" s="47">
        <v>1.1</v>
      </c>
      <c r="J144" s="8"/>
      <c r="K144" s="7"/>
      <c r="L144" s="7"/>
      <c r="M144" s="7"/>
      <c r="N144" s="7"/>
      <c r="O144" s="7" t="s">
        <v>490</v>
      </c>
      <c r="P144" s="7" t="s">
        <v>689</v>
      </c>
      <c r="Q144" s="7"/>
      <c r="R144" s="7" t="s">
        <v>690</v>
      </c>
      <c r="S144" s="7" t="s">
        <v>493</v>
      </c>
      <c r="T144" s="65">
        <v>2699.0</v>
      </c>
      <c r="U144" s="7"/>
      <c r="V144" s="7"/>
    </row>
    <row r="145">
      <c r="A145" s="45">
        <v>45870.8784375</v>
      </c>
      <c r="B145" s="7" t="s">
        <v>1801</v>
      </c>
      <c r="C145" s="7" t="s">
        <v>1703</v>
      </c>
      <c r="D145" s="74">
        <v>1.0</v>
      </c>
      <c r="E145" s="46"/>
      <c r="F145" s="47">
        <v>24.99</v>
      </c>
      <c r="G145" s="47">
        <v>0.0</v>
      </c>
      <c r="H145" s="7"/>
      <c r="I145" s="47">
        <v>1.4</v>
      </c>
      <c r="J145" s="8"/>
      <c r="K145" s="7"/>
      <c r="L145" s="7"/>
      <c r="M145" s="7"/>
      <c r="N145" s="7"/>
      <c r="O145" s="7" t="s">
        <v>490</v>
      </c>
      <c r="P145" s="7" t="s">
        <v>1276</v>
      </c>
      <c r="Q145" s="7"/>
      <c r="R145" s="7" t="s">
        <v>1277</v>
      </c>
      <c r="S145" s="7" t="s">
        <v>51</v>
      </c>
      <c r="T145" s="65">
        <v>2698.0</v>
      </c>
      <c r="U145" s="7"/>
      <c r="V145" s="7"/>
    </row>
    <row r="146">
      <c r="A146" s="45">
        <v>45870.87380787037</v>
      </c>
      <c r="B146" s="7" t="s">
        <v>908</v>
      </c>
      <c r="C146" s="7" t="s">
        <v>1703</v>
      </c>
      <c r="D146" s="74">
        <v>1.0</v>
      </c>
      <c r="E146" s="46"/>
      <c r="F146" s="47">
        <v>24.99</v>
      </c>
      <c r="G146" s="47">
        <v>0.0</v>
      </c>
      <c r="H146" s="7"/>
      <c r="I146" s="47">
        <v>1.4</v>
      </c>
      <c r="J146" s="8"/>
      <c r="K146" s="7"/>
      <c r="L146" s="7"/>
      <c r="M146" s="7"/>
      <c r="N146" s="7"/>
      <c r="O146" s="7" t="s">
        <v>490</v>
      </c>
      <c r="P146" s="7" t="s">
        <v>909</v>
      </c>
      <c r="Q146" s="7"/>
      <c r="R146" s="7" t="s">
        <v>910</v>
      </c>
      <c r="S146" s="7" t="s">
        <v>545</v>
      </c>
      <c r="T146" s="65">
        <v>2693.0</v>
      </c>
      <c r="U146" s="7"/>
      <c r="V146" s="7"/>
    </row>
    <row r="147">
      <c r="A147" s="45">
        <v>45870.85984953704</v>
      </c>
      <c r="B147" s="7" t="s">
        <v>526</v>
      </c>
      <c r="C147" s="7" t="s">
        <v>1703</v>
      </c>
      <c r="D147" s="74">
        <v>1.0</v>
      </c>
      <c r="E147" s="46"/>
      <c r="F147" s="47">
        <v>24.99</v>
      </c>
      <c r="G147" s="47">
        <v>0.0</v>
      </c>
      <c r="H147" s="7"/>
      <c r="I147" s="47">
        <v>1.4</v>
      </c>
      <c r="J147" s="8"/>
      <c r="K147" s="7"/>
      <c r="L147" s="7"/>
      <c r="M147" s="7"/>
      <c r="N147" s="7"/>
      <c r="O147" s="7" t="s">
        <v>490</v>
      </c>
      <c r="P147" s="7" t="s">
        <v>527</v>
      </c>
      <c r="Q147" s="7"/>
      <c r="R147" s="7" t="s">
        <v>528</v>
      </c>
      <c r="S147" s="7" t="s">
        <v>525</v>
      </c>
      <c r="T147" s="65">
        <v>2692.0</v>
      </c>
      <c r="U147" s="7"/>
      <c r="V147" s="7"/>
    </row>
    <row r="148">
      <c r="A148" s="45">
        <v>45870.852175925924</v>
      </c>
      <c r="B148" s="7" t="s">
        <v>190</v>
      </c>
      <c r="C148" s="7" t="s">
        <v>1703</v>
      </c>
      <c r="D148" s="74">
        <v>1.0</v>
      </c>
      <c r="E148" s="46"/>
      <c r="F148" s="47">
        <v>24.99</v>
      </c>
      <c r="G148" s="47">
        <v>0.0</v>
      </c>
      <c r="H148" s="7"/>
      <c r="I148" s="47">
        <v>1.4</v>
      </c>
      <c r="J148" s="8"/>
      <c r="K148" s="7"/>
      <c r="L148" s="7"/>
      <c r="M148" s="7"/>
      <c r="N148" s="7"/>
      <c r="O148" s="7" t="s">
        <v>490</v>
      </c>
      <c r="P148" s="7" t="s">
        <v>778</v>
      </c>
      <c r="Q148" s="7"/>
      <c r="R148" s="7" t="s">
        <v>779</v>
      </c>
      <c r="S148" s="7" t="s">
        <v>51</v>
      </c>
      <c r="T148" s="65">
        <v>2691.0</v>
      </c>
      <c r="U148" s="7"/>
      <c r="V148" s="7"/>
    </row>
    <row r="149">
      <c r="A149" s="45">
        <v>45870.851435185185</v>
      </c>
      <c r="B149" s="7" t="s">
        <v>288</v>
      </c>
      <c r="C149" s="7" t="s">
        <v>1703</v>
      </c>
      <c r="D149" s="74">
        <v>1.0</v>
      </c>
      <c r="E149" s="46"/>
      <c r="F149" s="47">
        <v>34.46</v>
      </c>
      <c r="G149" s="47">
        <v>0.0</v>
      </c>
      <c r="H149" s="7"/>
      <c r="I149" s="47">
        <v>1.3</v>
      </c>
      <c r="J149" s="8"/>
      <c r="K149" s="7"/>
      <c r="L149" s="7"/>
      <c r="M149" s="7"/>
      <c r="N149" s="7"/>
      <c r="O149" s="7" t="s">
        <v>490</v>
      </c>
      <c r="P149" s="7" t="s">
        <v>1802</v>
      </c>
      <c r="Q149" s="7"/>
      <c r="R149" s="7" t="s">
        <v>1803</v>
      </c>
      <c r="S149" s="7" t="s">
        <v>493</v>
      </c>
      <c r="T149" s="65">
        <v>2690.0</v>
      </c>
      <c r="U149" s="7"/>
      <c r="V149" s="7"/>
    </row>
    <row r="150">
      <c r="A150" s="45">
        <v>45870.84460648148</v>
      </c>
      <c r="B150" s="7" t="s">
        <v>221</v>
      </c>
      <c r="C150" s="7" t="s">
        <v>1703</v>
      </c>
      <c r="D150" s="74">
        <v>1.0</v>
      </c>
      <c r="E150" s="46"/>
      <c r="F150" s="47">
        <v>24.99</v>
      </c>
      <c r="G150" s="47">
        <v>0.0</v>
      </c>
      <c r="H150" s="7"/>
      <c r="I150" s="47">
        <v>1.4</v>
      </c>
      <c r="J150" s="8"/>
      <c r="K150" s="7"/>
      <c r="L150" s="7"/>
      <c r="M150" s="7"/>
      <c r="N150" s="7"/>
      <c r="O150" s="7" t="s">
        <v>490</v>
      </c>
      <c r="P150" s="7" t="s">
        <v>770</v>
      </c>
      <c r="Q150" s="7"/>
      <c r="R150" s="7" t="s">
        <v>771</v>
      </c>
      <c r="S150" s="7" t="s">
        <v>545</v>
      </c>
      <c r="T150" s="65">
        <v>2689.0</v>
      </c>
      <c r="U150" s="7"/>
      <c r="V150" s="7"/>
    </row>
    <row r="151">
      <c r="A151" s="45">
        <v>45870.83269675926</v>
      </c>
      <c r="B151" s="7" t="s">
        <v>1804</v>
      </c>
      <c r="C151" s="67" t="s">
        <v>1805</v>
      </c>
      <c r="D151" s="74">
        <v>1.0</v>
      </c>
      <c r="E151" s="74">
        <v>1.0</v>
      </c>
      <c r="F151" s="47">
        <v>177.97</v>
      </c>
      <c r="G151" s="47">
        <v>0.0</v>
      </c>
      <c r="H151" s="7"/>
      <c r="I151" s="47">
        <v>8.13</v>
      </c>
      <c r="J151" s="8"/>
      <c r="K151" s="7"/>
      <c r="L151" s="7"/>
      <c r="M151" s="7"/>
      <c r="N151" s="7"/>
      <c r="O151" s="7" t="s">
        <v>490</v>
      </c>
      <c r="P151" s="7" t="s">
        <v>1806</v>
      </c>
      <c r="Q151" s="7" t="s">
        <v>1807</v>
      </c>
      <c r="R151" s="7" t="s">
        <v>875</v>
      </c>
      <c r="S151" s="7" t="s">
        <v>555</v>
      </c>
      <c r="T151" s="65">
        <v>2685.0</v>
      </c>
      <c r="U151" s="7"/>
      <c r="V151" s="7"/>
    </row>
    <row r="152">
      <c r="A152" s="45">
        <v>45870.82037037037</v>
      </c>
      <c r="B152" s="7" t="s">
        <v>137</v>
      </c>
      <c r="C152" s="67" t="s">
        <v>1805</v>
      </c>
      <c r="D152" s="74">
        <v>1.0</v>
      </c>
      <c r="E152" s="74">
        <v>1.0</v>
      </c>
      <c r="F152" s="47">
        <v>137.56</v>
      </c>
      <c r="G152" s="47">
        <v>0.0</v>
      </c>
      <c r="H152" s="7"/>
      <c r="I152" s="47">
        <v>4.29</v>
      </c>
      <c r="J152" s="8"/>
      <c r="K152" s="7"/>
      <c r="L152" s="7"/>
      <c r="M152" s="7"/>
      <c r="N152" s="7"/>
      <c r="O152" s="7" t="s">
        <v>490</v>
      </c>
      <c r="P152" s="7" t="s">
        <v>1230</v>
      </c>
      <c r="Q152" s="7"/>
      <c r="R152" s="7" t="s">
        <v>1231</v>
      </c>
      <c r="S152" s="7" t="s">
        <v>493</v>
      </c>
      <c r="T152" s="65">
        <v>2683.0</v>
      </c>
      <c r="U152" s="7"/>
      <c r="V152" s="7"/>
    </row>
    <row r="153">
      <c r="A153" s="45">
        <v>45870.81995370371</v>
      </c>
      <c r="B153" s="7" t="s">
        <v>160</v>
      </c>
      <c r="C153" s="7" t="s">
        <v>1703</v>
      </c>
      <c r="D153" s="74">
        <v>1.0</v>
      </c>
      <c r="E153" s="46"/>
      <c r="F153" s="47">
        <v>24.99</v>
      </c>
      <c r="G153" s="47">
        <v>0.0</v>
      </c>
      <c r="H153" s="7"/>
      <c r="I153" s="47">
        <v>1.4</v>
      </c>
      <c r="J153" s="8"/>
      <c r="K153" s="7"/>
      <c r="L153" s="7"/>
      <c r="M153" s="7"/>
      <c r="N153" s="7"/>
      <c r="O153" s="7" t="s">
        <v>490</v>
      </c>
      <c r="P153" s="7"/>
      <c r="Q153" s="7"/>
      <c r="R153" s="7"/>
      <c r="S153" s="7" t="s">
        <v>542</v>
      </c>
      <c r="T153" s="65">
        <v>2681.0</v>
      </c>
      <c r="U153" s="7"/>
      <c r="V153" s="7"/>
    </row>
    <row r="154">
      <c r="A154" s="45">
        <v>45870.80967592593</v>
      </c>
      <c r="B154" s="7" t="s">
        <v>270</v>
      </c>
      <c r="C154" s="7" t="s">
        <v>1703</v>
      </c>
      <c r="D154" s="74">
        <v>1.0</v>
      </c>
      <c r="E154" s="46"/>
      <c r="F154" s="47">
        <v>27.43</v>
      </c>
      <c r="G154" s="47">
        <v>0.0</v>
      </c>
      <c r="H154" s="7"/>
      <c r="I154" s="47">
        <v>1.1</v>
      </c>
      <c r="J154" s="8"/>
      <c r="K154" s="7"/>
      <c r="L154" s="7"/>
      <c r="M154" s="7"/>
      <c r="N154" s="7"/>
      <c r="O154" s="7" t="s">
        <v>490</v>
      </c>
      <c r="P154" s="7" t="s">
        <v>1569</v>
      </c>
      <c r="Q154" s="7"/>
      <c r="R154" s="7" t="s">
        <v>1570</v>
      </c>
      <c r="S154" s="7" t="s">
        <v>493</v>
      </c>
      <c r="T154" s="65">
        <v>2679.0</v>
      </c>
      <c r="U154" s="7"/>
      <c r="V154" s="7"/>
    </row>
    <row r="155">
      <c r="A155" s="45">
        <v>45870.80596064815</v>
      </c>
      <c r="B155" s="7" t="s">
        <v>361</v>
      </c>
      <c r="C155" s="7" t="s">
        <v>1703</v>
      </c>
      <c r="D155" s="74">
        <v>1.0</v>
      </c>
      <c r="E155" s="46"/>
      <c r="F155" s="47">
        <v>27.43</v>
      </c>
      <c r="G155" s="47">
        <v>0.0</v>
      </c>
      <c r="H155" s="7"/>
      <c r="I155" s="47">
        <v>1.1</v>
      </c>
      <c r="J155" s="8"/>
      <c r="K155" s="7"/>
      <c r="L155" s="7"/>
      <c r="M155" s="7"/>
      <c r="N155" s="7"/>
      <c r="O155" s="7" t="s">
        <v>490</v>
      </c>
      <c r="P155" s="7" t="s">
        <v>1269</v>
      </c>
      <c r="Q155" s="7" t="s">
        <v>1270</v>
      </c>
      <c r="R155" s="7" t="s">
        <v>1271</v>
      </c>
      <c r="S155" s="7" t="s">
        <v>493</v>
      </c>
      <c r="T155" s="65">
        <v>2678.0</v>
      </c>
      <c r="U155" s="7"/>
      <c r="V155" s="7"/>
    </row>
    <row r="156">
      <c r="A156" s="45">
        <v>45870.80405092592</v>
      </c>
      <c r="B156" s="7" t="s">
        <v>335</v>
      </c>
      <c r="C156" s="67" t="s">
        <v>1805</v>
      </c>
      <c r="D156" s="74">
        <v>1.0</v>
      </c>
      <c r="E156" s="74">
        <v>1.0</v>
      </c>
      <c r="F156" s="47">
        <v>124.99</v>
      </c>
      <c r="G156" s="47">
        <v>0.0</v>
      </c>
      <c r="H156" s="7"/>
      <c r="I156" s="47">
        <v>3.92</v>
      </c>
      <c r="J156" s="8"/>
      <c r="K156" s="7"/>
      <c r="L156" s="7"/>
      <c r="M156" s="7"/>
      <c r="N156" s="7"/>
      <c r="O156" s="7" t="s">
        <v>490</v>
      </c>
      <c r="P156" s="7" t="s">
        <v>1589</v>
      </c>
      <c r="Q156" s="7" t="s">
        <v>1590</v>
      </c>
      <c r="R156" s="7" t="s">
        <v>947</v>
      </c>
      <c r="S156" s="7" t="s">
        <v>493</v>
      </c>
      <c r="T156" s="65">
        <v>2677.0</v>
      </c>
      <c r="U156" s="7"/>
      <c r="V156" s="7"/>
    </row>
    <row r="157">
      <c r="A157" s="45">
        <v>45870.80391203704</v>
      </c>
      <c r="B157" s="7" t="s">
        <v>780</v>
      </c>
      <c r="C157" s="7" t="s">
        <v>1703</v>
      </c>
      <c r="D157" s="74">
        <v>1.0</v>
      </c>
      <c r="E157" s="46"/>
      <c r="F157" s="47">
        <v>24.99</v>
      </c>
      <c r="G157" s="47">
        <v>0.0</v>
      </c>
      <c r="H157" s="7"/>
      <c r="I157" s="47">
        <v>1.4</v>
      </c>
      <c r="J157" s="8"/>
      <c r="K157" s="7"/>
      <c r="L157" s="7"/>
      <c r="M157" s="7"/>
      <c r="N157" s="7"/>
      <c r="O157" s="7" t="s">
        <v>490</v>
      </c>
      <c r="P157" s="7" t="s">
        <v>781</v>
      </c>
      <c r="Q157" s="7"/>
      <c r="R157" s="7" t="s">
        <v>782</v>
      </c>
      <c r="S157" s="7" t="s">
        <v>542</v>
      </c>
      <c r="T157" s="65">
        <v>2675.0</v>
      </c>
      <c r="U157" s="7"/>
      <c r="V157" s="7"/>
    </row>
    <row r="158">
      <c r="A158" s="45">
        <v>45870.803622685184</v>
      </c>
      <c r="B158" s="7" t="s">
        <v>1808</v>
      </c>
      <c r="C158" s="7" t="s">
        <v>1703</v>
      </c>
      <c r="D158" s="74">
        <v>1.0</v>
      </c>
      <c r="E158" s="46"/>
      <c r="F158" s="47">
        <v>24.99</v>
      </c>
      <c r="G158" s="47">
        <v>0.0</v>
      </c>
      <c r="H158" s="7"/>
      <c r="I158" s="47">
        <v>1.02</v>
      </c>
      <c r="J158" s="8"/>
      <c r="K158" s="7"/>
      <c r="L158" s="7"/>
      <c r="M158" s="7"/>
      <c r="N158" s="7"/>
      <c r="O158" s="7" t="s">
        <v>490</v>
      </c>
      <c r="P158" s="7" t="s">
        <v>1220</v>
      </c>
      <c r="Q158" s="7"/>
      <c r="R158" s="7" t="s">
        <v>1221</v>
      </c>
      <c r="S158" s="7" t="s">
        <v>493</v>
      </c>
      <c r="T158" s="65">
        <v>2676.0</v>
      </c>
      <c r="U158" s="7"/>
      <c r="V158" s="7"/>
    </row>
    <row r="159">
      <c r="A159" s="45">
        <v>45870.8021875</v>
      </c>
      <c r="B159" s="7" t="s">
        <v>153</v>
      </c>
      <c r="C159" s="7" t="s">
        <v>1703</v>
      </c>
      <c r="D159" s="74">
        <v>1.0</v>
      </c>
      <c r="E159" s="46"/>
      <c r="F159" s="47">
        <v>26.93</v>
      </c>
      <c r="G159" s="47">
        <v>0.0</v>
      </c>
      <c r="H159" s="7"/>
      <c r="I159" s="47">
        <v>1.08</v>
      </c>
      <c r="J159" s="8"/>
      <c r="K159" s="7"/>
      <c r="L159" s="7"/>
      <c r="M159" s="7"/>
      <c r="N159" s="7"/>
      <c r="O159" s="7" t="s">
        <v>490</v>
      </c>
      <c r="P159" s="7" t="s">
        <v>1018</v>
      </c>
      <c r="Q159" s="7" t="s">
        <v>1019</v>
      </c>
      <c r="R159" s="7" t="s">
        <v>1020</v>
      </c>
      <c r="S159" s="7" t="s">
        <v>493</v>
      </c>
      <c r="T159" s="65">
        <v>2674.0</v>
      </c>
      <c r="U159" s="7"/>
      <c r="V159" s="7"/>
    </row>
    <row r="160">
      <c r="A160" s="45">
        <v>45870.798784722225</v>
      </c>
      <c r="B160" s="7" t="s">
        <v>1267</v>
      </c>
      <c r="C160" s="7" t="s">
        <v>1703</v>
      </c>
      <c r="D160" s="74">
        <v>1.0</v>
      </c>
      <c r="E160" s="46"/>
      <c r="F160" s="47">
        <v>26.49</v>
      </c>
      <c r="G160" s="47">
        <v>0.0</v>
      </c>
      <c r="H160" s="7"/>
      <c r="I160" s="47">
        <v>1.07</v>
      </c>
      <c r="J160" s="8"/>
      <c r="K160" s="7"/>
      <c r="L160" s="7"/>
      <c r="M160" s="7"/>
      <c r="N160" s="7"/>
      <c r="O160" s="7" t="s">
        <v>490</v>
      </c>
      <c r="P160" s="7"/>
      <c r="Q160" s="7"/>
      <c r="R160" s="7"/>
      <c r="S160" s="7" t="s">
        <v>493</v>
      </c>
      <c r="T160" s="65">
        <v>2672.0</v>
      </c>
      <c r="U160" s="7"/>
      <c r="V160" s="7"/>
    </row>
    <row r="161">
      <c r="A161" s="45">
        <v>45870.798310185186</v>
      </c>
      <c r="B161" s="7" t="s">
        <v>378</v>
      </c>
      <c r="C161" s="7" t="s">
        <v>1703</v>
      </c>
      <c r="D161" s="74">
        <v>1.0</v>
      </c>
      <c r="E161" s="46"/>
      <c r="F161" s="47">
        <v>24.99</v>
      </c>
      <c r="G161" s="47">
        <v>0.0</v>
      </c>
      <c r="H161" s="7"/>
      <c r="I161" s="47">
        <v>1.02</v>
      </c>
      <c r="J161" s="8"/>
      <c r="K161" s="7"/>
      <c r="L161" s="7"/>
      <c r="M161" s="7"/>
      <c r="N161" s="7"/>
      <c r="O161" s="7" t="s">
        <v>490</v>
      </c>
      <c r="P161" s="7" t="s">
        <v>772</v>
      </c>
      <c r="Q161" s="7"/>
      <c r="R161" s="7" t="s">
        <v>773</v>
      </c>
      <c r="S161" s="7" t="s">
        <v>493</v>
      </c>
      <c r="T161" s="65">
        <v>2671.0</v>
      </c>
      <c r="U161" s="7"/>
      <c r="V161" s="7"/>
    </row>
    <row r="162">
      <c r="A162" s="45">
        <v>45870.79608796296</v>
      </c>
      <c r="B162" s="7" t="s">
        <v>230</v>
      </c>
      <c r="C162" s="67" t="s">
        <v>1805</v>
      </c>
      <c r="D162" s="74">
        <v>1.0</v>
      </c>
      <c r="E162" s="74">
        <v>1.0</v>
      </c>
      <c r="F162" s="47">
        <v>134.46</v>
      </c>
      <c r="G162" s="47">
        <v>0.0</v>
      </c>
      <c r="H162" s="7"/>
      <c r="I162" s="47">
        <v>4.2</v>
      </c>
      <c r="J162" s="8"/>
      <c r="K162" s="7"/>
      <c r="L162" s="7"/>
      <c r="M162" s="7"/>
      <c r="N162" s="7"/>
      <c r="O162" s="7" t="s">
        <v>490</v>
      </c>
      <c r="P162" s="7" t="s">
        <v>1809</v>
      </c>
      <c r="Q162" s="7"/>
      <c r="R162" s="7" t="s">
        <v>1810</v>
      </c>
      <c r="S162" s="7" t="s">
        <v>493</v>
      </c>
      <c r="T162" s="65">
        <v>2670.0</v>
      </c>
      <c r="U162" s="7"/>
      <c r="V162" s="7"/>
    </row>
    <row r="163">
      <c r="A163" s="45">
        <v>45870.79467592593</v>
      </c>
      <c r="B163" s="7" t="s">
        <v>366</v>
      </c>
      <c r="C163" s="67" t="s">
        <v>1805</v>
      </c>
      <c r="D163" s="74">
        <v>1.0</v>
      </c>
      <c r="E163" s="74">
        <v>1.0</v>
      </c>
      <c r="F163" s="47">
        <v>124.99</v>
      </c>
      <c r="G163" s="47">
        <v>0.0</v>
      </c>
      <c r="H163" s="7"/>
      <c r="I163" s="47">
        <v>5.8</v>
      </c>
      <c r="J163" s="8"/>
      <c r="K163" s="7"/>
      <c r="L163" s="7"/>
      <c r="M163" s="7"/>
      <c r="N163" s="7"/>
      <c r="O163" s="7" t="s">
        <v>490</v>
      </c>
      <c r="P163" s="7" t="s">
        <v>1811</v>
      </c>
      <c r="Q163" s="7"/>
      <c r="R163" s="7" t="s">
        <v>572</v>
      </c>
      <c r="S163" s="7" t="s">
        <v>510</v>
      </c>
      <c r="T163" s="65">
        <v>2667.0</v>
      </c>
      <c r="U163" s="7"/>
      <c r="V163" s="7"/>
    </row>
    <row r="164">
      <c r="A164" s="45">
        <v>45870.79032407407</v>
      </c>
      <c r="B164" s="7" t="s">
        <v>1812</v>
      </c>
      <c r="C164" s="7" t="s">
        <v>1703</v>
      </c>
      <c r="D164" s="74">
        <v>1.0</v>
      </c>
      <c r="E164" s="46"/>
      <c r="F164" s="47">
        <v>24.99</v>
      </c>
      <c r="G164" s="47">
        <v>0.0</v>
      </c>
      <c r="H164" s="7"/>
      <c r="I164" s="47">
        <v>1.4</v>
      </c>
      <c r="J164" s="8"/>
      <c r="K164" s="7"/>
      <c r="L164" s="7"/>
      <c r="M164" s="7"/>
      <c r="N164" s="7"/>
      <c r="O164" s="7" t="s">
        <v>490</v>
      </c>
      <c r="P164" s="7" t="s">
        <v>1813</v>
      </c>
      <c r="Q164" s="7"/>
      <c r="R164" s="7" t="s">
        <v>500</v>
      </c>
      <c r="S164" s="7" t="s">
        <v>501</v>
      </c>
      <c r="T164" s="65">
        <v>2653.0</v>
      </c>
      <c r="U164" s="7"/>
      <c r="V164" s="7"/>
    </row>
    <row r="165">
      <c r="A165" s="45">
        <v>45870.790185185186</v>
      </c>
      <c r="B165" s="7" t="s">
        <v>804</v>
      </c>
      <c r="C165" s="7" t="s">
        <v>1703</v>
      </c>
      <c r="D165" s="74">
        <v>1.0</v>
      </c>
      <c r="E165" s="46"/>
      <c r="F165" s="47">
        <v>24.99</v>
      </c>
      <c r="G165" s="47">
        <v>0.0</v>
      </c>
      <c r="H165" s="7"/>
      <c r="I165" s="47">
        <v>1.02</v>
      </c>
      <c r="J165" s="8"/>
      <c r="K165" s="7"/>
      <c r="L165" s="7"/>
      <c r="M165" s="7"/>
      <c r="N165" s="7"/>
      <c r="O165" s="7" t="s">
        <v>490</v>
      </c>
      <c r="P165" s="7" t="s">
        <v>805</v>
      </c>
      <c r="Q165" s="7"/>
      <c r="R165" s="7" t="s">
        <v>806</v>
      </c>
      <c r="S165" s="7" t="s">
        <v>493</v>
      </c>
      <c r="T165" s="65">
        <v>2668.0</v>
      </c>
      <c r="U165" s="7"/>
      <c r="V165" s="7"/>
    </row>
    <row r="166">
      <c r="A166" s="45">
        <v>45870.78962962963</v>
      </c>
      <c r="B166" s="7" t="s">
        <v>144</v>
      </c>
      <c r="C166" s="7" t="s">
        <v>1703</v>
      </c>
      <c r="D166" s="74">
        <v>1.0</v>
      </c>
      <c r="E166" s="46"/>
      <c r="F166" s="47">
        <v>24.99</v>
      </c>
      <c r="G166" s="47">
        <v>0.0</v>
      </c>
      <c r="H166" s="7"/>
      <c r="I166" s="47">
        <v>1.4</v>
      </c>
      <c r="J166" s="8"/>
      <c r="K166" s="7"/>
      <c r="L166" s="7"/>
      <c r="M166" s="7"/>
      <c r="N166" s="7"/>
      <c r="O166" s="7" t="s">
        <v>490</v>
      </c>
      <c r="P166" s="7" t="s">
        <v>1382</v>
      </c>
      <c r="Q166" s="7"/>
      <c r="R166" s="7" t="s">
        <v>1383</v>
      </c>
      <c r="S166" s="7" t="s">
        <v>51</v>
      </c>
      <c r="T166" s="65">
        <v>2666.0</v>
      </c>
      <c r="U166" s="7"/>
      <c r="V166" s="7"/>
    </row>
    <row r="167">
      <c r="A167" s="45">
        <v>45870.787453703706</v>
      </c>
      <c r="B167" s="7" t="s">
        <v>338</v>
      </c>
      <c r="C167" s="7" t="s">
        <v>1703</v>
      </c>
      <c r="D167" s="74">
        <v>1.0</v>
      </c>
      <c r="E167" s="46"/>
      <c r="F167" s="47">
        <v>24.99</v>
      </c>
      <c r="G167" s="47">
        <v>0.0</v>
      </c>
      <c r="H167" s="7"/>
      <c r="I167" s="47">
        <v>1.02</v>
      </c>
      <c r="J167" s="8"/>
      <c r="K167" s="7"/>
      <c r="L167" s="7"/>
      <c r="M167" s="7"/>
      <c r="N167" s="7"/>
      <c r="O167" s="7" t="s">
        <v>490</v>
      </c>
      <c r="P167" s="7" t="s">
        <v>1633</v>
      </c>
      <c r="Q167" s="7" t="s">
        <v>1634</v>
      </c>
      <c r="R167" s="7" t="s">
        <v>1063</v>
      </c>
      <c r="S167" s="7" t="s">
        <v>493</v>
      </c>
      <c r="T167" s="65">
        <v>2665.0</v>
      </c>
      <c r="U167" s="7"/>
      <c r="V167" s="7"/>
    </row>
    <row r="168">
      <c r="A168" s="45">
        <v>45870.786990740744</v>
      </c>
      <c r="B168" s="7" t="s">
        <v>663</v>
      </c>
      <c r="C168" s="7" t="s">
        <v>1703</v>
      </c>
      <c r="D168" s="74">
        <v>1.0</v>
      </c>
      <c r="E168" s="46"/>
      <c r="F168" s="47">
        <v>24.99</v>
      </c>
      <c r="G168" s="47">
        <v>0.0</v>
      </c>
      <c r="H168" s="7"/>
      <c r="I168" s="47">
        <v>1.4</v>
      </c>
      <c r="J168" s="8"/>
      <c r="K168" s="7"/>
      <c r="L168" s="7"/>
      <c r="M168" s="7"/>
      <c r="N168" s="7"/>
      <c r="O168" s="7" t="s">
        <v>490</v>
      </c>
      <c r="P168" s="7" t="s">
        <v>664</v>
      </c>
      <c r="Q168" s="7"/>
      <c r="R168" s="7" t="s">
        <v>666</v>
      </c>
      <c r="S168" s="7" t="s">
        <v>617</v>
      </c>
      <c r="T168" s="65">
        <v>2655.0</v>
      </c>
      <c r="U168" s="7"/>
      <c r="V168" s="7"/>
    </row>
    <row r="169">
      <c r="A169" s="45">
        <v>45870.78570601852</v>
      </c>
      <c r="B169" s="7" t="s">
        <v>208</v>
      </c>
      <c r="C169" s="7" t="s">
        <v>1703</v>
      </c>
      <c r="D169" s="74">
        <v>1.0</v>
      </c>
      <c r="E169" s="46"/>
      <c r="F169" s="47">
        <v>24.99</v>
      </c>
      <c r="G169" s="47">
        <v>0.0</v>
      </c>
      <c r="H169" s="7"/>
      <c r="I169" s="47">
        <v>1.02</v>
      </c>
      <c r="J169" s="8"/>
      <c r="K169" s="7"/>
      <c r="L169" s="7"/>
      <c r="M169" s="7"/>
      <c r="N169" s="7"/>
      <c r="O169" s="7" t="s">
        <v>490</v>
      </c>
      <c r="P169" s="7" t="s">
        <v>1814</v>
      </c>
      <c r="Q169" s="7" t="s">
        <v>1815</v>
      </c>
      <c r="R169" s="7" t="s">
        <v>1109</v>
      </c>
      <c r="S169" s="7" t="s">
        <v>493</v>
      </c>
      <c r="T169" s="65">
        <v>2664.0</v>
      </c>
      <c r="U169" s="7"/>
      <c r="V169" s="7"/>
    </row>
    <row r="170">
      <c r="A170" s="45">
        <v>45870.78549768519</v>
      </c>
      <c r="B170" s="7" t="s">
        <v>709</v>
      </c>
      <c r="C170" s="7" t="s">
        <v>1703</v>
      </c>
      <c r="D170" s="74">
        <v>1.0</v>
      </c>
      <c r="E170" s="46"/>
      <c r="F170" s="47">
        <v>24.99</v>
      </c>
      <c r="G170" s="47">
        <v>0.0</v>
      </c>
      <c r="H170" s="7"/>
      <c r="I170" s="47">
        <v>1.4</v>
      </c>
      <c r="J170" s="8"/>
      <c r="K170" s="7"/>
      <c r="L170" s="7"/>
      <c r="M170" s="7"/>
      <c r="N170" s="7"/>
      <c r="O170" s="7" t="s">
        <v>490</v>
      </c>
      <c r="P170" s="7" t="s">
        <v>711</v>
      </c>
      <c r="Q170" s="7" t="s">
        <v>710</v>
      </c>
      <c r="R170" s="7" t="s">
        <v>712</v>
      </c>
      <c r="S170" s="7" t="s">
        <v>545</v>
      </c>
      <c r="T170" s="65">
        <v>2662.0</v>
      </c>
      <c r="U170" s="7"/>
      <c r="V170" s="7"/>
    </row>
    <row r="171">
      <c r="A171" s="45">
        <v>45870.784895833334</v>
      </c>
      <c r="B171" s="7" t="s">
        <v>1628</v>
      </c>
      <c r="C171" s="7" t="s">
        <v>1703</v>
      </c>
      <c r="D171" s="74">
        <v>1.0</v>
      </c>
      <c r="E171" s="46"/>
      <c r="F171" s="47">
        <v>24.99</v>
      </c>
      <c r="G171" s="47">
        <v>0.0</v>
      </c>
      <c r="H171" s="7"/>
      <c r="I171" s="47">
        <v>1.4</v>
      </c>
      <c r="J171" s="8"/>
      <c r="K171" s="7"/>
      <c r="L171" s="7"/>
      <c r="M171" s="7"/>
      <c r="N171" s="7"/>
      <c r="O171" s="7" t="s">
        <v>490</v>
      </c>
      <c r="P171" s="7" t="s">
        <v>1629</v>
      </c>
      <c r="Q171" s="7" t="s">
        <v>606</v>
      </c>
      <c r="R171" s="7" t="s">
        <v>607</v>
      </c>
      <c r="S171" s="7" t="s">
        <v>542</v>
      </c>
      <c r="T171" s="65">
        <v>2656.0</v>
      </c>
      <c r="U171" s="7"/>
      <c r="V171" s="7"/>
    </row>
    <row r="172">
      <c r="A172" s="45">
        <v>45870.78313657407</v>
      </c>
      <c r="B172" s="7" t="s">
        <v>1222</v>
      </c>
      <c r="C172" s="7" t="s">
        <v>1703</v>
      </c>
      <c r="D172" s="74">
        <v>1.0</v>
      </c>
      <c r="E172" s="46"/>
      <c r="F172" s="47">
        <v>24.99</v>
      </c>
      <c r="G172" s="47">
        <v>0.0</v>
      </c>
      <c r="H172" s="7"/>
      <c r="I172" s="47">
        <v>1.4</v>
      </c>
      <c r="J172" s="8"/>
      <c r="K172" s="7"/>
      <c r="L172" s="7"/>
      <c r="M172" s="7"/>
      <c r="N172" s="7"/>
      <c r="O172" s="7" t="s">
        <v>490</v>
      </c>
      <c r="P172" s="7" t="s">
        <v>1223</v>
      </c>
      <c r="Q172" s="7"/>
      <c r="R172" s="7" t="s">
        <v>1224</v>
      </c>
      <c r="S172" s="7" t="s">
        <v>823</v>
      </c>
      <c r="T172" s="65">
        <v>2654.0</v>
      </c>
      <c r="U172" s="7"/>
      <c r="V172" s="7"/>
    </row>
    <row r="173">
      <c r="A173" s="45">
        <v>45870.77449074074</v>
      </c>
      <c r="B173" s="7" t="s">
        <v>536</v>
      </c>
      <c r="C173" s="7" t="s">
        <v>1703</v>
      </c>
      <c r="D173" s="74">
        <v>1.0</v>
      </c>
      <c r="E173" s="46"/>
      <c r="F173" s="47">
        <v>27.05</v>
      </c>
      <c r="G173" s="47">
        <v>0.0</v>
      </c>
      <c r="H173" s="7"/>
      <c r="I173" s="47">
        <v>1.08</v>
      </c>
      <c r="J173" s="8"/>
      <c r="K173" s="7"/>
      <c r="L173" s="7"/>
      <c r="M173" s="7"/>
      <c r="N173" s="7"/>
      <c r="O173" s="7" t="s">
        <v>490</v>
      </c>
      <c r="P173" s="7" t="s">
        <v>537</v>
      </c>
      <c r="Q173" s="7"/>
      <c r="R173" s="7" t="s">
        <v>538</v>
      </c>
      <c r="S173" s="7" t="s">
        <v>493</v>
      </c>
      <c r="T173" s="65">
        <v>2650.0</v>
      </c>
      <c r="U173" s="7"/>
      <c r="V173" s="7"/>
    </row>
    <row r="174">
      <c r="A174" s="45">
        <v>45870.76634259259</v>
      </c>
      <c r="B174" s="7" t="s">
        <v>133</v>
      </c>
      <c r="C174" s="7" t="s">
        <v>1703</v>
      </c>
      <c r="D174" s="74">
        <v>1.0</v>
      </c>
      <c r="E174" s="46"/>
      <c r="F174" s="47">
        <v>24.99</v>
      </c>
      <c r="G174" s="47">
        <v>0.0</v>
      </c>
      <c r="H174" s="7"/>
      <c r="I174" s="47">
        <v>1.02</v>
      </c>
      <c r="J174" s="8"/>
      <c r="K174" s="7"/>
      <c r="L174" s="7"/>
      <c r="M174" s="7"/>
      <c r="N174" s="7"/>
      <c r="O174" s="7" t="s">
        <v>490</v>
      </c>
      <c r="P174" s="7" t="s">
        <v>843</v>
      </c>
      <c r="Q174" s="7"/>
      <c r="R174" s="7" t="s">
        <v>844</v>
      </c>
      <c r="S174" s="7" t="s">
        <v>493</v>
      </c>
      <c r="T174" s="65">
        <v>2649.0</v>
      </c>
      <c r="U174" s="7"/>
      <c r="V174" s="7"/>
    </row>
    <row r="175">
      <c r="A175" s="45">
        <v>45870.764328703706</v>
      </c>
      <c r="B175" s="7" t="s">
        <v>236</v>
      </c>
      <c r="C175" s="67" t="s">
        <v>1805</v>
      </c>
      <c r="D175" s="74">
        <v>1.0</v>
      </c>
      <c r="E175" s="74">
        <v>1.0</v>
      </c>
      <c r="F175" s="47">
        <v>124.99</v>
      </c>
      <c r="G175" s="47">
        <v>0.0</v>
      </c>
      <c r="H175" s="7"/>
      <c r="I175" s="47">
        <v>3.92</v>
      </c>
      <c r="J175" s="8"/>
      <c r="K175" s="7"/>
      <c r="L175" s="7"/>
      <c r="M175" s="7"/>
      <c r="N175" s="7"/>
      <c r="O175" s="7" t="s">
        <v>490</v>
      </c>
      <c r="P175" s="7" t="s">
        <v>1635</v>
      </c>
      <c r="Q175" s="7"/>
      <c r="R175" s="7" t="s">
        <v>1636</v>
      </c>
      <c r="S175" s="7" t="s">
        <v>493</v>
      </c>
      <c r="T175" s="65">
        <v>2648.0</v>
      </c>
      <c r="U175" s="7"/>
      <c r="V175" s="7"/>
    </row>
    <row r="176">
      <c r="A176" s="45">
        <v>45870.76366898148</v>
      </c>
      <c r="B176" s="7" t="s">
        <v>463</v>
      </c>
      <c r="C176" s="7" t="s">
        <v>1703</v>
      </c>
      <c r="D176" s="74">
        <v>1.0</v>
      </c>
      <c r="E176" s="46"/>
      <c r="F176" s="47">
        <v>24.99</v>
      </c>
      <c r="G176" s="47">
        <v>0.0</v>
      </c>
      <c r="H176" s="7"/>
      <c r="I176" s="47">
        <v>1.02</v>
      </c>
      <c r="J176" s="8"/>
      <c r="K176" s="7"/>
      <c r="L176" s="7"/>
      <c r="M176" s="7"/>
      <c r="N176" s="7"/>
      <c r="O176" s="7" t="s">
        <v>490</v>
      </c>
      <c r="P176" s="7" t="s">
        <v>1301</v>
      </c>
      <c r="Q176" s="7"/>
      <c r="R176" s="7" t="s">
        <v>1302</v>
      </c>
      <c r="S176" s="7" t="s">
        <v>493</v>
      </c>
      <c r="T176" s="65">
        <v>2647.0</v>
      </c>
      <c r="U176" s="7"/>
      <c r="V176" s="7"/>
    </row>
    <row r="177">
      <c r="A177" s="45">
        <v>45870.76068287037</v>
      </c>
      <c r="B177" s="7" t="s">
        <v>390</v>
      </c>
      <c r="C177" s="7" t="s">
        <v>1703</v>
      </c>
      <c r="D177" s="74">
        <v>1.0</v>
      </c>
      <c r="E177" s="46"/>
      <c r="F177" s="47">
        <v>24.99</v>
      </c>
      <c r="G177" s="47">
        <v>0.0</v>
      </c>
      <c r="H177" s="7"/>
      <c r="I177" s="47">
        <v>1.4</v>
      </c>
      <c r="J177" s="8"/>
      <c r="K177" s="7"/>
      <c r="L177" s="7"/>
      <c r="M177" s="7"/>
      <c r="N177" s="7"/>
      <c r="O177" s="7" t="s">
        <v>490</v>
      </c>
      <c r="P177" s="7"/>
      <c r="Q177" s="7"/>
      <c r="R177" s="7"/>
      <c r="S177" s="7" t="s">
        <v>545</v>
      </c>
      <c r="T177" s="65">
        <v>2646.0</v>
      </c>
      <c r="U177" s="7"/>
      <c r="V177" s="7"/>
    </row>
    <row r="178">
      <c r="A178" s="45">
        <v>45870.755844907406</v>
      </c>
      <c r="B178" s="7" t="s">
        <v>592</v>
      </c>
      <c r="C178" s="67" t="s">
        <v>1805</v>
      </c>
      <c r="D178" s="74">
        <v>1.0</v>
      </c>
      <c r="E178" s="74">
        <v>1.0</v>
      </c>
      <c r="F178" s="47">
        <v>138.11</v>
      </c>
      <c r="G178" s="47">
        <v>0.0</v>
      </c>
      <c r="H178" s="7"/>
      <c r="I178" s="47">
        <v>4.31</v>
      </c>
      <c r="J178" s="8"/>
      <c r="K178" s="7"/>
      <c r="L178" s="7"/>
      <c r="M178" s="7"/>
      <c r="N178" s="7"/>
      <c r="O178" s="7" t="s">
        <v>490</v>
      </c>
      <c r="P178" s="7" t="s">
        <v>593</v>
      </c>
      <c r="Q178" s="7"/>
      <c r="R178" s="7" t="s">
        <v>594</v>
      </c>
      <c r="S178" s="7" t="s">
        <v>493</v>
      </c>
      <c r="T178" s="65">
        <v>2641.0</v>
      </c>
      <c r="U178" s="7"/>
      <c r="V178" s="7"/>
    </row>
    <row r="179">
      <c r="A179" s="45">
        <v>45870.75471064815</v>
      </c>
      <c r="B179" s="7" t="s">
        <v>1245</v>
      </c>
      <c r="C179" s="7" t="s">
        <v>1703</v>
      </c>
      <c r="D179" s="74">
        <v>1.0</v>
      </c>
      <c r="E179" s="46"/>
      <c r="F179" s="47">
        <v>24.99</v>
      </c>
      <c r="G179" s="47">
        <v>0.0</v>
      </c>
      <c r="H179" s="7"/>
      <c r="I179" s="47">
        <v>1.02</v>
      </c>
      <c r="J179" s="8"/>
      <c r="K179" s="7"/>
      <c r="L179" s="7"/>
      <c r="M179" s="7"/>
      <c r="N179" s="7"/>
      <c r="O179" s="7" t="s">
        <v>490</v>
      </c>
      <c r="P179" s="7" t="s">
        <v>1246</v>
      </c>
      <c r="Q179" s="7"/>
      <c r="R179" s="7" t="s">
        <v>1247</v>
      </c>
      <c r="S179" s="7" t="s">
        <v>493</v>
      </c>
      <c r="T179" s="65">
        <v>2640.0</v>
      </c>
      <c r="U179" s="7"/>
      <c r="V179" s="7"/>
    </row>
    <row r="180">
      <c r="A180" s="45">
        <v>45870.752488425926</v>
      </c>
      <c r="B180" s="7" t="s">
        <v>1284</v>
      </c>
      <c r="C180" s="7" t="s">
        <v>1703</v>
      </c>
      <c r="D180" s="74">
        <v>1.0</v>
      </c>
      <c r="E180" s="46"/>
      <c r="F180" s="47">
        <v>24.99</v>
      </c>
      <c r="G180" s="47">
        <v>0.0</v>
      </c>
      <c r="H180" s="7"/>
      <c r="I180" s="47">
        <v>1.4</v>
      </c>
      <c r="J180" s="8"/>
      <c r="K180" s="7"/>
      <c r="L180" s="7"/>
      <c r="M180" s="7"/>
      <c r="N180" s="7"/>
      <c r="O180" s="7" t="s">
        <v>490</v>
      </c>
      <c r="P180" s="7"/>
      <c r="Q180" s="7"/>
      <c r="R180" s="7"/>
      <c r="S180" s="7" t="s">
        <v>545</v>
      </c>
      <c r="T180" s="65">
        <v>2637.0</v>
      </c>
      <c r="U180" s="7"/>
      <c r="V180" s="7"/>
    </row>
    <row r="181">
      <c r="A181" s="45">
        <v>45870.750706018516</v>
      </c>
      <c r="B181" s="7" t="s">
        <v>1099</v>
      </c>
      <c r="C181" s="7" t="s">
        <v>1703</v>
      </c>
      <c r="D181" s="74">
        <v>1.0</v>
      </c>
      <c r="E181" s="46"/>
      <c r="F181" s="47">
        <v>27.61</v>
      </c>
      <c r="G181" s="47">
        <v>0.0</v>
      </c>
      <c r="H181" s="7"/>
      <c r="I181" s="47">
        <v>1.1</v>
      </c>
      <c r="J181" s="8"/>
      <c r="K181" s="7"/>
      <c r="L181" s="7"/>
      <c r="M181" s="7"/>
      <c r="N181" s="7"/>
      <c r="O181" s="7" t="s">
        <v>490</v>
      </c>
      <c r="P181" s="7" t="s">
        <v>1100</v>
      </c>
      <c r="Q181" s="7"/>
      <c r="R181" s="7" t="s">
        <v>1101</v>
      </c>
      <c r="S181" s="7" t="s">
        <v>493</v>
      </c>
      <c r="T181" s="65">
        <v>2636.0</v>
      </c>
      <c r="U181" s="7"/>
      <c r="V181" s="7"/>
    </row>
    <row r="182">
      <c r="A182" s="45">
        <v>45870.75038194445</v>
      </c>
      <c r="B182" s="7" t="s">
        <v>399</v>
      </c>
      <c r="C182" s="7" t="s">
        <v>1703</v>
      </c>
      <c r="D182" s="74">
        <v>1.0</v>
      </c>
      <c r="E182" s="46"/>
      <c r="F182" s="47">
        <v>24.99</v>
      </c>
      <c r="G182" s="47">
        <v>0.0</v>
      </c>
      <c r="H182" s="7"/>
      <c r="I182" s="47">
        <v>1.02</v>
      </c>
      <c r="J182" s="8"/>
      <c r="K182" s="7"/>
      <c r="L182" s="7"/>
      <c r="M182" s="7"/>
      <c r="N182" s="7"/>
      <c r="O182" s="7" t="s">
        <v>490</v>
      </c>
      <c r="P182" s="7" t="s">
        <v>1654</v>
      </c>
      <c r="Q182" s="7" t="s">
        <v>1319</v>
      </c>
      <c r="R182" s="7" t="s">
        <v>1320</v>
      </c>
      <c r="S182" s="7" t="s">
        <v>493</v>
      </c>
      <c r="T182" s="65">
        <v>2634.0</v>
      </c>
      <c r="U182" s="7"/>
      <c r="V182" s="7"/>
    </row>
    <row r="183">
      <c r="A183" s="45">
        <v>45870.74773148148</v>
      </c>
      <c r="B183" s="7" t="s">
        <v>733</v>
      </c>
      <c r="C183" s="7" t="s">
        <v>1703</v>
      </c>
      <c r="D183" s="74">
        <v>1.0</v>
      </c>
      <c r="E183" s="46"/>
      <c r="F183" s="47">
        <v>24.99</v>
      </c>
      <c r="G183" s="47">
        <v>0.0</v>
      </c>
      <c r="H183" s="7"/>
      <c r="I183" s="47">
        <v>1.4</v>
      </c>
      <c r="J183" s="8"/>
      <c r="K183" s="7"/>
      <c r="L183" s="7"/>
      <c r="M183" s="7"/>
      <c r="N183" s="7"/>
      <c r="O183" s="7" t="s">
        <v>490</v>
      </c>
      <c r="P183" s="7" t="s">
        <v>734</v>
      </c>
      <c r="Q183" s="7"/>
      <c r="R183" s="7" t="s">
        <v>735</v>
      </c>
      <c r="S183" s="7" t="s">
        <v>545</v>
      </c>
      <c r="T183" s="65">
        <v>2632.0</v>
      </c>
      <c r="U183" s="7"/>
      <c r="V183" s="7"/>
    </row>
    <row r="184">
      <c r="A184" s="45">
        <v>45870.746828703705</v>
      </c>
      <c r="B184" s="7" t="s">
        <v>1816</v>
      </c>
      <c r="C184" s="67" t="s">
        <v>1805</v>
      </c>
      <c r="D184" s="74">
        <v>1.0</v>
      </c>
      <c r="E184" s="74">
        <v>1.0</v>
      </c>
      <c r="F184" s="47">
        <v>124.99</v>
      </c>
      <c r="G184" s="47">
        <v>0.0</v>
      </c>
      <c r="H184" s="7"/>
      <c r="I184" s="47">
        <v>3.92</v>
      </c>
      <c r="J184" s="8"/>
      <c r="K184" s="7"/>
      <c r="L184" s="7"/>
      <c r="M184" s="7"/>
      <c r="N184" s="7"/>
      <c r="O184" s="7" t="s">
        <v>490</v>
      </c>
      <c r="P184" s="7" t="s">
        <v>1331</v>
      </c>
      <c r="Q184" s="7"/>
      <c r="R184" s="7" t="s">
        <v>1332</v>
      </c>
      <c r="S184" s="7" t="s">
        <v>493</v>
      </c>
      <c r="T184" s="65">
        <v>2631.0</v>
      </c>
      <c r="U184" s="7"/>
      <c r="V184" s="7"/>
    </row>
    <row r="185">
      <c r="A185" s="45">
        <v>45870.74532407407</v>
      </c>
      <c r="B185" s="7" t="s">
        <v>956</v>
      </c>
      <c r="C185" s="7" t="s">
        <v>1703</v>
      </c>
      <c r="D185" s="74">
        <v>1.0</v>
      </c>
      <c r="E185" s="46"/>
      <c r="F185" s="47">
        <v>24.99</v>
      </c>
      <c r="G185" s="47">
        <v>0.0</v>
      </c>
      <c r="H185" s="7"/>
      <c r="I185" s="47">
        <v>1.02</v>
      </c>
      <c r="J185" s="8"/>
      <c r="K185" s="7"/>
      <c r="L185" s="7"/>
      <c r="M185" s="7"/>
      <c r="N185" s="7"/>
      <c r="O185" s="7" t="s">
        <v>490</v>
      </c>
      <c r="P185" s="7" t="s">
        <v>1691</v>
      </c>
      <c r="Q185" s="7"/>
      <c r="R185" s="7" t="s">
        <v>958</v>
      </c>
      <c r="S185" s="7" t="s">
        <v>493</v>
      </c>
      <c r="T185" s="65">
        <v>2630.0</v>
      </c>
      <c r="U185" s="7"/>
      <c r="V185" s="7"/>
    </row>
    <row r="186">
      <c r="A186" s="45">
        <v>45870.74251157408</v>
      </c>
      <c r="B186" s="7" t="s">
        <v>416</v>
      </c>
      <c r="C186" s="7" t="s">
        <v>1703</v>
      </c>
      <c r="D186" s="74">
        <v>1.0</v>
      </c>
      <c r="E186" s="46"/>
      <c r="F186" s="47">
        <v>24.99</v>
      </c>
      <c r="G186" s="47">
        <v>0.0</v>
      </c>
      <c r="H186" s="7"/>
      <c r="I186" s="47">
        <v>1.02</v>
      </c>
      <c r="J186" s="8"/>
      <c r="K186" s="7"/>
      <c r="L186" s="7"/>
      <c r="M186" s="7"/>
      <c r="N186" s="7"/>
      <c r="O186" s="7" t="s">
        <v>490</v>
      </c>
      <c r="P186" s="7" t="s">
        <v>1440</v>
      </c>
      <c r="Q186" s="7" t="s">
        <v>1441</v>
      </c>
      <c r="R186" s="7" t="s">
        <v>1442</v>
      </c>
      <c r="S186" s="7" t="s">
        <v>493</v>
      </c>
      <c r="T186" s="65">
        <v>2629.0</v>
      </c>
      <c r="U186" s="7"/>
      <c r="V186" s="7"/>
    </row>
    <row r="187">
      <c r="A187" s="45">
        <v>45870.74185185185</v>
      </c>
      <c r="B187" s="7" t="s">
        <v>347</v>
      </c>
      <c r="C187" s="7" t="s">
        <v>1703</v>
      </c>
      <c r="D187" s="74">
        <v>1.0</v>
      </c>
      <c r="E187" s="46"/>
      <c r="F187" s="47">
        <v>24.99</v>
      </c>
      <c r="G187" s="47">
        <v>0.0</v>
      </c>
      <c r="H187" s="7"/>
      <c r="I187" s="47">
        <v>1.02</v>
      </c>
      <c r="J187" s="8"/>
      <c r="K187" s="7"/>
      <c r="L187" s="7"/>
      <c r="M187" s="7"/>
      <c r="N187" s="7"/>
      <c r="O187" s="7" t="s">
        <v>490</v>
      </c>
      <c r="P187" s="7" t="s">
        <v>933</v>
      </c>
      <c r="Q187" s="7"/>
      <c r="R187" s="7" t="s">
        <v>934</v>
      </c>
      <c r="S187" s="7" t="s">
        <v>493</v>
      </c>
      <c r="T187" s="65">
        <v>2628.0</v>
      </c>
      <c r="U187" s="7"/>
      <c r="V187" s="7"/>
    </row>
    <row r="188">
      <c r="A188" s="45">
        <v>45870.74184027778</v>
      </c>
      <c r="B188" s="7" t="s">
        <v>194</v>
      </c>
      <c r="C188" s="67" t="s">
        <v>1805</v>
      </c>
      <c r="D188" s="74">
        <v>1.0</v>
      </c>
      <c r="E188" s="74">
        <v>1.0</v>
      </c>
      <c r="F188" s="47">
        <v>124.99</v>
      </c>
      <c r="G188" s="47">
        <v>0.0</v>
      </c>
      <c r="H188" s="7"/>
      <c r="I188" s="47">
        <v>5.8</v>
      </c>
      <c r="J188" s="8"/>
      <c r="K188" s="7"/>
      <c r="L188" s="7"/>
      <c r="M188" s="7"/>
      <c r="N188" s="7"/>
      <c r="O188" s="7" t="s">
        <v>490</v>
      </c>
      <c r="P188" s="7" t="s">
        <v>891</v>
      </c>
      <c r="Q188" s="7"/>
      <c r="R188" s="7" t="s">
        <v>892</v>
      </c>
      <c r="S188" s="7" t="s">
        <v>555</v>
      </c>
      <c r="T188" s="65">
        <v>2627.0</v>
      </c>
      <c r="U188" s="7"/>
      <c r="V188" s="7"/>
    </row>
    <row r="189">
      <c r="A189" s="45">
        <v>45870.74047453704</v>
      </c>
      <c r="B189" s="7" t="s">
        <v>319</v>
      </c>
      <c r="C189" s="7" t="s">
        <v>1703</v>
      </c>
      <c r="D189" s="74">
        <v>1.0</v>
      </c>
      <c r="E189" s="46"/>
      <c r="F189" s="47">
        <v>24.99</v>
      </c>
      <c r="G189" s="47">
        <v>0.0</v>
      </c>
      <c r="H189" s="7"/>
      <c r="I189" s="47">
        <v>1.02</v>
      </c>
      <c r="J189" s="8"/>
      <c r="K189" s="7"/>
      <c r="L189" s="7"/>
      <c r="M189" s="7"/>
      <c r="N189" s="7"/>
      <c r="O189" s="7" t="s">
        <v>490</v>
      </c>
      <c r="P189" s="7" t="s">
        <v>1248</v>
      </c>
      <c r="Q189" s="7"/>
      <c r="R189" s="7" t="s">
        <v>1249</v>
      </c>
      <c r="S189" s="7" t="s">
        <v>493</v>
      </c>
      <c r="T189" s="65">
        <v>2626.0</v>
      </c>
      <c r="U189" s="7"/>
      <c r="V189" s="7"/>
    </row>
    <row r="190">
      <c r="A190" s="45">
        <v>45870.73894675926</v>
      </c>
      <c r="B190" s="7" t="s">
        <v>286</v>
      </c>
      <c r="C190" s="7" t="s">
        <v>1703</v>
      </c>
      <c r="D190" s="74">
        <v>1.0</v>
      </c>
      <c r="E190" s="46"/>
      <c r="F190" s="47">
        <v>37.25</v>
      </c>
      <c r="G190" s="47">
        <v>0.0</v>
      </c>
      <c r="H190" s="7"/>
      <c r="I190" s="47">
        <v>1.38</v>
      </c>
      <c r="J190" s="8"/>
      <c r="K190" s="7"/>
      <c r="L190" s="7"/>
      <c r="M190" s="7"/>
      <c r="N190" s="7"/>
      <c r="O190" s="7" t="s">
        <v>490</v>
      </c>
      <c r="P190" s="7" t="s">
        <v>1357</v>
      </c>
      <c r="Q190" s="7"/>
      <c r="R190" s="7" t="s">
        <v>1358</v>
      </c>
      <c r="S190" s="7" t="s">
        <v>493</v>
      </c>
      <c r="T190" s="65">
        <v>2624.0</v>
      </c>
      <c r="U190" s="7"/>
      <c r="V190" s="7"/>
    </row>
    <row r="191">
      <c r="A191" s="45">
        <v>45870.738854166666</v>
      </c>
      <c r="B191" s="7" t="s">
        <v>903</v>
      </c>
      <c r="C191" s="7" t="s">
        <v>1703</v>
      </c>
      <c r="D191" s="74">
        <v>1.0</v>
      </c>
      <c r="E191" s="46"/>
      <c r="F191" s="47">
        <v>24.99</v>
      </c>
      <c r="G191" s="47">
        <v>0.0</v>
      </c>
      <c r="H191" s="7"/>
      <c r="I191" s="47">
        <v>1.02</v>
      </c>
      <c r="J191" s="8"/>
      <c r="K191" s="7"/>
      <c r="L191" s="7"/>
      <c r="M191" s="7"/>
      <c r="N191" s="7"/>
      <c r="O191" s="7" t="s">
        <v>490</v>
      </c>
      <c r="P191" s="7" t="s">
        <v>904</v>
      </c>
      <c r="Q191" s="7"/>
      <c r="R191" s="7" t="s">
        <v>905</v>
      </c>
      <c r="S191" s="7" t="s">
        <v>493</v>
      </c>
      <c r="T191" s="65">
        <v>2625.0</v>
      </c>
      <c r="U191" s="7"/>
      <c r="V191" s="7"/>
    </row>
    <row r="192">
      <c r="A192" s="45">
        <v>45870.738657407404</v>
      </c>
      <c r="B192" s="7" t="s">
        <v>1080</v>
      </c>
      <c r="C192" s="7" t="s">
        <v>1703</v>
      </c>
      <c r="D192" s="74">
        <v>1.0</v>
      </c>
      <c r="E192" s="46"/>
      <c r="F192" s="47">
        <v>24.99</v>
      </c>
      <c r="G192" s="47">
        <v>0.0</v>
      </c>
      <c r="H192" s="7"/>
      <c r="I192" s="47">
        <v>1.02</v>
      </c>
      <c r="J192" s="8"/>
      <c r="K192" s="7"/>
      <c r="L192" s="7"/>
      <c r="M192" s="7"/>
      <c r="N192" s="7"/>
      <c r="O192" s="7" t="s">
        <v>490</v>
      </c>
      <c r="P192" s="7" t="s">
        <v>1081</v>
      </c>
      <c r="Q192" s="7"/>
      <c r="R192" s="7" t="s">
        <v>1082</v>
      </c>
      <c r="S192" s="7" t="s">
        <v>493</v>
      </c>
      <c r="T192" s="65">
        <v>2623.0</v>
      </c>
      <c r="U192" s="7"/>
      <c r="V192" s="7"/>
    </row>
    <row r="193">
      <c r="A193" s="45">
        <v>45870.73658564815</v>
      </c>
      <c r="B193" s="7" t="s">
        <v>1482</v>
      </c>
      <c r="C193" s="7" t="s">
        <v>1703</v>
      </c>
      <c r="D193" s="74">
        <v>1.0</v>
      </c>
      <c r="E193" s="46"/>
      <c r="F193" s="47">
        <v>24.99</v>
      </c>
      <c r="G193" s="47">
        <v>0.0</v>
      </c>
      <c r="H193" s="7"/>
      <c r="I193" s="47">
        <v>1.02</v>
      </c>
      <c r="J193" s="8"/>
      <c r="K193" s="7"/>
      <c r="L193" s="7"/>
      <c r="M193" s="7"/>
      <c r="N193" s="7"/>
      <c r="O193" s="7" t="s">
        <v>490</v>
      </c>
      <c r="P193" s="7" t="s">
        <v>721</v>
      </c>
      <c r="Q193" s="7"/>
      <c r="R193" s="7" t="s">
        <v>722</v>
      </c>
      <c r="S193" s="7" t="s">
        <v>493</v>
      </c>
      <c r="T193" s="65">
        <v>2620.0</v>
      </c>
      <c r="U193" s="7"/>
      <c r="V193" s="7"/>
    </row>
    <row r="194">
      <c r="A194" s="45">
        <v>45870.73657407407</v>
      </c>
      <c r="B194" s="7" t="s">
        <v>993</v>
      </c>
      <c r="C194" s="7" t="s">
        <v>1703</v>
      </c>
      <c r="D194" s="74">
        <v>1.0</v>
      </c>
      <c r="E194" s="46"/>
      <c r="F194" s="47">
        <v>24.99</v>
      </c>
      <c r="G194" s="47">
        <v>0.0</v>
      </c>
      <c r="H194" s="7"/>
      <c r="I194" s="47">
        <v>1.4</v>
      </c>
      <c r="J194" s="8"/>
      <c r="K194" s="7"/>
      <c r="L194" s="7"/>
      <c r="M194" s="7"/>
      <c r="N194" s="7"/>
      <c r="O194" s="7" t="s">
        <v>490</v>
      </c>
      <c r="P194" s="7" t="s">
        <v>994</v>
      </c>
      <c r="Q194" s="7"/>
      <c r="R194" s="7" t="s">
        <v>995</v>
      </c>
      <c r="S194" s="7" t="s">
        <v>545</v>
      </c>
      <c r="T194" s="65">
        <v>2621.0</v>
      </c>
      <c r="U194" s="7"/>
      <c r="V194" s="7"/>
    </row>
    <row r="195">
      <c r="A195" s="45">
        <v>45870.73516203704</v>
      </c>
      <c r="B195" s="7" t="s">
        <v>253</v>
      </c>
      <c r="C195" s="67" t="s">
        <v>1805</v>
      </c>
      <c r="D195" s="74">
        <v>1.0</v>
      </c>
      <c r="E195" s="74">
        <v>1.0</v>
      </c>
      <c r="F195" s="47">
        <v>124.99</v>
      </c>
      <c r="G195" s="47">
        <v>0.0</v>
      </c>
      <c r="H195" s="7"/>
      <c r="I195" s="47">
        <v>3.92</v>
      </c>
      <c r="J195" s="8"/>
      <c r="K195" s="7"/>
      <c r="L195" s="7"/>
      <c r="M195" s="7"/>
      <c r="N195" s="7"/>
      <c r="O195" s="7" t="s">
        <v>490</v>
      </c>
      <c r="P195" s="7" t="s">
        <v>927</v>
      </c>
      <c r="Q195" s="7"/>
      <c r="R195" s="7" t="s">
        <v>928</v>
      </c>
      <c r="S195" s="7" t="s">
        <v>493</v>
      </c>
      <c r="T195" s="65">
        <v>2618.0</v>
      </c>
      <c r="U195" s="7"/>
      <c r="V195" s="7"/>
    </row>
    <row r="196">
      <c r="A196" s="45">
        <v>45870.735127314816</v>
      </c>
      <c r="B196" s="7" t="s">
        <v>1671</v>
      </c>
      <c r="C196" s="7" t="s">
        <v>1703</v>
      </c>
      <c r="D196" s="74">
        <v>1.0</v>
      </c>
      <c r="E196" s="46"/>
      <c r="F196" s="47">
        <v>24.99</v>
      </c>
      <c r="G196" s="47">
        <v>0.0</v>
      </c>
      <c r="H196" s="7"/>
      <c r="I196" s="47">
        <v>1.4</v>
      </c>
      <c r="J196" s="8"/>
      <c r="K196" s="7"/>
      <c r="L196" s="7"/>
      <c r="M196" s="7"/>
      <c r="N196" s="7"/>
      <c r="O196" s="7" t="s">
        <v>490</v>
      </c>
      <c r="P196" s="7" t="s">
        <v>1407</v>
      </c>
      <c r="Q196" s="7" t="s">
        <v>1408</v>
      </c>
      <c r="R196" s="7" t="s">
        <v>1409</v>
      </c>
      <c r="S196" s="7" t="s">
        <v>542</v>
      </c>
      <c r="T196" s="65">
        <v>2619.0</v>
      </c>
      <c r="U196" s="7"/>
      <c r="V196" s="7"/>
    </row>
    <row r="197">
      <c r="A197" s="45">
        <v>45870.73400462963</v>
      </c>
      <c r="B197" s="7" t="s">
        <v>1478</v>
      </c>
      <c r="C197" s="67" t="s">
        <v>1805</v>
      </c>
      <c r="D197" s="74">
        <v>1.0</v>
      </c>
      <c r="E197" s="74">
        <v>1.0</v>
      </c>
      <c r="F197" s="47">
        <v>124.99</v>
      </c>
      <c r="G197" s="47">
        <v>0.0</v>
      </c>
      <c r="H197" s="7"/>
      <c r="I197" s="47">
        <v>5.8</v>
      </c>
      <c r="J197" s="8"/>
      <c r="K197" s="7"/>
      <c r="L197" s="7"/>
      <c r="M197" s="7"/>
      <c r="N197" s="7"/>
      <c r="O197" s="7" t="s">
        <v>490</v>
      </c>
      <c r="P197" s="7" t="s">
        <v>1479</v>
      </c>
      <c r="Q197" s="7" t="s">
        <v>1480</v>
      </c>
      <c r="R197" s="7" t="s">
        <v>572</v>
      </c>
      <c r="S197" s="7" t="s">
        <v>1012</v>
      </c>
      <c r="T197" s="65">
        <v>2617.0</v>
      </c>
      <c r="U197" s="7"/>
      <c r="V197" s="7"/>
    </row>
    <row r="198">
      <c r="A198" s="45">
        <v>45870.73335648148</v>
      </c>
      <c r="B198" s="7" t="s">
        <v>352</v>
      </c>
      <c r="C198" s="7" t="s">
        <v>1703</v>
      </c>
      <c r="D198" s="74">
        <v>1.0</v>
      </c>
      <c r="E198" s="46"/>
      <c r="F198" s="47">
        <v>24.99</v>
      </c>
      <c r="G198" s="47">
        <v>0.0</v>
      </c>
      <c r="H198" s="7"/>
      <c r="I198" s="47">
        <v>1.4</v>
      </c>
      <c r="J198" s="8"/>
      <c r="K198" s="7"/>
      <c r="L198" s="7"/>
      <c r="M198" s="7"/>
      <c r="N198" s="7"/>
      <c r="O198" s="7" t="s">
        <v>490</v>
      </c>
      <c r="P198" s="7"/>
      <c r="Q198" s="7"/>
      <c r="R198" s="7"/>
      <c r="S198" s="7" t="s">
        <v>973</v>
      </c>
      <c r="T198" s="65">
        <v>2616.0</v>
      </c>
      <c r="U198" s="7"/>
      <c r="V198" s="7"/>
    </row>
    <row r="199">
      <c r="A199" s="45">
        <v>45870.732094907406</v>
      </c>
      <c r="B199" s="7" t="s">
        <v>1124</v>
      </c>
      <c r="C199" s="7" t="s">
        <v>1703</v>
      </c>
      <c r="D199" s="74">
        <v>1.0</v>
      </c>
      <c r="E199" s="46"/>
      <c r="F199" s="47">
        <v>24.99</v>
      </c>
      <c r="G199" s="47">
        <v>0.0</v>
      </c>
      <c r="H199" s="7"/>
      <c r="I199" s="47">
        <v>1.4</v>
      </c>
      <c r="J199" s="8"/>
      <c r="K199" s="7"/>
      <c r="L199" s="7"/>
      <c r="M199" s="7"/>
      <c r="N199" s="7"/>
      <c r="O199" s="7" t="s">
        <v>490</v>
      </c>
      <c r="P199" s="7" t="s">
        <v>1125</v>
      </c>
      <c r="Q199" s="7"/>
      <c r="R199" s="7" t="s">
        <v>1126</v>
      </c>
      <c r="S199" s="7" t="s">
        <v>525</v>
      </c>
      <c r="T199" s="65">
        <v>2615.0</v>
      </c>
      <c r="U199" s="7"/>
      <c r="V199" s="7"/>
    </row>
    <row r="200">
      <c r="A200" s="45">
        <v>45870.73193287037</v>
      </c>
      <c r="B200" s="7" t="s">
        <v>1630</v>
      </c>
      <c r="C200" s="7" t="s">
        <v>1703</v>
      </c>
      <c r="D200" s="74">
        <v>1.0</v>
      </c>
      <c r="E200" s="46"/>
      <c r="F200" s="47">
        <v>24.99</v>
      </c>
      <c r="G200" s="47">
        <v>0.0</v>
      </c>
      <c r="H200" s="7"/>
      <c r="I200" s="47">
        <v>1.4</v>
      </c>
      <c r="J200" s="8"/>
      <c r="K200" s="7"/>
      <c r="L200" s="7"/>
      <c r="M200" s="7"/>
      <c r="N200" s="7"/>
      <c r="O200" s="7" t="s">
        <v>490</v>
      </c>
      <c r="P200" s="7" t="s">
        <v>1817</v>
      </c>
      <c r="Q200" s="7"/>
      <c r="R200" s="7" t="s">
        <v>1196</v>
      </c>
      <c r="S200" s="7" t="s">
        <v>1197</v>
      </c>
      <c r="T200" s="65">
        <v>2614.0</v>
      </c>
      <c r="U200" s="7"/>
      <c r="V200" s="7"/>
    </row>
    <row r="201">
      <c r="A201" s="45">
        <v>45870.72957175926</v>
      </c>
      <c r="B201" s="7" t="s">
        <v>448</v>
      </c>
      <c r="C201" s="7" t="s">
        <v>1703</v>
      </c>
      <c r="D201" s="74">
        <v>1.0</v>
      </c>
      <c r="E201" s="46"/>
      <c r="F201" s="47">
        <v>24.99</v>
      </c>
      <c r="G201" s="47">
        <v>0.0</v>
      </c>
      <c r="H201" s="7"/>
      <c r="I201" s="47">
        <v>1.02</v>
      </c>
      <c r="J201" s="8"/>
      <c r="K201" s="7"/>
      <c r="L201" s="7"/>
      <c r="M201" s="7"/>
      <c r="N201" s="7"/>
      <c r="O201" s="7" t="s">
        <v>490</v>
      </c>
      <c r="P201" s="7" t="s">
        <v>803</v>
      </c>
      <c r="Q201" s="7"/>
      <c r="R201" s="7" t="s">
        <v>732</v>
      </c>
      <c r="S201" s="7" t="s">
        <v>493</v>
      </c>
      <c r="T201" s="65">
        <v>2610.0</v>
      </c>
      <c r="U201" s="7"/>
      <c r="V201" s="7"/>
    </row>
    <row r="202">
      <c r="A202" s="45">
        <v>45870.729537037034</v>
      </c>
      <c r="B202" s="7" t="s">
        <v>374</v>
      </c>
      <c r="C202" s="7" t="s">
        <v>1703</v>
      </c>
      <c r="D202" s="74">
        <v>1.0</v>
      </c>
      <c r="E202" s="46"/>
      <c r="F202" s="47">
        <v>24.99</v>
      </c>
      <c r="G202" s="47">
        <v>0.0</v>
      </c>
      <c r="H202" s="7"/>
      <c r="I202" s="47">
        <v>1.4</v>
      </c>
      <c r="J202" s="8"/>
      <c r="K202" s="7"/>
      <c r="L202" s="7"/>
      <c r="M202" s="7"/>
      <c r="N202" s="7"/>
      <c r="O202" s="7" t="s">
        <v>490</v>
      </c>
      <c r="P202" s="7" t="s">
        <v>507</v>
      </c>
      <c r="Q202" s="7" t="s">
        <v>508</v>
      </c>
      <c r="R202" s="7" t="s">
        <v>509</v>
      </c>
      <c r="S202" s="7" t="s">
        <v>510</v>
      </c>
      <c r="T202" s="65">
        <v>2608.0</v>
      </c>
      <c r="U202" s="7"/>
      <c r="V202" s="7"/>
    </row>
    <row r="203">
      <c r="A203" s="45">
        <v>45870.72789351852</v>
      </c>
      <c r="B203" s="7" t="s">
        <v>1571</v>
      </c>
      <c r="C203" s="7" t="s">
        <v>1703</v>
      </c>
      <c r="D203" s="74">
        <v>1.0</v>
      </c>
      <c r="E203" s="46"/>
      <c r="F203" s="47">
        <v>24.99</v>
      </c>
      <c r="G203" s="47">
        <v>0.0</v>
      </c>
      <c r="H203" s="7"/>
      <c r="I203" s="47">
        <v>1.4</v>
      </c>
      <c r="J203" s="8"/>
      <c r="K203" s="7"/>
      <c r="L203" s="7"/>
      <c r="M203" s="7"/>
      <c r="N203" s="7"/>
      <c r="O203" s="7" t="s">
        <v>490</v>
      </c>
      <c r="P203" s="7" t="s">
        <v>1572</v>
      </c>
      <c r="Q203" s="7"/>
      <c r="R203" s="7" t="s">
        <v>1573</v>
      </c>
      <c r="S203" s="7" t="s">
        <v>521</v>
      </c>
      <c r="T203" s="65">
        <v>2599.0</v>
      </c>
      <c r="U203" s="7"/>
      <c r="V203" s="7"/>
    </row>
    <row r="204">
      <c r="A204" s="45">
        <v>45870.72787037037</v>
      </c>
      <c r="B204" s="7" t="s">
        <v>974</v>
      </c>
      <c r="C204" s="7" t="s">
        <v>1703</v>
      </c>
      <c r="D204" s="74">
        <v>1.0</v>
      </c>
      <c r="E204" s="46"/>
      <c r="F204" s="47">
        <v>24.99</v>
      </c>
      <c r="G204" s="47">
        <v>0.0</v>
      </c>
      <c r="H204" s="7"/>
      <c r="I204" s="47">
        <v>1.02</v>
      </c>
      <c r="J204" s="8"/>
      <c r="K204" s="7"/>
      <c r="L204" s="7"/>
      <c r="M204" s="7"/>
      <c r="N204" s="7"/>
      <c r="O204" s="7" t="s">
        <v>490</v>
      </c>
      <c r="P204" s="7" t="s">
        <v>975</v>
      </c>
      <c r="Q204" s="7"/>
      <c r="R204" s="7" t="s">
        <v>976</v>
      </c>
      <c r="S204" s="7" t="s">
        <v>493</v>
      </c>
      <c r="T204" s="65">
        <v>2602.0</v>
      </c>
      <c r="U204" s="7"/>
      <c r="V204" s="7"/>
    </row>
    <row r="205">
      <c r="A205" s="45">
        <v>45870.72693287037</v>
      </c>
      <c r="B205" s="7" t="s">
        <v>328</v>
      </c>
      <c r="C205" s="7" t="s">
        <v>1703</v>
      </c>
      <c r="D205" s="74">
        <v>1.0</v>
      </c>
      <c r="E205" s="46"/>
      <c r="F205" s="47">
        <v>24.99</v>
      </c>
      <c r="G205" s="47">
        <v>0.0</v>
      </c>
      <c r="H205" s="7"/>
      <c r="I205" s="47">
        <v>1.02</v>
      </c>
      <c r="J205" s="8"/>
      <c r="K205" s="7"/>
      <c r="L205" s="7"/>
      <c r="M205" s="7"/>
      <c r="N205" s="7"/>
      <c r="O205" s="7" t="s">
        <v>490</v>
      </c>
      <c r="P205" s="7" t="s">
        <v>1210</v>
      </c>
      <c r="Q205" s="7"/>
      <c r="R205" s="7" t="s">
        <v>1211</v>
      </c>
      <c r="S205" s="7" t="s">
        <v>493</v>
      </c>
      <c r="T205" s="65">
        <v>2604.0</v>
      </c>
      <c r="U205" s="7"/>
      <c r="V205" s="7"/>
    </row>
    <row r="206">
      <c r="A206" s="45">
        <v>45870.726805555554</v>
      </c>
      <c r="B206" s="7" t="s">
        <v>61</v>
      </c>
      <c r="C206" s="7" t="s">
        <v>1703</v>
      </c>
      <c r="D206" s="74">
        <v>1.0</v>
      </c>
      <c r="E206" s="46"/>
      <c r="F206" s="47">
        <v>24.99</v>
      </c>
      <c r="G206" s="47">
        <v>0.0</v>
      </c>
      <c r="H206" s="7"/>
      <c r="I206" s="47">
        <v>1.02</v>
      </c>
      <c r="J206" s="8"/>
      <c r="K206" s="7"/>
      <c r="L206" s="7"/>
      <c r="M206" s="7"/>
      <c r="N206" s="7"/>
      <c r="O206" s="7" t="s">
        <v>490</v>
      </c>
      <c r="P206" s="7" t="s">
        <v>1228</v>
      </c>
      <c r="Q206" s="7"/>
      <c r="R206" s="7" t="s">
        <v>1229</v>
      </c>
      <c r="S206" s="7" t="s">
        <v>493</v>
      </c>
      <c r="T206" s="65">
        <v>2603.0</v>
      </c>
      <c r="U206" s="7"/>
      <c r="V206" s="7"/>
    </row>
    <row r="207">
      <c r="A207" s="45">
        <v>45870.72646990741</v>
      </c>
      <c r="B207" s="7" t="s">
        <v>181</v>
      </c>
      <c r="C207" s="7" t="s">
        <v>1765</v>
      </c>
      <c r="D207" s="74">
        <v>2.0</v>
      </c>
      <c r="E207" s="46"/>
      <c r="F207" s="47">
        <v>49.98</v>
      </c>
      <c r="G207" s="47">
        <v>0.0</v>
      </c>
      <c r="H207" s="7"/>
      <c r="I207" s="47">
        <v>2.5</v>
      </c>
      <c r="J207" s="8"/>
      <c r="K207" s="7"/>
      <c r="L207" s="7"/>
      <c r="M207" s="7"/>
      <c r="N207" s="7"/>
      <c r="O207" s="7" t="s">
        <v>490</v>
      </c>
      <c r="P207" s="7"/>
      <c r="Q207" s="7"/>
      <c r="R207" s="7"/>
      <c r="S207" s="7" t="s">
        <v>521</v>
      </c>
      <c r="T207" s="65">
        <v>2591.0</v>
      </c>
      <c r="U207" s="7"/>
      <c r="V207" s="7"/>
    </row>
    <row r="208">
      <c r="A208" s="45">
        <v>45870.72587962963</v>
      </c>
      <c r="B208" s="7" t="s">
        <v>244</v>
      </c>
      <c r="C208" s="67" t="s">
        <v>1805</v>
      </c>
      <c r="D208" s="74">
        <v>1.0</v>
      </c>
      <c r="E208" s="74">
        <v>1.0</v>
      </c>
      <c r="F208" s="47">
        <v>134.46</v>
      </c>
      <c r="G208" s="47">
        <v>0.0</v>
      </c>
      <c r="H208" s="7"/>
      <c r="I208" s="47">
        <v>4.2</v>
      </c>
      <c r="J208" s="8"/>
      <c r="K208" s="7"/>
      <c r="L208" s="7"/>
      <c r="M208" s="7"/>
      <c r="N208" s="7"/>
      <c r="O208" s="7" t="s">
        <v>490</v>
      </c>
      <c r="P208" s="7" t="s">
        <v>1151</v>
      </c>
      <c r="Q208" s="7"/>
      <c r="R208" s="7" t="s">
        <v>1152</v>
      </c>
      <c r="S208" s="7" t="s">
        <v>493</v>
      </c>
      <c r="T208" s="65">
        <v>2597.0</v>
      </c>
      <c r="U208" s="7"/>
      <c r="V208" s="7"/>
    </row>
    <row r="209">
      <c r="A209" s="45">
        <v>45870.72578703704</v>
      </c>
      <c r="B209" s="7" t="s">
        <v>1044</v>
      </c>
      <c r="C209" s="67" t="s">
        <v>1805</v>
      </c>
      <c r="D209" s="74">
        <v>1.0</v>
      </c>
      <c r="E209" s="74">
        <v>1.0</v>
      </c>
      <c r="F209" s="47">
        <v>124.99</v>
      </c>
      <c r="G209" s="47">
        <v>0.0</v>
      </c>
      <c r="H209" s="7"/>
      <c r="I209" s="47">
        <v>5.8</v>
      </c>
      <c r="J209" s="8"/>
      <c r="K209" s="7"/>
      <c r="L209" s="7"/>
      <c r="M209" s="7"/>
      <c r="N209" s="7"/>
      <c r="O209" s="7" t="s">
        <v>490</v>
      </c>
      <c r="P209" s="7" t="s">
        <v>1585</v>
      </c>
      <c r="Q209" s="7" t="s">
        <v>1046</v>
      </c>
      <c r="R209" s="7" t="s">
        <v>580</v>
      </c>
      <c r="S209" s="7" t="s">
        <v>581</v>
      </c>
      <c r="T209" s="65">
        <v>2594.0</v>
      </c>
      <c r="U209" s="7"/>
      <c r="V209" s="7"/>
    </row>
    <row r="210">
      <c r="A210" s="45">
        <v>45870.72571759259</v>
      </c>
      <c r="B210" s="7" t="s">
        <v>402</v>
      </c>
      <c r="C210" s="7" t="s">
        <v>1703</v>
      </c>
      <c r="D210" s="74">
        <v>1.0</v>
      </c>
      <c r="E210" s="46"/>
      <c r="F210" s="47">
        <v>24.99</v>
      </c>
      <c r="G210" s="47">
        <v>0.0</v>
      </c>
      <c r="H210" s="7"/>
      <c r="I210" s="47">
        <v>1.4</v>
      </c>
      <c r="J210" s="8"/>
      <c r="K210" s="7"/>
      <c r="L210" s="7"/>
      <c r="M210" s="7"/>
      <c r="N210" s="7"/>
      <c r="O210" s="7" t="s">
        <v>490</v>
      </c>
      <c r="P210" s="7" t="s">
        <v>1285</v>
      </c>
      <c r="Q210" s="7"/>
      <c r="R210" s="7" t="s">
        <v>1286</v>
      </c>
      <c r="S210" s="7" t="s">
        <v>1287</v>
      </c>
      <c r="T210" s="65">
        <v>2596.0</v>
      </c>
      <c r="U210" s="7"/>
      <c r="V210" s="7"/>
    </row>
    <row r="211">
      <c r="A211" s="45">
        <v>45870.72565972222</v>
      </c>
      <c r="B211" s="7" t="s">
        <v>297</v>
      </c>
      <c r="C211" s="7" t="s">
        <v>1703</v>
      </c>
      <c r="D211" s="74">
        <v>1.0</v>
      </c>
      <c r="E211" s="46"/>
      <c r="F211" s="47">
        <v>34.46</v>
      </c>
      <c r="G211" s="47">
        <v>0.0</v>
      </c>
      <c r="H211" s="7"/>
      <c r="I211" s="47">
        <v>1.3</v>
      </c>
      <c r="J211" s="8"/>
      <c r="K211" s="7"/>
      <c r="L211" s="7"/>
      <c r="M211" s="7"/>
      <c r="N211" s="7"/>
      <c r="O211" s="7" t="s">
        <v>490</v>
      </c>
      <c r="P211" s="7" t="s">
        <v>1818</v>
      </c>
      <c r="Q211" s="7"/>
      <c r="R211" s="7" t="s">
        <v>1819</v>
      </c>
      <c r="S211" s="7" t="s">
        <v>493</v>
      </c>
      <c r="T211" s="65">
        <v>2598.0</v>
      </c>
      <c r="U211" s="7"/>
      <c r="V211" s="7"/>
    </row>
    <row r="212">
      <c r="A212" s="45">
        <v>45870.724710648145</v>
      </c>
      <c r="B212" s="7" t="s">
        <v>1820</v>
      </c>
      <c r="C212" s="67" t="s">
        <v>1805</v>
      </c>
      <c r="D212" s="74">
        <v>1.0</v>
      </c>
      <c r="E212" s="74">
        <v>1.0</v>
      </c>
      <c r="F212" s="47">
        <v>124.99</v>
      </c>
      <c r="G212" s="47">
        <v>0.0</v>
      </c>
      <c r="H212" s="7"/>
      <c r="I212" s="47">
        <v>5.8</v>
      </c>
      <c r="J212" s="8"/>
      <c r="K212" s="7"/>
      <c r="L212" s="7"/>
      <c r="M212" s="7"/>
      <c r="N212" s="7"/>
      <c r="O212" s="7" t="s">
        <v>490</v>
      </c>
      <c r="P212" s="7" t="s">
        <v>1606</v>
      </c>
      <c r="Q212" s="7"/>
      <c r="R212" s="7" t="s">
        <v>1607</v>
      </c>
      <c r="S212" s="7" t="s">
        <v>1821</v>
      </c>
      <c r="T212" s="65">
        <v>2593.0</v>
      </c>
      <c r="U212" s="7"/>
      <c r="V212" s="7"/>
    </row>
    <row r="213">
      <c r="A213" s="45">
        <v>45870.72384259259</v>
      </c>
      <c r="B213" s="7" t="s">
        <v>400</v>
      </c>
      <c r="C213" s="7" t="s">
        <v>1703</v>
      </c>
      <c r="D213" s="74">
        <v>1.0</v>
      </c>
      <c r="E213" s="46"/>
      <c r="F213" s="47">
        <v>26.93</v>
      </c>
      <c r="G213" s="47">
        <v>0.0</v>
      </c>
      <c r="H213" s="7"/>
      <c r="I213" s="47">
        <v>1.08</v>
      </c>
      <c r="J213" s="8"/>
      <c r="K213" s="7"/>
      <c r="L213" s="7"/>
      <c r="M213" s="7"/>
      <c r="N213" s="7"/>
      <c r="O213" s="7" t="s">
        <v>490</v>
      </c>
      <c r="P213" s="7" t="s">
        <v>1213</v>
      </c>
      <c r="Q213" s="7"/>
      <c r="R213" s="7" t="s">
        <v>549</v>
      </c>
      <c r="S213" s="7" t="s">
        <v>493</v>
      </c>
      <c r="T213" s="65">
        <v>2588.0</v>
      </c>
      <c r="U213" s="7"/>
      <c r="V213" s="7"/>
    </row>
    <row r="214">
      <c r="A214" s="45">
        <v>45870.723657407405</v>
      </c>
      <c r="B214" s="7" t="s">
        <v>385</v>
      </c>
      <c r="C214" s="7" t="s">
        <v>1703</v>
      </c>
      <c r="D214" s="74">
        <v>1.0</v>
      </c>
      <c r="E214" s="46"/>
      <c r="F214" s="47">
        <v>24.99</v>
      </c>
      <c r="G214" s="47">
        <v>0.0</v>
      </c>
      <c r="H214" s="7"/>
      <c r="I214" s="47">
        <v>1.4</v>
      </c>
      <c r="J214" s="8"/>
      <c r="K214" s="7"/>
      <c r="L214" s="7"/>
      <c r="M214" s="7"/>
      <c r="N214" s="7"/>
      <c r="O214" s="7" t="s">
        <v>490</v>
      </c>
      <c r="P214" s="7" t="s">
        <v>1303</v>
      </c>
      <c r="Q214" s="7"/>
      <c r="R214" s="7" t="s">
        <v>1304</v>
      </c>
      <c r="S214" s="7" t="s">
        <v>726</v>
      </c>
      <c r="T214" s="65">
        <v>2579.0</v>
      </c>
      <c r="U214" s="7"/>
      <c r="V214" s="7"/>
    </row>
    <row r="215">
      <c r="A215" s="45">
        <v>45870.72361111111</v>
      </c>
      <c r="B215" s="7" t="s">
        <v>1153</v>
      </c>
      <c r="C215" s="7" t="s">
        <v>1703</v>
      </c>
      <c r="D215" s="74">
        <v>1.0</v>
      </c>
      <c r="E215" s="46"/>
      <c r="F215" s="47">
        <v>24.99</v>
      </c>
      <c r="G215" s="47">
        <v>0.0</v>
      </c>
      <c r="H215" s="7"/>
      <c r="I215" s="47">
        <v>1.4</v>
      </c>
      <c r="J215" s="8"/>
      <c r="K215" s="7"/>
      <c r="L215" s="7"/>
      <c r="M215" s="7"/>
      <c r="N215" s="7"/>
      <c r="O215" s="7" t="s">
        <v>490</v>
      </c>
      <c r="P215" s="7" t="s">
        <v>1154</v>
      </c>
      <c r="Q215" s="7"/>
      <c r="R215" s="7" t="s">
        <v>1155</v>
      </c>
      <c r="S215" s="7" t="s">
        <v>1821</v>
      </c>
      <c r="T215" s="65">
        <v>2589.0</v>
      </c>
      <c r="U215" s="7"/>
      <c r="V215" s="7"/>
    </row>
    <row r="216">
      <c r="A216" s="45">
        <v>45870.72310185185</v>
      </c>
      <c r="B216" s="7" t="s">
        <v>403</v>
      </c>
      <c r="C216" s="67" t="s">
        <v>1805</v>
      </c>
      <c r="D216" s="74">
        <v>1.0</v>
      </c>
      <c r="E216" s="74">
        <v>1.0</v>
      </c>
      <c r="F216" s="47">
        <v>124.99</v>
      </c>
      <c r="G216" s="47">
        <v>0.0</v>
      </c>
      <c r="H216" s="7"/>
      <c r="I216" s="47">
        <v>3.92</v>
      </c>
      <c r="J216" s="8"/>
      <c r="K216" s="7"/>
      <c r="L216" s="7"/>
      <c r="M216" s="7"/>
      <c r="N216" s="7"/>
      <c r="O216" s="7" t="s">
        <v>490</v>
      </c>
      <c r="P216" s="7" t="s">
        <v>602</v>
      </c>
      <c r="Q216" s="7"/>
      <c r="R216" s="7" t="s">
        <v>603</v>
      </c>
      <c r="S216" s="7" t="s">
        <v>493</v>
      </c>
      <c r="T216" s="65">
        <v>2585.0</v>
      </c>
      <c r="U216" s="7"/>
      <c r="V216" s="7"/>
    </row>
    <row r="217">
      <c r="A217" s="45">
        <v>45870.72292824074</v>
      </c>
      <c r="B217" s="7" t="s">
        <v>370</v>
      </c>
      <c r="C217" s="67" t="s">
        <v>1805</v>
      </c>
      <c r="D217" s="74">
        <v>1.0</v>
      </c>
      <c r="E217" s="74">
        <v>1.0</v>
      </c>
      <c r="F217" s="47">
        <v>124.99</v>
      </c>
      <c r="G217" s="47">
        <v>0.0</v>
      </c>
      <c r="H217" s="7"/>
      <c r="I217" s="47">
        <v>3.92</v>
      </c>
      <c r="J217" s="8"/>
      <c r="K217" s="7"/>
      <c r="L217" s="7"/>
      <c r="M217" s="7"/>
      <c r="N217" s="7"/>
      <c r="O217" s="7" t="s">
        <v>490</v>
      </c>
      <c r="P217" s="7" t="s">
        <v>1094</v>
      </c>
      <c r="Q217" s="7"/>
      <c r="R217" s="7" t="s">
        <v>1095</v>
      </c>
      <c r="S217" s="7" t="s">
        <v>493</v>
      </c>
      <c r="T217" s="65">
        <v>2587.0</v>
      </c>
      <c r="U217" s="7"/>
      <c r="V217" s="7"/>
    </row>
    <row r="218">
      <c r="A218" s="45">
        <v>45870.72042824074</v>
      </c>
      <c r="B218" s="7" t="s">
        <v>234</v>
      </c>
      <c r="C218" s="7" t="s">
        <v>1703</v>
      </c>
      <c r="D218" s="74">
        <v>1.0</v>
      </c>
      <c r="E218" s="46"/>
      <c r="F218" s="47">
        <v>38.23</v>
      </c>
      <c r="G218" s="47">
        <v>0.0</v>
      </c>
      <c r="H218" s="7"/>
      <c r="I218" s="47">
        <v>1.41</v>
      </c>
      <c r="J218" s="8"/>
      <c r="K218" s="7"/>
      <c r="L218" s="7"/>
      <c r="M218" s="7"/>
      <c r="N218" s="7"/>
      <c r="O218" s="7" t="s">
        <v>490</v>
      </c>
      <c r="P218" s="7" t="s">
        <v>1399</v>
      </c>
      <c r="Q218" s="7"/>
      <c r="R218" s="7" t="s">
        <v>1400</v>
      </c>
      <c r="S218" s="7" t="s">
        <v>493</v>
      </c>
      <c r="T218" s="65">
        <v>2580.0</v>
      </c>
      <c r="U218" s="7"/>
      <c r="V218" s="7"/>
    </row>
    <row r="219">
      <c r="A219" s="45">
        <v>45870.719456018516</v>
      </c>
      <c r="B219" s="7" t="s">
        <v>333</v>
      </c>
      <c r="C219" s="67" t="s">
        <v>1805</v>
      </c>
      <c r="D219" s="74">
        <v>1.0</v>
      </c>
      <c r="E219" s="74">
        <v>1.0</v>
      </c>
      <c r="F219" s="47">
        <v>124.99</v>
      </c>
      <c r="G219" s="47">
        <v>0.0</v>
      </c>
      <c r="H219" s="7"/>
      <c r="I219" s="47">
        <v>3.92</v>
      </c>
      <c r="J219" s="8"/>
      <c r="K219" s="7"/>
      <c r="L219" s="7"/>
      <c r="M219" s="7"/>
      <c r="N219" s="7"/>
      <c r="O219" s="7" t="s">
        <v>490</v>
      </c>
      <c r="P219" s="7" t="s">
        <v>801</v>
      </c>
      <c r="Q219" s="7"/>
      <c r="R219" s="7" t="s">
        <v>802</v>
      </c>
      <c r="S219" s="7" t="s">
        <v>493</v>
      </c>
      <c r="T219" s="65">
        <v>2577.0</v>
      </c>
      <c r="U219" s="7"/>
      <c r="V219" s="7"/>
    </row>
    <row r="220">
      <c r="A220" s="45">
        <v>45870.71841435185</v>
      </c>
      <c r="B220" s="7" t="s">
        <v>744</v>
      </c>
      <c r="C220" s="7" t="s">
        <v>1703</v>
      </c>
      <c r="D220" s="74">
        <v>1.0</v>
      </c>
      <c r="E220" s="46"/>
      <c r="F220" s="47">
        <v>24.99</v>
      </c>
      <c r="G220" s="47">
        <v>0.0</v>
      </c>
      <c r="H220" s="7"/>
      <c r="I220" s="47">
        <v>1.02</v>
      </c>
      <c r="J220" s="8"/>
      <c r="K220" s="7"/>
      <c r="L220" s="7"/>
      <c r="M220" s="7"/>
      <c r="N220" s="7"/>
      <c r="O220" s="7" t="s">
        <v>490</v>
      </c>
      <c r="P220" s="7" t="s">
        <v>1604</v>
      </c>
      <c r="Q220" s="7"/>
      <c r="R220" s="7" t="s">
        <v>746</v>
      </c>
      <c r="S220" s="7" t="s">
        <v>493</v>
      </c>
      <c r="T220" s="65">
        <v>2576.0</v>
      </c>
      <c r="U220" s="7"/>
      <c r="V220" s="7"/>
    </row>
    <row r="221">
      <c r="A221" s="45">
        <v>45870.71837962963</v>
      </c>
      <c r="B221" s="7" t="s">
        <v>1822</v>
      </c>
      <c r="C221" s="67" t="s">
        <v>1805</v>
      </c>
      <c r="D221" s="74">
        <v>1.0</v>
      </c>
      <c r="E221" s="74">
        <v>1.0</v>
      </c>
      <c r="F221" s="47">
        <v>135.3</v>
      </c>
      <c r="G221" s="47">
        <v>0.0</v>
      </c>
      <c r="H221" s="7"/>
      <c r="I221" s="47">
        <v>4.22</v>
      </c>
      <c r="J221" s="8"/>
      <c r="K221" s="7"/>
      <c r="L221" s="7"/>
      <c r="M221" s="7"/>
      <c r="N221" s="7"/>
      <c r="O221" s="7" t="s">
        <v>490</v>
      </c>
      <c r="P221" s="7" t="s">
        <v>1823</v>
      </c>
      <c r="Q221" s="7"/>
      <c r="R221" s="7" t="s">
        <v>1356</v>
      </c>
      <c r="S221" s="7" t="s">
        <v>493</v>
      </c>
      <c r="T221" s="65">
        <v>2575.0</v>
      </c>
      <c r="U221" s="7"/>
      <c r="V221" s="7"/>
    </row>
    <row r="222">
      <c r="A222" s="45">
        <v>45870.718298611115</v>
      </c>
      <c r="B222" s="7" t="s">
        <v>289</v>
      </c>
      <c r="C222" s="7" t="s">
        <v>1703</v>
      </c>
      <c r="D222" s="74">
        <v>1.0</v>
      </c>
      <c r="E222" s="46"/>
      <c r="F222" s="47">
        <v>24.99</v>
      </c>
      <c r="G222" s="47">
        <v>0.0</v>
      </c>
      <c r="H222" s="7"/>
      <c r="I222" s="47">
        <v>1.02</v>
      </c>
      <c r="J222" s="8"/>
      <c r="K222" s="7"/>
      <c r="L222" s="7"/>
      <c r="M222" s="7"/>
      <c r="N222" s="7"/>
      <c r="O222" s="7" t="s">
        <v>490</v>
      </c>
      <c r="P222" s="7" t="s">
        <v>1305</v>
      </c>
      <c r="Q222" s="7"/>
      <c r="R222" s="7" t="s">
        <v>1306</v>
      </c>
      <c r="S222" s="7" t="s">
        <v>493</v>
      </c>
      <c r="T222" s="65">
        <v>2573.0</v>
      </c>
      <c r="U222" s="7"/>
      <c r="V222" s="7"/>
    </row>
    <row r="223">
      <c r="A223" s="45">
        <v>45870.71796296296</v>
      </c>
      <c r="B223" s="7" t="s">
        <v>430</v>
      </c>
      <c r="C223" s="7" t="s">
        <v>1703</v>
      </c>
      <c r="D223" s="74">
        <v>1.0</v>
      </c>
      <c r="E223" s="46"/>
      <c r="F223" s="47">
        <v>24.99</v>
      </c>
      <c r="G223" s="47">
        <v>0.0</v>
      </c>
      <c r="H223" s="7"/>
      <c r="I223" s="47">
        <v>1.4</v>
      </c>
      <c r="J223" s="8"/>
      <c r="K223" s="7"/>
      <c r="L223" s="7"/>
      <c r="M223" s="7"/>
      <c r="N223" s="7"/>
      <c r="O223" s="7" t="s">
        <v>490</v>
      </c>
      <c r="P223" s="7" t="s">
        <v>1117</v>
      </c>
      <c r="Q223" s="7"/>
      <c r="R223" s="7" t="s">
        <v>1118</v>
      </c>
      <c r="S223" s="7" t="s">
        <v>1824</v>
      </c>
      <c r="T223" s="65">
        <v>2572.0</v>
      </c>
      <c r="U223" s="7"/>
      <c r="V223" s="7"/>
    </row>
    <row r="224">
      <c r="A224" s="45">
        <v>45870.71789351852</v>
      </c>
      <c r="B224" s="7" t="s">
        <v>331</v>
      </c>
      <c r="C224" s="67" t="s">
        <v>1805</v>
      </c>
      <c r="D224" s="74">
        <v>1.0</v>
      </c>
      <c r="E224" s="74">
        <v>1.0</v>
      </c>
      <c r="F224" s="47">
        <v>124.99</v>
      </c>
      <c r="G224" s="47">
        <v>0.0</v>
      </c>
      <c r="H224" s="7"/>
      <c r="I224" s="47">
        <v>5.8</v>
      </c>
      <c r="J224" s="8"/>
      <c r="K224" s="7"/>
      <c r="L224" s="7"/>
      <c r="M224" s="7"/>
      <c r="N224" s="7"/>
      <c r="O224" s="7" t="s">
        <v>490</v>
      </c>
      <c r="P224" s="7" t="s">
        <v>1449</v>
      </c>
      <c r="Q224" s="7" t="s">
        <v>1450</v>
      </c>
      <c r="R224" s="7" t="s">
        <v>1451</v>
      </c>
      <c r="S224" s="7" t="s">
        <v>555</v>
      </c>
      <c r="T224" s="65">
        <v>2571.0</v>
      </c>
      <c r="U224" s="7"/>
      <c r="V224" s="7"/>
    </row>
    <row r="225">
      <c r="A225" s="45">
        <v>45870.71780092592</v>
      </c>
      <c r="B225" s="7" t="s">
        <v>1274</v>
      </c>
      <c r="C225" s="7" t="s">
        <v>1703</v>
      </c>
      <c r="D225" s="74">
        <v>1.0</v>
      </c>
      <c r="E225" s="46"/>
      <c r="F225" s="47">
        <v>24.99</v>
      </c>
      <c r="G225" s="47">
        <v>0.0</v>
      </c>
      <c r="H225" s="7"/>
      <c r="I225" s="47">
        <v>1.02</v>
      </c>
      <c r="J225" s="8"/>
      <c r="K225" s="7"/>
      <c r="L225" s="7"/>
      <c r="M225" s="7"/>
      <c r="N225" s="7"/>
      <c r="O225" s="7" t="s">
        <v>490</v>
      </c>
      <c r="P225" s="7"/>
      <c r="Q225" s="7"/>
      <c r="R225" s="7"/>
      <c r="S225" s="7" t="s">
        <v>493</v>
      </c>
      <c r="T225" s="65">
        <v>2566.0</v>
      </c>
      <c r="U225" s="7"/>
      <c r="V225" s="7"/>
    </row>
    <row r="226">
      <c r="A226" s="45">
        <v>45870.71530092593</v>
      </c>
      <c r="B226" s="7" t="s">
        <v>299</v>
      </c>
      <c r="C226" s="67" t="s">
        <v>1805</v>
      </c>
      <c r="D226" s="74">
        <v>1.0</v>
      </c>
      <c r="E226" s="74">
        <v>1.0</v>
      </c>
      <c r="F226" s="47">
        <v>124.99</v>
      </c>
      <c r="G226" s="47">
        <v>0.0</v>
      </c>
      <c r="H226" s="7"/>
      <c r="I226" s="47">
        <v>5.8</v>
      </c>
      <c r="J226" s="8"/>
      <c r="K226" s="7"/>
      <c r="L226" s="7"/>
      <c r="M226" s="7"/>
      <c r="N226" s="7"/>
      <c r="O226" s="7" t="s">
        <v>490</v>
      </c>
      <c r="P226" s="7" t="s">
        <v>1374</v>
      </c>
      <c r="Q226" s="7"/>
      <c r="R226" s="7" t="s">
        <v>1375</v>
      </c>
      <c r="S226" s="7" t="s">
        <v>633</v>
      </c>
      <c r="T226" s="65">
        <v>2564.0</v>
      </c>
      <c r="U226" s="7"/>
      <c r="V226" s="7"/>
    </row>
    <row r="227">
      <c r="A227" s="45">
        <v>45870.71528935185</v>
      </c>
      <c r="B227" s="7" t="s">
        <v>232</v>
      </c>
      <c r="C227" s="7" t="s">
        <v>1703</v>
      </c>
      <c r="D227" s="74">
        <v>1.0</v>
      </c>
      <c r="E227" s="46"/>
      <c r="F227" s="47">
        <v>24.99</v>
      </c>
      <c r="G227" s="47">
        <v>0.0</v>
      </c>
      <c r="H227" s="7"/>
      <c r="I227" s="47">
        <v>1.02</v>
      </c>
      <c r="J227" s="8"/>
      <c r="K227" s="7"/>
      <c r="L227" s="7"/>
      <c r="M227" s="7"/>
      <c r="N227" s="7"/>
      <c r="O227" s="7" t="s">
        <v>490</v>
      </c>
      <c r="P227" s="7" t="s">
        <v>1142</v>
      </c>
      <c r="Q227" s="7"/>
      <c r="R227" s="7" t="s">
        <v>567</v>
      </c>
      <c r="S227" s="7" t="s">
        <v>493</v>
      </c>
      <c r="T227" s="65">
        <v>2570.0</v>
      </c>
      <c r="U227" s="7"/>
      <c r="V227" s="7"/>
    </row>
    <row r="228">
      <c r="A228" s="45">
        <v>45870.71505787037</v>
      </c>
      <c r="B228" s="7" t="s">
        <v>157</v>
      </c>
      <c r="C228" s="7" t="s">
        <v>1703</v>
      </c>
      <c r="D228" s="74">
        <v>1.0</v>
      </c>
      <c r="E228" s="46"/>
      <c r="F228" s="47">
        <v>24.99</v>
      </c>
      <c r="G228" s="47">
        <v>0.0</v>
      </c>
      <c r="H228" s="7"/>
      <c r="I228" s="47">
        <v>1.4</v>
      </c>
      <c r="J228" s="8"/>
      <c r="K228" s="7"/>
      <c r="L228" s="7"/>
      <c r="M228" s="7"/>
      <c r="N228" s="7"/>
      <c r="O228" s="7" t="s">
        <v>490</v>
      </c>
      <c r="P228" s="7" t="s">
        <v>819</v>
      </c>
      <c r="Q228" s="7"/>
      <c r="R228" s="7" t="s">
        <v>820</v>
      </c>
      <c r="S228" s="7" t="s">
        <v>525</v>
      </c>
      <c r="T228" s="65">
        <v>2558.0</v>
      </c>
      <c r="U228" s="7"/>
      <c r="V228" s="7"/>
    </row>
    <row r="229">
      <c r="A229" s="45">
        <v>45870.715046296296</v>
      </c>
      <c r="B229" s="7" t="s">
        <v>383</v>
      </c>
      <c r="C229" s="7" t="s">
        <v>1703</v>
      </c>
      <c r="D229" s="74">
        <v>1.0</v>
      </c>
      <c r="E229" s="46"/>
      <c r="F229" s="47">
        <v>24.99</v>
      </c>
      <c r="G229" s="47">
        <v>0.0</v>
      </c>
      <c r="H229" s="7"/>
      <c r="I229" s="47">
        <v>1.4</v>
      </c>
      <c r="J229" s="8"/>
      <c r="K229" s="7"/>
      <c r="L229" s="7"/>
      <c r="M229" s="7"/>
      <c r="N229" s="7"/>
      <c r="O229" s="7" t="s">
        <v>490</v>
      </c>
      <c r="P229" s="7" t="s">
        <v>961</v>
      </c>
      <c r="Q229" s="7"/>
      <c r="R229" s="7" t="s">
        <v>962</v>
      </c>
      <c r="S229" s="7" t="s">
        <v>726</v>
      </c>
      <c r="T229" s="65">
        <v>2556.0</v>
      </c>
      <c r="U229" s="7"/>
      <c r="V229" s="7"/>
    </row>
    <row r="230">
      <c r="A230" s="45">
        <v>45870.71498842593</v>
      </c>
      <c r="B230" s="7" t="s">
        <v>1825</v>
      </c>
      <c r="C230" s="7" t="s">
        <v>1703</v>
      </c>
      <c r="D230" s="74">
        <v>1.0</v>
      </c>
      <c r="E230" s="46"/>
      <c r="F230" s="47">
        <v>24.99</v>
      </c>
      <c r="G230" s="47">
        <v>0.0</v>
      </c>
      <c r="H230" s="7"/>
      <c r="I230" s="47">
        <v>1.4</v>
      </c>
      <c r="J230" s="8"/>
      <c r="K230" s="7"/>
      <c r="L230" s="7"/>
      <c r="M230" s="7"/>
      <c r="N230" s="7"/>
      <c r="O230" s="7" t="s">
        <v>490</v>
      </c>
      <c r="P230" s="7" t="s">
        <v>936</v>
      </c>
      <c r="Q230" s="7" t="s">
        <v>937</v>
      </c>
      <c r="R230" s="7" t="s">
        <v>938</v>
      </c>
      <c r="S230" s="7" t="s">
        <v>939</v>
      </c>
      <c r="T230" s="65">
        <v>2560.0</v>
      </c>
      <c r="U230" s="7"/>
      <c r="V230" s="7"/>
    </row>
    <row r="231">
      <c r="A231" s="45">
        <v>45870.71491898148</v>
      </c>
      <c r="B231" s="7" t="s">
        <v>410</v>
      </c>
      <c r="C231" s="7" t="s">
        <v>1703</v>
      </c>
      <c r="D231" s="74">
        <v>1.0</v>
      </c>
      <c r="E231" s="46"/>
      <c r="F231" s="47">
        <v>24.99</v>
      </c>
      <c r="G231" s="47">
        <v>0.0</v>
      </c>
      <c r="H231" s="7"/>
      <c r="I231" s="47">
        <v>1.02</v>
      </c>
      <c r="J231" s="8"/>
      <c r="K231" s="7"/>
      <c r="L231" s="7"/>
      <c r="M231" s="7"/>
      <c r="N231" s="7"/>
      <c r="O231" s="7" t="s">
        <v>490</v>
      </c>
      <c r="P231" s="7" t="s">
        <v>1186</v>
      </c>
      <c r="Q231" s="7"/>
      <c r="R231" s="7" t="s">
        <v>1187</v>
      </c>
      <c r="S231" s="7" t="s">
        <v>493</v>
      </c>
      <c r="T231" s="65">
        <v>2567.0</v>
      </c>
      <c r="U231" s="7"/>
      <c r="V231" s="7"/>
    </row>
    <row r="232">
      <c r="A232" s="45">
        <v>45870.71469907407</v>
      </c>
      <c r="B232" s="7" t="s">
        <v>205</v>
      </c>
      <c r="C232" s="7" t="s">
        <v>1703</v>
      </c>
      <c r="D232" s="74">
        <v>1.0</v>
      </c>
      <c r="E232" s="46"/>
      <c r="F232" s="47">
        <v>24.99</v>
      </c>
      <c r="G232" s="47">
        <v>0.0</v>
      </c>
      <c r="H232" s="7"/>
      <c r="I232" s="47">
        <v>1.4</v>
      </c>
      <c r="J232" s="8"/>
      <c r="K232" s="7"/>
      <c r="L232" s="7"/>
      <c r="M232" s="7"/>
      <c r="N232" s="7"/>
      <c r="O232" s="7" t="s">
        <v>490</v>
      </c>
      <c r="P232" s="7" t="s">
        <v>964</v>
      </c>
      <c r="Q232" s="65">
        <v>7.0</v>
      </c>
      <c r="R232" s="7" t="s">
        <v>965</v>
      </c>
      <c r="S232" s="7" t="s">
        <v>966</v>
      </c>
      <c r="T232" s="65">
        <v>2563.0</v>
      </c>
      <c r="U232" s="7"/>
      <c r="V232" s="7"/>
    </row>
    <row r="233">
      <c r="A233" s="45">
        <v>45870.71450231481</v>
      </c>
      <c r="B233" s="7" t="s">
        <v>1826</v>
      </c>
      <c r="C233" s="67" t="s">
        <v>1805</v>
      </c>
      <c r="D233" s="74">
        <v>1.0</v>
      </c>
      <c r="E233" s="74">
        <v>1.0</v>
      </c>
      <c r="F233" s="47">
        <v>149.83</v>
      </c>
      <c r="G233" s="47">
        <v>0.0</v>
      </c>
      <c r="H233" s="7"/>
      <c r="I233" s="47">
        <v>6.89</v>
      </c>
      <c r="J233" s="8"/>
      <c r="K233" s="7"/>
      <c r="L233" s="7"/>
      <c r="M233" s="7"/>
      <c r="N233" s="7"/>
      <c r="O233" s="7" t="s">
        <v>490</v>
      </c>
      <c r="P233" s="7" t="s">
        <v>1827</v>
      </c>
      <c r="Q233" s="7" t="s">
        <v>1828</v>
      </c>
      <c r="R233" s="7" t="s">
        <v>1829</v>
      </c>
      <c r="S233" s="7" t="s">
        <v>542</v>
      </c>
      <c r="T233" s="65">
        <v>2555.0</v>
      </c>
      <c r="U233" s="7"/>
      <c r="V233" s="7"/>
    </row>
    <row r="234">
      <c r="A234" s="45">
        <v>45870.71436342593</v>
      </c>
      <c r="B234" s="7" t="s">
        <v>127</v>
      </c>
      <c r="C234" s="7" t="s">
        <v>1703</v>
      </c>
      <c r="D234" s="74">
        <v>1.0</v>
      </c>
      <c r="E234" s="46"/>
      <c r="F234" s="47">
        <v>57.81</v>
      </c>
      <c r="G234" s="47">
        <v>0.0</v>
      </c>
      <c r="H234" s="7"/>
      <c r="I234" s="47">
        <v>2.84</v>
      </c>
      <c r="J234" s="8"/>
      <c r="K234" s="7"/>
      <c r="L234" s="7"/>
      <c r="M234" s="7"/>
      <c r="N234" s="7"/>
      <c r="O234" s="7" t="s">
        <v>490</v>
      </c>
      <c r="P234" s="7" t="s">
        <v>1422</v>
      </c>
      <c r="Q234" s="7"/>
      <c r="R234" s="7" t="s">
        <v>1423</v>
      </c>
      <c r="S234" s="7" t="s">
        <v>542</v>
      </c>
      <c r="T234" s="65">
        <v>2559.0</v>
      </c>
      <c r="U234" s="7"/>
      <c r="V234" s="7"/>
    </row>
    <row r="235">
      <c r="A235" s="45">
        <v>45870.714108796295</v>
      </c>
      <c r="B235" s="7" t="s">
        <v>906</v>
      </c>
      <c r="C235" s="7" t="s">
        <v>1703</v>
      </c>
      <c r="D235" s="74">
        <v>1.0</v>
      </c>
      <c r="E235" s="46"/>
      <c r="F235" s="47">
        <v>24.99</v>
      </c>
      <c r="G235" s="47">
        <v>0.0</v>
      </c>
      <c r="H235" s="7"/>
      <c r="I235" s="47">
        <v>1.02</v>
      </c>
      <c r="J235" s="8"/>
      <c r="K235" s="7"/>
      <c r="L235" s="7"/>
      <c r="M235" s="7"/>
      <c r="N235" s="7"/>
      <c r="O235" s="7" t="s">
        <v>490</v>
      </c>
      <c r="P235" s="7" t="s">
        <v>907</v>
      </c>
      <c r="Q235" s="7"/>
      <c r="R235" s="7" t="s">
        <v>854</v>
      </c>
      <c r="S235" s="7" t="s">
        <v>493</v>
      </c>
      <c r="T235" s="65">
        <v>2537.0</v>
      </c>
      <c r="U235" s="7"/>
      <c r="V235" s="7"/>
    </row>
    <row r="236">
      <c r="A236" s="45">
        <v>45870.71361111111</v>
      </c>
      <c r="B236" s="7" t="s">
        <v>1339</v>
      </c>
      <c r="C236" s="7" t="s">
        <v>1703</v>
      </c>
      <c r="D236" s="74">
        <v>1.0</v>
      </c>
      <c r="E236" s="46"/>
      <c r="F236" s="47">
        <v>24.99</v>
      </c>
      <c r="G236" s="47">
        <v>0.0</v>
      </c>
      <c r="H236" s="7"/>
      <c r="I236" s="47">
        <v>1.4</v>
      </c>
      <c r="J236" s="8"/>
      <c r="K236" s="7"/>
      <c r="L236" s="7"/>
      <c r="M236" s="7"/>
      <c r="N236" s="7"/>
      <c r="O236" s="7" t="s">
        <v>490</v>
      </c>
      <c r="P236" s="7" t="s">
        <v>1340</v>
      </c>
      <c r="Q236" s="7"/>
      <c r="R236" s="7" t="s">
        <v>1341</v>
      </c>
      <c r="S236" s="7" t="s">
        <v>525</v>
      </c>
      <c r="T236" s="65">
        <v>2552.0</v>
      </c>
      <c r="U236" s="7"/>
      <c r="V236" s="7"/>
    </row>
    <row r="237">
      <c r="A237" s="45">
        <v>45870.71333333333</v>
      </c>
      <c r="B237" s="7" t="s">
        <v>756</v>
      </c>
      <c r="C237" s="7" t="s">
        <v>1703</v>
      </c>
      <c r="D237" s="74">
        <v>1.0</v>
      </c>
      <c r="E237" s="46"/>
      <c r="F237" s="47">
        <v>24.99</v>
      </c>
      <c r="G237" s="47">
        <v>0.0</v>
      </c>
      <c r="H237" s="7"/>
      <c r="I237" s="47">
        <v>1.02</v>
      </c>
      <c r="J237" s="8"/>
      <c r="K237" s="7"/>
      <c r="L237" s="7"/>
      <c r="M237" s="7"/>
      <c r="N237" s="7"/>
      <c r="O237" s="7" t="s">
        <v>490</v>
      </c>
      <c r="P237" s="7" t="s">
        <v>757</v>
      </c>
      <c r="Q237" s="7"/>
      <c r="R237" s="7" t="s">
        <v>758</v>
      </c>
      <c r="S237" s="7" t="s">
        <v>493</v>
      </c>
      <c r="T237" s="65">
        <v>2554.0</v>
      </c>
      <c r="U237" s="7"/>
      <c r="V237" s="7"/>
    </row>
    <row r="238">
      <c r="A238" s="45">
        <v>45870.713321759256</v>
      </c>
      <c r="B238" s="7" t="s">
        <v>336</v>
      </c>
      <c r="C238" s="67" t="s">
        <v>1805</v>
      </c>
      <c r="D238" s="74">
        <v>1.0</v>
      </c>
      <c r="E238" s="74">
        <v>1.0</v>
      </c>
      <c r="F238" s="47">
        <v>124.99</v>
      </c>
      <c r="G238" s="47">
        <v>0.0</v>
      </c>
      <c r="H238" s="7"/>
      <c r="I238" s="47">
        <v>3.92</v>
      </c>
      <c r="J238" s="8"/>
      <c r="K238" s="7"/>
      <c r="L238" s="7"/>
      <c r="M238" s="7"/>
      <c r="N238" s="7"/>
      <c r="O238" s="7" t="s">
        <v>490</v>
      </c>
      <c r="P238" s="7" t="s">
        <v>1830</v>
      </c>
      <c r="Q238" s="7"/>
      <c r="R238" s="7" t="s">
        <v>1831</v>
      </c>
      <c r="S238" s="7" t="s">
        <v>493</v>
      </c>
      <c r="T238" s="65">
        <v>2528.0</v>
      </c>
      <c r="U238" s="7"/>
      <c r="V238" s="7"/>
    </row>
    <row r="239">
      <c r="A239" s="45">
        <v>45870.71331018519</v>
      </c>
      <c r="B239" s="7" t="s">
        <v>206</v>
      </c>
      <c r="C239" s="67" t="s">
        <v>1805</v>
      </c>
      <c r="D239" s="74">
        <v>1.0</v>
      </c>
      <c r="E239" s="74">
        <v>1.0</v>
      </c>
      <c r="F239" s="47">
        <v>124.99</v>
      </c>
      <c r="G239" s="47">
        <v>0.0</v>
      </c>
      <c r="H239" s="7"/>
      <c r="I239" s="47">
        <v>5.8</v>
      </c>
      <c r="J239" s="8"/>
      <c r="K239" s="7"/>
      <c r="L239" s="7"/>
      <c r="M239" s="7"/>
      <c r="N239" s="7"/>
      <c r="O239" s="7" t="s">
        <v>490</v>
      </c>
      <c r="P239" s="7" t="s">
        <v>1083</v>
      </c>
      <c r="Q239" s="7"/>
      <c r="R239" s="7" t="s">
        <v>1084</v>
      </c>
      <c r="S239" s="7" t="s">
        <v>617</v>
      </c>
      <c r="T239" s="65">
        <v>2553.0</v>
      </c>
      <c r="U239" s="7"/>
      <c r="V239" s="7"/>
    </row>
    <row r="240">
      <c r="A240" s="45">
        <v>45870.71298611111</v>
      </c>
      <c r="B240" s="7" t="s">
        <v>128</v>
      </c>
      <c r="C240" s="7" t="s">
        <v>1832</v>
      </c>
      <c r="D240" s="74">
        <v>3.0</v>
      </c>
      <c r="E240" s="46"/>
      <c r="F240" s="47">
        <v>74.97</v>
      </c>
      <c r="G240" s="47">
        <v>0.0</v>
      </c>
      <c r="H240" s="7"/>
      <c r="I240" s="47">
        <v>3.6</v>
      </c>
      <c r="J240" s="8"/>
      <c r="K240" s="7"/>
      <c r="L240" s="7"/>
      <c r="M240" s="7"/>
      <c r="N240" s="7"/>
      <c r="O240" s="7" t="s">
        <v>490</v>
      </c>
      <c r="P240" s="7" t="s">
        <v>1833</v>
      </c>
      <c r="Q240" s="7" t="s">
        <v>1834</v>
      </c>
      <c r="R240" s="7" t="s">
        <v>850</v>
      </c>
      <c r="S240" s="7" t="s">
        <v>882</v>
      </c>
      <c r="T240" s="65">
        <v>2546.0</v>
      </c>
      <c r="U240" s="7"/>
      <c r="V240" s="7"/>
    </row>
    <row r="241">
      <c r="A241" s="45">
        <v>45870.71288194445</v>
      </c>
      <c r="B241" s="7" t="s">
        <v>291</v>
      </c>
      <c r="C241" s="67" t="s">
        <v>1805</v>
      </c>
      <c r="D241" s="74">
        <v>1.0</v>
      </c>
      <c r="E241" s="74">
        <v>1.0</v>
      </c>
      <c r="F241" s="47">
        <v>124.99</v>
      </c>
      <c r="G241" s="47">
        <v>0.0</v>
      </c>
      <c r="H241" s="7"/>
      <c r="I241" s="47">
        <v>3.92</v>
      </c>
      <c r="J241" s="8"/>
      <c r="K241" s="7"/>
      <c r="L241" s="7"/>
      <c r="M241" s="7"/>
      <c r="N241" s="7"/>
      <c r="O241" s="7" t="s">
        <v>490</v>
      </c>
      <c r="P241" s="7" t="s">
        <v>670</v>
      </c>
      <c r="Q241" s="7"/>
      <c r="R241" s="7" t="s">
        <v>671</v>
      </c>
      <c r="S241" s="7" t="s">
        <v>493</v>
      </c>
      <c r="T241" s="65">
        <v>2551.0</v>
      </c>
      <c r="U241" s="7"/>
      <c r="V241" s="7"/>
    </row>
    <row r="242">
      <c r="A242" s="45">
        <v>45870.71267361111</v>
      </c>
      <c r="B242" s="7" t="s">
        <v>1835</v>
      </c>
      <c r="C242" s="7" t="s">
        <v>1703</v>
      </c>
      <c r="D242" s="74">
        <v>1.0</v>
      </c>
      <c r="E242" s="46"/>
      <c r="F242" s="47">
        <v>64.19</v>
      </c>
      <c r="G242" s="47">
        <v>0.0</v>
      </c>
      <c r="H242" s="7"/>
      <c r="I242" s="47">
        <v>3.12</v>
      </c>
      <c r="J242" s="8"/>
      <c r="K242" s="7"/>
      <c r="L242" s="7"/>
      <c r="M242" s="7"/>
      <c r="N242" s="7"/>
      <c r="O242" s="7" t="s">
        <v>490</v>
      </c>
      <c r="P242" s="7" t="s">
        <v>1836</v>
      </c>
      <c r="Q242" s="7"/>
      <c r="R242" s="7" t="s">
        <v>1837</v>
      </c>
      <c r="S242" s="7" t="s">
        <v>521</v>
      </c>
      <c r="T242" s="65">
        <v>2538.0</v>
      </c>
      <c r="U242" s="7"/>
      <c r="V242" s="7"/>
    </row>
    <row r="243">
      <c r="A243" s="45">
        <v>45870.71265046296</v>
      </c>
      <c r="B243" s="7" t="s">
        <v>365</v>
      </c>
      <c r="C243" s="7" t="s">
        <v>1703</v>
      </c>
      <c r="D243" s="74">
        <v>1.0</v>
      </c>
      <c r="E243" s="46"/>
      <c r="F243" s="47">
        <v>24.99</v>
      </c>
      <c r="G243" s="47">
        <v>0.0</v>
      </c>
      <c r="H243" s="7"/>
      <c r="I243" s="47">
        <v>1.4</v>
      </c>
      <c r="J243" s="8"/>
      <c r="K243" s="7"/>
      <c r="L243" s="7"/>
      <c r="M243" s="7"/>
      <c r="N243" s="7"/>
      <c r="O243" s="7" t="s">
        <v>490</v>
      </c>
      <c r="P243" s="7" t="s">
        <v>1021</v>
      </c>
      <c r="Q243" s="7"/>
      <c r="R243" s="7" t="s">
        <v>1022</v>
      </c>
      <c r="S243" s="7" t="s">
        <v>545</v>
      </c>
      <c r="T243" s="65">
        <v>2550.0</v>
      </c>
      <c r="U243" s="7"/>
      <c r="V243" s="7"/>
    </row>
    <row r="244">
      <c r="A244" s="45">
        <v>45870.71263888889</v>
      </c>
      <c r="B244" s="7" t="s">
        <v>1159</v>
      </c>
      <c r="C244" s="67" t="s">
        <v>1805</v>
      </c>
      <c r="D244" s="74">
        <v>1.0</v>
      </c>
      <c r="E244" s="74">
        <v>1.0</v>
      </c>
      <c r="F244" s="47">
        <v>124.99</v>
      </c>
      <c r="G244" s="47">
        <v>0.0</v>
      </c>
      <c r="H244" s="7"/>
      <c r="I244" s="47">
        <v>5.8</v>
      </c>
      <c r="J244" s="8"/>
      <c r="K244" s="7"/>
      <c r="L244" s="7"/>
      <c r="M244" s="7"/>
      <c r="N244" s="7"/>
      <c r="O244" s="7" t="s">
        <v>490</v>
      </c>
      <c r="P244" s="7" t="s">
        <v>1160</v>
      </c>
      <c r="Q244" s="7"/>
      <c r="R244" s="7" t="s">
        <v>1161</v>
      </c>
      <c r="S244" s="7" t="s">
        <v>939</v>
      </c>
      <c r="T244" s="65">
        <v>2545.0</v>
      </c>
      <c r="U244" s="7"/>
      <c r="V244" s="7"/>
    </row>
    <row r="245">
      <c r="A245" s="45">
        <v>45870.71260416666</v>
      </c>
      <c r="B245" s="7" t="s">
        <v>377</v>
      </c>
      <c r="C245" s="7" t="s">
        <v>1703</v>
      </c>
      <c r="D245" s="74">
        <v>1.0</v>
      </c>
      <c r="E245" s="46"/>
      <c r="F245" s="47">
        <v>24.99</v>
      </c>
      <c r="G245" s="47">
        <v>0.0</v>
      </c>
      <c r="H245" s="7"/>
      <c r="I245" s="47">
        <v>1.02</v>
      </c>
      <c r="J245" s="8"/>
      <c r="K245" s="7"/>
      <c r="L245" s="7"/>
      <c r="M245" s="7"/>
      <c r="N245" s="7"/>
      <c r="O245" s="7" t="s">
        <v>490</v>
      </c>
      <c r="P245" s="7"/>
      <c r="Q245" s="7"/>
      <c r="R245" s="7"/>
      <c r="S245" s="7" t="s">
        <v>493</v>
      </c>
      <c r="T245" s="65">
        <v>2547.0</v>
      </c>
      <c r="U245" s="7"/>
      <c r="V245" s="7"/>
    </row>
    <row r="246">
      <c r="A246" s="45">
        <v>45870.71246527778</v>
      </c>
      <c r="B246" s="7" t="s">
        <v>1658</v>
      </c>
      <c r="C246" s="7" t="s">
        <v>1703</v>
      </c>
      <c r="D246" s="74">
        <v>1.0</v>
      </c>
      <c r="E246" s="46"/>
      <c r="F246" s="47">
        <v>24.99</v>
      </c>
      <c r="G246" s="47">
        <v>0.0</v>
      </c>
      <c r="H246" s="7"/>
      <c r="I246" s="47">
        <v>1.4</v>
      </c>
      <c r="J246" s="8"/>
      <c r="K246" s="7"/>
      <c r="L246" s="7"/>
      <c r="M246" s="7"/>
      <c r="N246" s="7"/>
      <c r="O246" s="7" t="s">
        <v>490</v>
      </c>
      <c r="P246" s="7" t="s">
        <v>1272</v>
      </c>
      <c r="Q246" s="7"/>
      <c r="R246" s="7" t="s">
        <v>1659</v>
      </c>
      <c r="S246" s="7" t="s">
        <v>521</v>
      </c>
      <c r="T246" s="65">
        <v>2536.0</v>
      </c>
      <c r="U246" s="7"/>
      <c r="V246" s="7"/>
    </row>
    <row r="247">
      <c r="A247" s="45">
        <v>45870.71224537037</v>
      </c>
      <c r="B247" s="7" t="s">
        <v>409</v>
      </c>
      <c r="C247" s="7" t="s">
        <v>1703</v>
      </c>
      <c r="D247" s="74">
        <v>1.0</v>
      </c>
      <c r="E247" s="46"/>
      <c r="F247" s="47">
        <v>24.99</v>
      </c>
      <c r="G247" s="47">
        <v>0.0</v>
      </c>
      <c r="H247" s="7"/>
      <c r="I247" s="47">
        <v>1.02</v>
      </c>
      <c r="J247" s="8"/>
      <c r="K247" s="7"/>
      <c r="L247" s="7"/>
      <c r="M247" s="7"/>
      <c r="N247" s="7"/>
      <c r="O247" s="7" t="s">
        <v>490</v>
      </c>
      <c r="P247" s="7" t="s">
        <v>1421</v>
      </c>
      <c r="Q247" s="7"/>
      <c r="R247" s="7" t="s">
        <v>1249</v>
      </c>
      <c r="S247" s="7" t="s">
        <v>493</v>
      </c>
      <c r="T247" s="65">
        <v>2549.0</v>
      </c>
      <c r="U247" s="7"/>
      <c r="V247" s="7"/>
    </row>
    <row r="248">
      <c r="A248" s="45">
        <v>45870.7118287037</v>
      </c>
      <c r="B248" s="7" t="s">
        <v>406</v>
      </c>
      <c r="C248" s="7" t="s">
        <v>1703</v>
      </c>
      <c r="D248" s="74">
        <v>1.0</v>
      </c>
      <c r="E248" s="46"/>
      <c r="F248" s="47">
        <v>24.99</v>
      </c>
      <c r="G248" s="47">
        <v>0.0</v>
      </c>
      <c r="H248" s="7"/>
      <c r="I248" s="47">
        <v>1.4</v>
      </c>
      <c r="J248" s="8"/>
      <c r="K248" s="7"/>
      <c r="L248" s="7"/>
      <c r="M248" s="7"/>
      <c r="N248" s="7"/>
      <c r="O248" s="7" t="s">
        <v>490</v>
      </c>
      <c r="P248" s="7" t="s">
        <v>1555</v>
      </c>
      <c r="Q248" s="7"/>
      <c r="R248" s="7" t="s">
        <v>1556</v>
      </c>
      <c r="S248" s="7" t="s">
        <v>545</v>
      </c>
      <c r="T248" s="65">
        <v>2540.0</v>
      </c>
      <c r="U248" s="7"/>
      <c r="V248" s="7"/>
    </row>
    <row r="249">
      <c r="A249" s="45">
        <v>45870.71175925926</v>
      </c>
      <c r="B249" s="7" t="s">
        <v>434</v>
      </c>
      <c r="C249" s="7" t="s">
        <v>1703</v>
      </c>
      <c r="D249" s="74">
        <v>1.0</v>
      </c>
      <c r="E249" s="46"/>
      <c r="F249" s="47">
        <v>26.49</v>
      </c>
      <c r="G249" s="47">
        <v>0.0</v>
      </c>
      <c r="H249" s="7"/>
      <c r="I249" s="47">
        <v>1.07</v>
      </c>
      <c r="J249" s="8"/>
      <c r="K249" s="7"/>
      <c r="L249" s="7"/>
      <c r="M249" s="7"/>
      <c r="N249" s="7"/>
      <c r="O249" s="7" t="s">
        <v>490</v>
      </c>
      <c r="P249" s="7" t="s">
        <v>1342</v>
      </c>
      <c r="Q249" s="7"/>
      <c r="R249" s="7" t="s">
        <v>1343</v>
      </c>
      <c r="S249" s="7" t="s">
        <v>493</v>
      </c>
      <c r="T249" s="65">
        <v>2544.0</v>
      </c>
      <c r="U249" s="7"/>
      <c r="V249" s="7"/>
    </row>
    <row r="250">
      <c r="A250" s="45">
        <v>45870.711747685185</v>
      </c>
      <c r="B250" s="7" t="s">
        <v>443</v>
      </c>
      <c r="C250" s="7" t="s">
        <v>1703</v>
      </c>
      <c r="D250" s="74">
        <v>1.0</v>
      </c>
      <c r="E250" s="46"/>
      <c r="F250" s="47">
        <v>24.99</v>
      </c>
      <c r="G250" s="47">
        <v>0.0</v>
      </c>
      <c r="H250" s="7"/>
      <c r="I250" s="47">
        <v>1.02</v>
      </c>
      <c r="J250" s="8"/>
      <c r="K250" s="7"/>
      <c r="L250" s="7"/>
      <c r="M250" s="7"/>
      <c r="N250" s="7"/>
      <c r="O250" s="7" t="s">
        <v>490</v>
      </c>
      <c r="P250" s="7" t="s">
        <v>1145</v>
      </c>
      <c r="Q250" s="65">
        <v>237.0</v>
      </c>
      <c r="R250" s="7" t="s">
        <v>1147</v>
      </c>
      <c r="S250" s="7" t="s">
        <v>493</v>
      </c>
      <c r="T250" s="65">
        <v>2542.0</v>
      </c>
      <c r="U250" s="7"/>
      <c r="V250" s="7"/>
    </row>
    <row r="251">
      <c r="A251" s="45">
        <v>45870.71125</v>
      </c>
      <c r="B251" s="7" t="s">
        <v>1237</v>
      </c>
      <c r="C251" s="7" t="s">
        <v>1703</v>
      </c>
      <c r="D251" s="74">
        <v>1.0</v>
      </c>
      <c r="E251" s="46"/>
      <c r="F251" s="47">
        <v>27.05</v>
      </c>
      <c r="G251" s="47">
        <v>0.0</v>
      </c>
      <c r="H251" s="7"/>
      <c r="I251" s="47">
        <v>1.08</v>
      </c>
      <c r="J251" s="8"/>
      <c r="K251" s="7"/>
      <c r="L251" s="7"/>
      <c r="M251" s="7"/>
      <c r="N251" s="7"/>
      <c r="O251" s="7" t="s">
        <v>490</v>
      </c>
      <c r="P251" s="7" t="s">
        <v>1238</v>
      </c>
      <c r="Q251" s="7"/>
      <c r="R251" s="7" t="s">
        <v>1239</v>
      </c>
      <c r="S251" s="7" t="s">
        <v>493</v>
      </c>
      <c r="T251" s="65">
        <v>2543.0</v>
      </c>
      <c r="U251" s="7"/>
      <c r="V251" s="7"/>
    </row>
    <row r="252">
      <c r="A252" s="45">
        <v>45870.71113425926</v>
      </c>
      <c r="B252" s="7" t="s">
        <v>250</v>
      </c>
      <c r="C252" s="7" t="s">
        <v>1703</v>
      </c>
      <c r="D252" s="74">
        <v>1.0</v>
      </c>
      <c r="E252" s="46"/>
      <c r="F252" s="47">
        <v>24.99</v>
      </c>
      <c r="G252" s="47">
        <v>0.0</v>
      </c>
      <c r="H252" s="7"/>
      <c r="I252" s="47">
        <v>1.4</v>
      </c>
      <c r="J252" s="8"/>
      <c r="K252" s="7"/>
      <c r="L252" s="7"/>
      <c r="M252" s="7"/>
      <c r="N252" s="7"/>
      <c r="O252" s="7" t="s">
        <v>490</v>
      </c>
      <c r="P252" s="7" t="s">
        <v>1075</v>
      </c>
      <c r="Q252" s="7"/>
      <c r="R252" s="7" t="s">
        <v>1076</v>
      </c>
      <c r="S252" s="7" t="s">
        <v>525</v>
      </c>
      <c r="T252" s="65">
        <v>2530.0</v>
      </c>
      <c r="U252" s="7"/>
      <c r="V252" s="7"/>
    </row>
    <row r="253">
      <c r="A253" s="45">
        <v>45870.71104166667</v>
      </c>
      <c r="B253" s="7" t="s">
        <v>847</v>
      </c>
      <c r="C253" s="7" t="s">
        <v>1703</v>
      </c>
      <c r="D253" s="74">
        <v>1.0</v>
      </c>
      <c r="E253" s="46"/>
      <c r="F253" s="47">
        <v>24.99</v>
      </c>
      <c r="G253" s="47">
        <v>0.0</v>
      </c>
      <c r="H253" s="7"/>
      <c r="I253" s="47">
        <v>1.02</v>
      </c>
      <c r="J253" s="8"/>
      <c r="K253" s="7"/>
      <c r="L253" s="7"/>
      <c r="M253" s="7"/>
      <c r="N253" s="7"/>
      <c r="O253" s="7" t="s">
        <v>490</v>
      </c>
      <c r="P253" s="7" t="s">
        <v>848</v>
      </c>
      <c r="Q253" s="7" t="s">
        <v>849</v>
      </c>
      <c r="R253" s="7" t="s">
        <v>850</v>
      </c>
      <c r="S253" s="7" t="s">
        <v>493</v>
      </c>
      <c r="T253" s="65">
        <v>2532.0</v>
      </c>
      <c r="U253" s="7"/>
      <c r="V253" s="7"/>
    </row>
    <row r="254">
      <c r="A254" s="45">
        <v>45870.710914351854</v>
      </c>
      <c r="B254" s="7" t="s">
        <v>134</v>
      </c>
      <c r="C254" s="7" t="s">
        <v>1703</v>
      </c>
      <c r="D254" s="74">
        <v>1.0</v>
      </c>
      <c r="E254" s="46"/>
      <c r="F254" s="47">
        <v>24.99</v>
      </c>
      <c r="G254" s="47">
        <v>0.0</v>
      </c>
      <c r="H254" s="7"/>
      <c r="I254" s="47">
        <v>1.4</v>
      </c>
      <c r="J254" s="8"/>
      <c r="K254" s="7"/>
      <c r="L254" s="7"/>
      <c r="M254" s="7"/>
      <c r="N254" s="7"/>
      <c r="O254" s="7" t="s">
        <v>490</v>
      </c>
      <c r="P254" s="7" t="s">
        <v>1838</v>
      </c>
      <c r="Q254" s="65">
        <v>11.0</v>
      </c>
      <c r="R254" s="7" t="s">
        <v>1489</v>
      </c>
      <c r="S254" s="7" t="s">
        <v>525</v>
      </c>
      <c r="T254" s="65">
        <v>2535.0</v>
      </c>
      <c r="U254" s="7"/>
      <c r="V254" s="7"/>
    </row>
    <row r="255">
      <c r="A255" s="45">
        <v>45870.71071759259</v>
      </c>
      <c r="B255" s="7" t="s">
        <v>162</v>
      </c>
      <c r="C255" s="67" t="s">
        <v>1805</v>
      </c>
      <c r="D255" s="74">
        <v>1.0</v>
      </c>
      <c r="E255" s="74">
        <v>1.0</v>
      </c>
      <c r="F255" s="47">
        <v>124.99</v>
      </c>
      <c r="G255" s="47">
        <v>0.0</v>
      </c>
      <c r="H255" s="7"/>
      <c r="I255" s="47">
        <v>5.8</v>
      </c>
      <c r="J255" s="8"/>
      <c r="K255" s="7"/>
      <c r="L255" s="7"/>
      <c r="M255" s="7"/>
      <c r="N255" s="7"/>
      <c r="O255" s="7" t="s">
        <v>490</v>
      </c>
      <c r="P255" s="7" t="s">
        <v>1533</v>
      </c>
      <c r="Q255" s="65">
        <v>4.0</v>
      </c>
      <c r="R255" s="7" t="s">
        <v>842</v>
      </c>
      <c r="S255" s="7" t="s">
        <v>525</v>
      </c>
      <c r="T255" s="65">
        <v>2531.0</v>
      </c>
      <c r="U255" s="7"/>
      <c r="V255" s="7"/>
    </row>
    <row r="256">
      <c r="A256" s="45">
        <v>45870.71060185185</v>
      </c>
      <c r="B256" s="7" t="s">
        <v>170</v>
      </c>
      <c r="C256" s="7" t="s">
        <v>1703</v>
      </c>
      <c r="D256" s="74">
        <v>1.0</v>
      </c>
      <c r="E256" s="46"/>
      <c r="F256" s="47">
        <v>24.99</v>
      </c>
      <c r="G256" s="47">
        <v>0.0</v>
      </c>
      <c r="H256" s="7"/>
      <c r="I256" s="47">
        <v>1.4</v>
      </c>
      <c r="J256" s="8"/>
      <c r="K256" s="7"/>
      <c r="L256" s="7"/>
      <c r="M256" s="7"/>
      <c r="N256" s="7"/>
      <c r="O256" s="7" t="s">
        <v>490</v>
      </c>
      <c r="P256" s="7" t="s">
        <v>1366</v>
      </c>
      <c r="Q256" s="7"/>
      <c r="R256" s="7" t="s">
        <v>1367</v>
      </c>
      <c r="S256" s="7" t="s">
        <v>1368</v>
      </c>
      <c r="T256" s="65">
        <v>2539.0</v>
      </c>
      <c r="U256" s="7"/>
      <c r="V256" s="7"/>
    </row>
    <row r="257">
      <c r="A257" s="45">
        <v>45870.71030092592</v>
      </c>
      <c r="B257" s="7" t="s">
        <v>1191</v>
      </c>
      <c r="C257" s="7" t="s">
        <v>1703</v>
      </c>
      <c r="D257" s="74">
        <v>1.0</v>
      </c>
      <c r="E257" s="46"/>
      <c r="F257" s="47">
        <v>27.3</v>
      </c>
      <c r="G257" s="47">
        <v>0.0</v>
      </c>
      <c r="H257" s="7"/>
      <c r="I257" s="47">
        <v>1.09</v>
      </c>
      <c r="J257" s="8"/>
      <c r="K257" s="7"/>
      <c r="L257" s="7"/>
      <c r="M257" s="7"/>
      <c r="N257" s="7"/>
      <c r="O257" s="7" t="s">
        <v>490</v>
      </c>
      <c r="P257" s="7" t="s">
        <v>1192</v>
      </c>
      <c r="Q257" s="7"/>
      <c r="R257" s="7" t="s">
        <v>1193</v>
      </c>
      <c r="S257" s="7" t="s">
        <v>493</v>
      </c>
      <c r="T257" s="65">
        <v>2533.0</v>
      </c>
      <c r="U257" s="7"/>
      <c r="V257" s="7"/>
    </row>
    <row r="258">
      <c r="A258" s="45">
        <v>45870.71016203704</v>
      </c>
      <c r="B258" s="7" t="s">
        <v>356</v>
      </c>
      <c r="C258" s="7" t="s">
        <v>1703</v>
      </c>
      <c r="D258" s="74">
        <v>1.0</v>
      </c>
      <c r="E258" s="46"/>
      <c r="F258" s="47">
        <v>24.99</v>
      </c>
      <c r="G258" s="47">
        <v>0.0</v>
      </c>
      <c r="H258" s="7"/>
      <c r="I258" s="47">
        <v>1.4</v>
      </c>
      <c r="J258" s="8"/>
      <c r="K258" s="7"/>
      <c r="L258" s="7"/>
      <c r="M258" s="7"/>
      <c r="N258" s="7"/>
      <c r="O258" s="7" t="s">
        <v>490</v>
      </c>
      <c r="P258" s="7" t="s">
        <v>797</v>
      </c>
      <c r="Q258" s="7"/>
      <c r="R258" s="7" t="s">
        <v>798</v>
      </c>
      <c r="S258" s="7" t="s">
        <v>525</v>
      </c>
      <c r="T258" s="65">
        <v>2534.0</v>
      </c>
      <c r="U258" s="7"/>
      <c r="V258" s="7"/>
    </row>
    <row r="259">
      <c r="A259" s="45">
        <v>45870.70978009259</v>
      </c>
      <c r="B259" s="7" t="s">
        <v>381</v>
      </c>
      <c r="C259" s="67" t="s">
        <v>1805</v>
      </c>
      <c r="D259" s="74">
        <v>1.0</v>
      </c>
      <c r="E259" s="74">
        <v>1.0</v>
      </c>
      <c r="F259" s="47">
        <v>124.99</v>
      </c>
      <c r="G259" s="47">
        <v>0.0</v>
      </c>
      <c r="H259" s="7"/>
      <c r="I259" s="47">
        <v>5.8</v>
      </c>
      <c r="J259" s="8"/>
      <c r="K259" s="7"/>
      <c r="L259" s="7"/>
      <c r="M259" s="7"/>
      <c r="N259" s="7"/>
      <c r="O259" s="7" t="s">
        <v>490</v>
      </c>
      <c r="P259" s="7" t="s">
        <v>1683</v>
      </c>
      <c r="Q259" s="7"/>
      <c r="R259" s="7" t="s">
        <v>509</v>
      </c>
      <c r="S259" s="7" t="s">
        <v>510</v>
      </c>
      <c r="T259" s="65">
        <v>2525.0</v>
      </c>
      <c r="U259" s="7"/>
      <c r="V259" s="7"/>
    </row>
    <row r="260">
      <c r="A260" s="45">
        <v>45870.70978009259</v>
      </c>
      <c r="B260" s="7" t="s">
        <v>354</v>
      </c>
      <c r="C260" s="7" t="s">
        <v>1703</v>
      </c>
      <c r="D260" s="74">
        <v>1.0</v>
      </c>
      <c r="E260" s="46"/>
      <c r="F260" s="47">
        <v>24.99</v>
      </c>
      <c r="G260" s="47">
        <v>0.0</v>
      </c>
      <c r="H260" s="7"/>
      <c r="I260" s="47">
        <v>1.4</v>
      </c>
      <c r="J260" s="8"/>
      <c r="K260" s="7"/>
      <c r="L260" s="7"/>
      <c r="M260" s="7"/>
      <c r="N260" s="7"/>
      <c r="O260" s="7" t="s">
        <v>490</v>
      </c>
      <c r="P260" s="7" t="s">
        <v>1660</v>
      </c>
      <c r="Q260" s="7"/>
      <c r="R260" s="7" t="s">
        <v>1661</v>
      </c>
      <c r="S260" s="7" t="s">
        <v>521</v>
      </c>
      <c r="T260" s="65">
        <v>2527.0</v>
      </c>
      <c r="U260" s="7"/>
      <c r="V260" s="7"/>
    </row>
    <row r="261">
      <c r="A261" s="45">
        <v>45870.70976851852</v>
      </c>
      <c r="B261" s="7" t="s">
        <v>1234</v>
      </c>
      <c r="C261" s="7" t="s">
        <v>1703</v>
      </c>
      <c r="D261" s="74">
        <v>1.0</v>
      </c>
      <c r="E261" s="46"/>
      <c r="F261" s="47">
        <v>24.99</v>
      </c>
      <c r="G261" s="47">
        <v>0.0</v>
      </c>
      <c r="H261" s="7"/>
      <c r="I261" s="47">
        <v>1.02</v>
      </c>
      <c r="J261" s="8"/>
      <c r="K261" s="7"/>
      <c r="L261" s="7"/>
      <c r="M261" s="7"/>
      <c r="N261" s="7"/>
      <c r="O261" s="7" t="s">
        <v>490</v>
      </c>
      <c r="P261" s="7" t="s">
        <v>1235</v>
      </c>
      <c r="Q261" s="7"/>
      <c r="R261" s="7" t="s">
        <v>1236</v>
      </c>
      <c r="S261" s="7" t="s">
        <v>493</v>
      </c>
      <c r="T261" s="65">
        <v>2526.0</v>
      </c>
      <c r="U261" s="7"/>
      <c r="V261" s="7"/>
    </row>
    <row r="262">
      <c r="A262" s="45">
        <v>45870.70956018518</v>
      </c>
      <c r="B262" s="7" t="s">
        <v>759</v>
      </c>
      <c r="C262" s="7" t="s">
        <v>1703</v>
      </c>
      <c r="D262" s="74">
        <v>1.0</v>
      </c>
      <c r="E262" s="46"/>
      <c r="F262" s="47">
        <v>24.99</v>
      </c>
      <c r="G262" s="47">
        <v>0.0</v>
      </c>
      <c r="H262" s="7"/>
      <c r="I262" s="47">
        <v>1.02</v>
      </c>
      <c r="J262" s="8"/>
      <c r="K262" s="7"/>
      <c r="L262" s="7"/>
      <c r="M262" s="7"/>
      <c r="N262" s="7"/>
      <c r="O262" s="7" t="s">
        <v>490</v>
      </c>
      <c r="P262" s="7" t="s">
        <v>760</v>
      </c>
      <c r="Q262" s="7" t="s">
        <v>761</v>
      </c>
      <c r="R262" s="7" t="s">
        <v>762</v>
      </c>
      <c r="S262" s="7" t="s">
        <v>493</v>
      </c>
      <c r="T262" s="65">
        <v>2524.0</v>
      </c>
      <c r="U262" s="7"/>
      <c r="V262" s="7"/>
    </row>
    <row r="263">
      <c r="A263" s="45">
        <v>45870.70947916667</v>
      </c>
      <c r="B263" s="7" t="s">
        <v>424</v>
      </c>
      <c r="C263" s="67" t="s">
        <v>1805</v>
      </c>
      <c r="D263" s="74">
        <v>1.0</v>
      </c>
      <c r="E263" s="74">
        <v>1.0</v>
      </c>
      <c r="F263" s="47">
        <v>124.99</v>
      </c>
      <c r="G263" s="47">
        <v>0.0</v>
      </c>
      <c r="H263" s="7"/>
      <c r="I263" s="47">
        <v>3.92</v>
      </c>
      <c r="J263" s="8"/>
      <c r="K263" s="7"/>
      <c r="L263" s="7"/>
      <c r="M263" s="7"/>
      <c r="N263" s="7"/>
      <c r="O263" s="7" t="s">
        <v>490</v>
      </c>
      <c r="P263" s="7" t="s">
        <v>1676</v>
      </c>
      <c r="Q263" s="7"/>
      <c r="R263" s="7" t="s">
        <v>1373</v>
      </c>
      <c r="S263" s="7" t="s">
        <v>493</v>
      </c>
      <c r="T263" s="65">
        <v>2522.0</v>
      </c>
      <c r="U263" s="7"/>
      <c r="V263" s="7"/>
    </row>
    <row r="264">
      <c r="A264" s="45">
        <v>45870.709328703706</v>
      </c>
      <c r="B264" s="7" t="s">
        <v>356</v>
      </c>
      <c r="C264" s="7" t="s">
        <v>1703</v>
      </c>
      <c r="D264" s="74">
        <v>1.0</v>
      </c>
      <c r="E264" s="46"/>
      <c r="F264" s="47">
        <v>24.99</v>
      </c>
      <c r="G264" s="47">
        <v>0.0</v>
      </c>
      <c r="H264" s="7"/>
      <c r="I264" s="47">
        <v>1.4</v>
      </c>
      <c r="J264" s="8"/>
      <c r="K264" s="7"/>
      <c r="L264" s="7"/>
      <c r="M264" s="7"/>
      <c r="N264" s="7"/>
      <c r="O264" s="7" t="s">
        <v>490</v>
      </c>
      <c r="P264" s="7" t="s">
        <v>797</v>
      </c>
      <c r="Q264" s="7"/>
      <c r="R264" s="7" t="s">
        <v>798</v>
      </c>
      <c r="S264" s="7" t="s">
        <v>525</v>
      </c>
      <c r="T264" s="65">
        <v>2523.0</v>
      </c>
      <c r="U264" s="7"/>
      <c r="V264" s="7"/>
    </row>
    <row r="265">
      <c r="A265" s="45">
        <v>45870.70885416667</v>
      </c>
      <c r="B265" s="7" t="s">
        <v>929</v>
      </c>
      <c r="C265" s="67" t="s">
        <v>1805</v>
      </c>
      <c r="D265" s="74">
        <v>1.0</v>
      </c>
      <c r="E265" s="74">
        <v>1.0</v>
      </c>
      <c r="F265" s="47">
        <v>124.99</v>
      </c>
      <c r="G265" s="47">
        <v>0.0</v>
      </c>
      <c r="H265" s="7"/>
      <c r="I265" s="47">
        <v>5.8</v>
      </c>
      <c r="J265" s="8"/>
      <c r="K265" s="7"/>
      <c r="L265" s="7"/>
      <c r="M265" s="7"/>
      <c r="N265" s="7"/>
      <c r="O265" s="7" t="s">
        <v>490</v>
      </c>
      <c r="P265" s="7"/>
      <c r="Q265" s="7"/>
      <c r="R265" s="7"/>
      <c r="S265" s="7" t="s">
        <v>545</v>
      </c>
      <c r="T265" s="65">
        <v>2519.0</v>
      </c>
      <c r="U265" s="7"/>
      <c r="V265" s="7"/>
    </row>
    <row r="266">
      <c r="A266" s="45">
        <v>45870.708599537036</v>
      </c>
      <c r="B266" s="7" t="s">
        <v>1839</v>
      </c>
      <c r="C266" s="7" t="s">
        <v>1703</v>
      </c>
      <c r="D266" s="74">
        <v>1.0</v>
      </c>
      <c r="E266" s="46"/>
      <c r="F266" s="47">
        <v>24.99</v>
      </c>
      <c r="G266" s="47">
        <v>0.0</v>
      </c>
      <c r="H266" s="7"/>
      <c r="I266" s="47">
        <v>1.02</v>
      </c>
      <c r="J266" s="8"/>
      <c r="K266" s="7"/>
      <c r="L266" s="7"/>
      <c r="M266" s="7"/>
      <c r="N266" s="7"/>
      <c r="O266" s="7" t="s">
        <v>490</v>
      </c>
      <c r="P266" s="7" t="s">
        <v>1067</v>
      </c>
      <c r="Q266" s="7"/>
      <c r="R266" s="7" t="s">
        <v>1068</v>
      </c>
      <c r="S266" s="7" t="s">
        <v>493</v>
      </c>
      <c r="T266" s="65">
        <v>2520.0</v>
      </c>
      <c r="U266" s="7"/>
      <c r="V266" s="7"/>
    </row>
    <row r="267">
      <c r="A267" s="45">
        <v>45870.70800925926</v>
      </c>
      <c r="B267" s="7" t="s">
        <v>812</v>
      </c>
      <c r="C267" s="67" t="s">
        <v>1805</v>
      </c>
      <c r="D267" s="74">
        <v>1.0</v>
      </c>
      <c r="E267" s="74">
        <v>1.0</v>
      </c>
      <c r="F267" s="47">
        <v>124.99</v>
      </c>
      <c r="G267" s="47">
        <v>0.0</v>
      </c>
      <c r="H267" s="7"/>
      <c r="I267" s="47">
        <v>5.8</v>
      </c>
      <c r="J267" s="8"/>
      <c r="K267" s="7"/>
      <c r="L267" s="7"/>
      <c r="M267" s="7"/>
      <c r="N267" s="7"/>
      <c r="O267" s="7" t="s">
        <v>490</v>
      </c>
      <c r="P267" s="7" t="s">
        <v>813</v>
      </c>
      <c r="Q267" s="7" t="s">
        <v>1668</v>
      </c>
      <c r="R267" s="7" t="s">
        <v>815</v>
      </c>
      <c r="S267" s="7" t="s">
        <v>555</v>
      </c>
      <c r="T267" s="65">
        <v>2517.0</v>
      </c>
      <c r="U267" s="7"/>
      <c r="V267" s="7"/>
    </row>
    <row r="268">
      <c r="A268" s="45">
        <v>45870.707083333335</v>
      </c>
      <c r="B268" s="7" t="s">
        <v>1384</v>
      </c>
      <c r="C268" s="7" t="s">
        <v>1703</v>
      </c>
      <c r="D268" s="74">
        <v>1.0</v>
      </c>
      <c r="E268" s="46"/>
      <c r="F268" s="47">
        <v>24.99</v>
      </c>
      <c r="G268" s="47">
        <v>0.0</v>
      </c>
      <c r="H268" s="7"/>
      <c r="I268" s="47">
        <v>1.02</v>
      </c>
      <c r="J268" s="8"/>
      <c r="K268" s="7"/>
      <c r="L268" s="7"/>
      <c r="M268" s="7"/>
      <c r="N268" s="7"/>
      <c r="O268" s="7" t="s">
        <v>490</v>
      </c>
      <c r="P268" s="7" t="s">
        <v>1385</v>
      </c>
      <c r="Q268" s="7"/>
      <c r="R268" s="7" t="s">
        <v>1386</v>
      </c>
      <c r="S268" s="7" t="s">
        <v>493</v>
      </c>
      <c r="T268" s="65">
        <v>2514.0</v>
      </c>
      <c r="U268" s="7"/>
      <c r="V268" s="7"/>
    </row>
    <row r="269">
      <c r="A269" s="45">
        <v>45870.70690972222</v>
      </c>
      <c r="B269" s="7" t="s">
        <v>1225</v>
      </c>
      <c r="C269" s="7" t="s">
        <v>1703</v>
      </c>
      <c r="D269" s="74">
        <v>1.0</v>
      </c>
      <c r="E269" s="46"/>
      <c r="F269" s="47">
        <v>24.99</v>
      </c>
      <c r="G269" s="47">
        <v>0.0</v>
      </c>
      <c r="H269" s="7"/>
      <c r="I269" s="47">
        <v>1.4</v>
      </c>
      <c r="J269" s="8"/>
      <c r="K269" s="7"/>
      <c r="L269" s="7"/>
      <c r="M269" s="7"/>
      <c r="N269" s="7"/>
      <c r="O269" s="7" t="s">
        <v>490</v>
      </c>
      <c r="P269" s="7" t="s">
        <v>1226</v>
      </c>
      <c r="Q269" s="7"/>
      <c r="R269" s="7" t="s">
        <v>1227</v>
      </c>
      <c r="S269" s="7" t="s">
        <v>726</v>
      </c>
      <c r="T269" s="65">
        <v>2513.0</v>
      </c>
      <c r="U269" s="7"/>
      <c r="V269" s="7"/>
    </row>
    <row r="270">
      <c r="A270" s="45">
        <v>45870.70667824074</v>
      </c>
      <c r="B270" s="7" t="s">
        <v>300</v>
      </c>
      <c r="C270" s="67" t="s">
        <v>1805</v>
      </c>
      <c r="D270" s="74">
        <v>1.0</v>
      </c>
      <c r="E270" s="74">
        <v>1.0</v>
      </c>
      <c r="F270" s="47">
        <v>124.99</v>
      </c>
      <c r="G270" s="47">
        <v>0.0</v>
      </c>
      <c r="H270" s="7"/>
      <c r="I270" s="47">
        <v>5.8</v>
      </c>
      <c r="J270" s="8"/>
      <c r="K270" s="7"/>
      <c r="L270" s="7"/>
      <c r="M270" s="7"/>
      <c r="N270" s="7"/>
      <c r="O270" s="7" t="s">
        <v>490</v>
      </c>
      <c r="P270" s="7" t="s">
        <v>1291</v>
      </c>
      <c r="Q270" s="7"/>
      <c r="R270" s="7" t="s">
        <v>1699</v>
      </c>
      <c r="S270" s="7" t="s">
        <v>1293</v>
      </c>
      <c r="T270" s="65">
        <v>2506.0</v>
      </c>
      <c r="U270" s="7"/>
      <c r="V270" s="7"/>
    </row>
    <row r="271">
      <c r="A271" s="45">
        <v>45870.706608796296</v>
      </c>
      <c r="B271" s="7" t="s">
        <v>1162</v>
      </c>
      <c r="C271" s="7" t="s">
        <v>1703</v>
      </c>
      <c r="D271" s="74">
        <v>1.0</v>
      </c>
      <c r="E271" s="46"/>
      <c r="F271" s="47">
        <v>36.6</v>
      </c>
      <c r="G271" s="47">
        <v>0.0</v>
      </c>
      <c r="H271" s="7"/>
      <c r="I271" s="47">
        <v>1.36</v>
      </c>
      <c r="J271" s="8"/>
      <c r="K271" s="7"/>
      <c r="L271" s="7"/>
      <c r="M271" s="7"/>
      <c r="N271" s="7"/>
      <c r="O271" s="7" t="s">
        <v>490</v>
      </c>
      <c r="P271" s="7" t="s">
        <v>1163</v>
      </c>
      <c r="Q271" s="7"/>
      <c r="R271" s="7" t="s">
        <v>653</v>
      </c>
      <c r="S271" s="7" t="s">
        <v>493</v>
      </c>
      <c r="T271" s="65">
        <v>2515.0</v>
      </c>
      <c r="U271" s="7"/>
      <c r="V271" s="7"/>
    </row>
    <row r="272">
      <c r="A272" s="45">
        <v>45870.706608796296</v>
      </c>
      <c r="B272" s="7" t="s">
        <v>723</v>
      </c>
      <c r="C272" s="7" t="s">
        <v>1703</v>
      </c>
      <c r="D272" s="74">
        <v>1.0</v>
      </c>
      <c r="E272" s="46"/>
      <c r="F272" s="47">
        <v>24.99</v>
      </c>
      <c r="G272" s="47">
        <v>0.0</v>
      </c>
      <c r="H272" s="7"/>
      <c r="I272" s="47">
        <v>1.4</v>
      </c>
      <c r="J272" s="8"/>
      <c r="K272" s="7"/>
      <c r="L272" s="7"/>
      <c r="M272" s="7"/>
      <c r="N272" s="7"/>
      <c r="O272" s="7" t="s">
        <v>490</v>
      </c>
      <c r="P272" s="7" t="s">
        <v>724</v>
      </c>
      <c r="Q272" s="7"/>
      <c r="R272" s="7" t="s">
        <v>725</v>
      </c>
      <c r="S272" s="7" t="s">
        <v>726</v>
      </c>
      <c r="T272" s="65">
        <v>2510.0</v>
      </c>
      <c r="U272" s="7"/>
      <c r="V272" s="7"/>
    </row>
    <row r="273">
      <c r="A273" s="45">
        <v>45870.70658564815</v>
      </c>
      <c r="B273" s="7" t="s">
        <v>1047</v>
      </c>
      <c r="C273" s="7" t="s">
        <v>1703</v>
      </c>
      <c r="D273" s="74">
        <v>1.0</v>
      </c>
      <c r="E273" s="46"/>
      <c r="F273" s="47">
        <v>27.3</v>
      </c>
      <c r="G273" s="47">
        <v>0.0</v>
      </c>
      <c r="H273" s="7"/>
      <c r="I273" s="47">
        <v>1.09</v>
      </c>
      <c r="J273" s="8"/>
      <c r="K273" s="7"/>
      <c r="L273" s="7"/>
      <c r="M273" s="7"/>
      <c r="N273" s="7"/>
      <c r="O273" s="7" t="s">
        <v>490</v>
      </c>
      <c r="P273" s="7" t="s">
        <v>1048</v>
      </c>
      <c r="Q273" s="7"/>
      <c r="R273" s="7" t="s">
        <v>1049</v>
      </c>
      <c r="S273" s="7" t="s">
        <v>493</v>
      </c>
      <c r="T273" s="65">
        <v>2516.0</v>
      </c>
      <c r="U273" s="7"/>
      <c r="V273" s="7"/>
    </row>
    <row r="274">
      <c r="A274" s="45">
        <v>45870.70612268519</v>
      </c>
      <c r="B274" s="7" t="s">
        <v>388</v>
      </c>
      <c r="C274" s="7" t="s">
        <v>1703</v>
      </c>
      <c r="D274" s="74">
        <v>1.0</v>
      </c>
      <c r="E274" s="46"/>
      <c r="F274" s="47">
        <v>24.99</v>
      </c>
      <c r="G274" s="47">
        <v>0.0</v>
      </c>
      <c r="H274" s="7"/>
      <c r="I274" s="47">
        <v>1.4</v>
      </c>
      <c r="J274" s="8"/>
      <c r="K274" s="7"/>
      <c r="L274" s="7"/>
      <c r="M274" s="7"/>
      <c r="N274" s="7"/>
      <c r="O274" s="7" t="s">
        <v>490</v>
      </c>
      <c r="P274" s="7" t="s">
        <v>1665</v>
      </c>
      <c r="Q274" s="7"/>
      <c r="R274" s="7" t="s">
        <v>1666</v>
      </c>
      <c r="S274" s="7" t="s">
        <v>555</v>
      </c>
      <c r="T274" s="65">
        <v>2512.0</v>
      </c>
      <c r="U274" s="7"/>
      <c r="V274" s="7"/>
    </row>
    <row r="275">
      <c r="A275" s="45">
        <v>45870.70612268519</v>
      </c>
      <c r="B275" s="7" t="s">
        <v>1313</v>
      </c>
      <c r="C275" s="7" t="s">
        <v>1703</v>
      </c>
      <c r="D275" s="74">
        <v>1.0</v>
      </c>
      <c r="E275" s="46"/>
      <c r="F275" s="47">
        <v>24.99</v>
      </c>
      <c r="G275" s="47">
        <v>0.0</v>
      </c>
      <c r="H275" s="7"/>
      <c r="I275" s="47">
        <v>1.4</v>
      </c>
      <c r="J275" s="8"/>
      <c r="K275" s="7"/>
      <c r="L275" s="7"/>
      <c r="M275" s="7"/>
      <c r="N275" s="7"/>
      <c r="O275" s="7" t="s">
        <v>490</v>
      </c>
      <c r="P275" s="7" t="s">
        <v>1314</v>
      </c>
      <c r="Q275" s="7"/>
      <c r="R275" s="7" t="s">
        <v>1315</v>
      </c>
      <c r="S275" s="7" t="s">
        <v>542</v>
      </c>
      <c r="T275" s="65">
        <v>2507.0</v>
      </c>
      <c r="U275" s="7"/>
      <c r="V275" s="7"/>
    </row>
    <row r="276">
      <c r="A276" s="45">
        <v>45870.7058912037</v>
      </c>
      <c r="B276" s="7" t="s">
        <v>358</v>
      </c>
      <c r="C276" s="7" t="s">
        <v>1703</v>
      </c>
      <c r="D276" s="74">
        <v>1.0</v>
      </c>
      <c r="E276" s="46"/>
      <c r="F276" s="47">
        <v>24.99</v>
      </c>
      <c r="G276" s="47">
        <v>0.0</v>
      </c>
      <c r="H276" s="7"/>
      <c r="I276" s="47">
        <v>1.02</v>
      </c>
      <c r="J276" s="8"/>
      <c r="K276" s="7"/>
      <c r="L276" s="7"/>
      <c r="M276" s="7"/>
      <c r="N276" s="7"/>
      <c r="O276" s="7" t="s">
        <v>490</v>
      </c>
      <c r="P276" s="7" t="s">
        <v>1176</v>
      </c>
      <c r="Q276" s="7"/>
      <c r="R276" s="7" t="s">
        <v>1147</v>
      </c>
      <c r="S276" s="7" t="s">
        <v>493</v>
      </c>
      <c r="T276" s="65">
        <v>2511.0</v>
      </c>
      <c r="U276" s="7"/>
      <c r="V276" s="7"/>
    </row>
    <row r="277">
      <c r="A277" s="45">
        <v>45870.705243055556</v>
      </c>
      <c r="B277" s="7" t="s">
        <v>272</v>
      </c>
      <c r="C277" s="67" t="s">
        <v>1805</v>
      </c>
      <c r="D277" s="74">
        <v>1.0</v>
      </c>
      <c r="E277" s="74">
        <v>1.0</v>
      </c>
      <c r="F277" s="47">
        <v>124.99</v>
      </c>
      <c r="G277" s="47">
        <v>0.0</v>
      </c>
      <c r="H277" s="7"/>
      <c r="I277" s="47">
        <v>5.8</v>
      </c>
      <c r="J277" s="8"/>
      <c r="K277" s="7"/>
      <c r="L277" s="7"/>
      <c r="M277" s="7"/>
      <c r="N277" s="7"/>
      <c r="O277" s="7" t="s">
        <v>490</v>
      </c>
      <c r="P277" s="7" t="s">
        <v>1840</v>
      </c>
      <c r="Q277" s="7"/>
      <c r="R277" s="7" t="s">
        <v>1132</v>
      </c>
      <c r="S277" s="7" t="s">
        <v>545</v>
      </c>
      <c r="T277" s="65">
        <v>2505.0</v>
      </c>
      <c r="U277" s="7"/>
      <c r="V277" s="7"/>
    </row>
    <row r="278">
      <c r="A278" s="45">
        <v>45870.70462962963</v>
      </c>
      <c r="B278" s="7" t="s">
        <v>353</v>
      </c>
      <c r="C278" s="7" t="s">
        <v>1703</v>
      </c>
      <c r="D278" s="74">
        <v>1.0</v>
      </c>
      <c r="E278" s="46"/>
      <c r="F278" s="47">
        <v>24.99</v>
      </c>
      <c r="G278" s="47">
        <v>0.0</v>
      </c>
      <c r="H278" s="7"/>
      <c r="I278" s="47">
        <v>1.4</v>
      </c>
      <c r="J278" s="8"/>
      <c r="K278" s="7"/>
      <c r="L278" s="7"/>
      <c r="M278" s="7"/>
      <c r="N278" s="7"/>
      <c r="O278" s="7" t="s">
        <v>490</v>
      </c>
      <c r="P278" s="7" t="s">
        <v>1621</v>
      </c>
      <c r="Q278" s="7"/>
      <c r="R278" s="7" t="s">
        <v>1264</v>
      </c>
      <c r="S278" s="7" t="s">
        <v>545</v>
      </c>
      <c r="T278" s="65">
        <v>2502.0</v>
      </c>
      <c r="U278" s="7"/>
      <c r="V278" s="7"/>
    </row>
    <row r="279">
      <c r="A279" s="45">
        <v>45870.70396990741</v>
      </c>
      <c r="B279" s="7" t="s">
        <v>412</v>
      </c>
      <c r="C279" s="7" t="s">
        <v>1703</v>
      </c>
      <c r="D279" s="74">
        <v>1.0</v>
      </c>
      <c r="E279" s="46"/>
      <c r="F279" s="47">
        <v>24.99</v>
      </c>
      <c r="G279" s="47">
        <v>0.0</v>
      </c>
      <c r="H279" s="7"/>
      <c r="I279" s="47">
        <v>1.02</v>
      </c>
      <c r="J279" s="8"/>
      <c r="K279" s="7"/>
      <c r="L279" s="7"/>
      <c r="M279" s="7"/>
      <c r="N279" s="7"/>
      <c r="O279" s="7" t="s">
        <v>490</v>
      </c>
      <c r="P279" s="7" t="s">
        <v>1297</v>
      </c>
      <c r="Q279" s="7"/>
      <c r="R279" s="7" t="s">
        <v>1298</v>
      </c>
      <c r="S279" s="7" t="s">
        <v>493</v>
      </c>
      <c r="T279" s="65">
        <v>2504.0</v>
      </c>
      <c r="U279" s="7"/>
      <c r="V279" s="7"/>
    </row>
    <row r="280">
      <c r="A280" s="45">
        <v>45870.70381944445</v>
      </c>
      <c r="B280" s="7" t="s">
        <v>240</v>
      </c>
      <c r="C280" s="7" t="s">
        <v>1703</v>
      </c>
      <c r="D280" s="74">
        <v>1.0</v>
      </c>
      <c r="E280" s="46"/>
      <c r="F280" s="47">
        <v>27.08</v>
      </c>
      <c r="G280" s="47">
        <v>0.0</v>
      </c>
      <c r="H280" s="7"/>
      <c r="I280" s="47">
        <v>1.09</v>
      </c>
      <c r="J280" s="8"/>
      <c r="K280" s="7"/>
      <c r="L280" s="7"/>
      <c r="M280" s="7"/>
      <c r="N280" s="7"/>
      <c r="O280" s="7" t="s">
        <v>490</v>
      </c>
      <c r="P280" s="7" t="s">
        <v>1544</v>
      </c>
      <c r="Q280" s="7"/>
      <c r="R280" s="7" t="s">
        <v>1545</v>
      </c>
      <c r="S280" s="7" t="s">
        <v>493</v>
      </c>
      <c r="T280" s="65">
        <v>2503.0</v>
      </c>
      <c r="U280" s="7"/>
      <c r="V280" s="7"/>
    </row>
    <row r="281">
      <c r="A281" s="45">
        <v>45870.70363425926</v>
      </c>
      <c r="B281" s="7" t="s">
        <v>464</v>
      </c>
      <c r="C281" s="7" t="s">
        <v>1703</v>
      </c>
      <c r="D281" s="74">
        <v>1.0</v>
      </c>
      <c r="E281" s="46"/>
      <c r="F281" s="47">
        <v>24.99</v>
      </c>
      <c r="G281" s="47">
        <v>0.0</v>
      </c>
      <c r="H281" s="7"/>
      <c r="I281" s="47">
        <v>1.02</v>
      </c>
      <c r="J281" s="8"/>
      <c r="K281" s="7"/>
      <c r="L281" s="7"/>
      <c r="M281" s="7"/>
      <c r="N281" s="7"/>
      <c r="O281" s="7" t="s">
        <v>490</v>
      </c>
      <c r="P281" s="7" t="s">
        <v>1369</v>
      </c>
      <c r="Q281" s="7"/>
      <c r="R281" s="7" t="s">
        <v>1370</v>
      </c>
      <c r="S281" s="7" t="s">
        <v>493</v>
      </c>
      <c r="T281" s="65">
        <v>2501.0</v>
      </c>
      <c r="U281" s="7"/>
      <c r="V281" s="7"/>
    </row>
    <row r="282">
      <c r="A282" s="45">
        <v>45870.7028587963</v>
      </c>
      <c r="B282" s="7" t="s">
        <v>314</v>
      </c>
      <c r="C282" s="7" t="s">
        <v>1703</v>
      </c>
      <c r="D282" s="74">
        <v>1.0</v>
      </c>
      <c r="E282" s="46"/>
      <c r="F282" s="47">
        <v>24.99</v>
      </c>
      <c r="G282" s="47">
        <v>0.0</v>
      </c>
      <c r="H282" s="7"/>
      <c r="I282" s="47">
        <v>1.02</v>
      </c>
      <c r="J282" s="8"/>
      <c r="K282" s="7"/>
      <c r="L282" s="7"/>
      <c r="M282" s="7"/>
      <c r="N282" s="7"/>
      <c r="O282" s="7" t="s">
        <v>490</v>
      </c>
      <c r="P282" s="7" t="s">
        <v>1457</v>
      </c>
      <c r="Q282" s="7"/>
      <c r="R282" s="7" t="s">
        <v>1458</v>
      </c>
      <c r="S282" s="7" t="s">
        <v>493</v>
      </c>
      <c r="T282" s="65">
        <v>2499.0</v>
      </c>
      <c r="U282" s="7"/>
      <c r="V282" s="7"/>
    </row>
    <row r="283">
      <c r="A283" s="45">
        <v>45870.70207175926</v>
      </c>
      <c r="B283" s="7" t="s">
        <v>1841</v>
      </c>
      <c r="C283" s="7" t="s">
        <v>1703</v>
      </c>
      <c r="D283" s="74">
        <v>1.0</v>
      </c>
      <c r="E283" s="46"/>
      <c r="F283" s="47">
        <v>24.99</v>
      </c>
      <c r="G283" s="47">
        <v>0.0</v>
      </c>
      <c r="H283" s="7"/>
      <c r="I283" s="47">
        <v>1.4</v>
      </c>
      <c r="J283" s="8"/>
      <c r="K283" s="7"/>
      <c r="L283" s="7"/>
      <c r="M283" s="7"/>
      <c r="N283" s="7"/>
      <c r="O283" s="7" t="s">
        <v>490</v>
      </c>
      <c r="P283" s="7" t="s">
        <v>1453</v>
      </c>
      <c r="Q283" s="7"/>
      <c r="R283" s="7" t="s">
        <v>1454</v>
      </c>
      <c r="S283" s="7" t="s">
        <v>726</v>
      </c>
      <c r="T283" s="65">
        <v>2498.0</v>
      </c>
      <c r="U283" s="7"/>
      <c r="V283" s="7"/>
    </row>
    <row r="284">
      <c r="A284" s="45">
        <v>45870.7009375</v>
      </c>
      <c r="B284" s="7" t="s">
        <v>1842</v>
      </c>
      <c r="C284" s="67" t="s">
        <v>1805</v>
      </c>
      <c r="D284" s="74">
        <v>1.0</v>
      </c>
      <c r="E284" s="74">
        <v>1.0</v>
      </c>
      <c r="F284" s="47">
        <v>124.99</v>
      </c>
      <c r="G284" s="47">
        <v>0.0</v>
      </c>
      <c r="H284" s="7"/>
      <c r="I284" s="47">
        <v>5.8</v>
      </c>
      <c r="J284" s="8"/>
      <c r="K284" s="7"/>
      <c r="L284" s="7"/>
      <c r="M284" s="7"/>
      <c r="N284" s="7"/>
      <c r="O284" s="7" t="s">
        <v>490</v>
      </c>
      <c r="P284" s="7" t="s">
        <v>1325</v>
      </c>
      <c r="Q284" s="7"/>
      <c r="R284" s="7" t="s">
        <v>1326</v>
      </c>
      <c r="S284" s="7" t="s">
        <v>545</v>
      </c>
      <c r="T284" s="65">
        <v>2494.0</v>
      </c>
      <c r="U284" s="7"/>
      <c r="V284" s="7"/>
    </row>
    <row r="285">
      <c r="A285" s="45">
        <v>45870.70076388889</v>
      </c>
      <c r="B285" s="7" t="s">
        <v>360</v>
      </c>
      <c r="C285" s="7" t="s">
        <v>1703</v>
      </c>
      <c r="D285" s="74">
        <v>1.0</v>
      </c>
      <c r="E285" s="46"/>
      <c r="F285" s="47">
        <v>24.99</v>
      </c>
      <c r="G285" s="47">
        <v>0.0</v>
      </c>
      <c r="H285" s="7"/>
      <c r="I285" s="47">
        <v>1.4</v>
      </c>
      <c r="J285" s="8"/>
      <c r="K285" s="7"/>
      <c r="L285" s="7"/>
      <c r="M285" s="7"/>
      <c r="N285" s="7"/>
      <c r="O285" s="7" t="s">
        <v>490</v>
      </c>
      <c r="P285" s="7" t="s">
        <v>1265</v>
      </c>
      <c r="Q285" s="7"/>
      <c r="R285" s="7" t="s">
        <v>1266</v>
      </c>
      <c r="S285" s="7" t="s">
        <v>542</v>
      </c>
      <c r="T285" s="65">
        <v>2492.0</v>
      </c>
      <c r="U285" s="7"/>
      <c r="V285" s="7"/>
    </row>
    <row r="286">
      <c r="A286" s="45">
        <v>45870.700625</v>
      </c>
      <c r="B286" s="7" t="s">
        <v>1843</v>
      </c>
      <c r="C286" s="7" t="s">
        <v>1703</v>
      </c>
      <c r="D286" s="74">
        <v>1.0</v>
      </c>
      <c r="E286" s="46"/>
      <c r="F286" s="47">
        <v>24.99</v>
      </c>
      <c r="G286" s="47">
        <v>0.0</v>
      </c>
      <c r="H286" s="7"/>
      <c r="I286" s="47">
        <v>1.02</v>
      </c>
      <c r="J286" s="8"/>
      <c r="K286" s="7"/>
      <c r="L286" s="7"/>
      <c r="M286" s="7"/>
      <c r="N286" s="7"/>
      <c r="O286" s="7" t="s">
        <v>490</v>
      </c>
      <c r="P286" s="7" t="s">
        <v>1460</v>
      </c>
      <c r="Q286" s="7"/>
      <c r="R286" s="7" t="s">
        <v>1461</v>
      </c>
      <c r="S286" s="7" t="s">
        <v>493</v>
      </c>
      <c r="T286" s="65">
        <v>2495.0</v>
      </c>
      <c r="U286" s="7"/>
      <c r="V286" s="7"/>
    </row>
    <row r="287">
      <c r="A287" s="45">
        <v>45870.700532407405</v>
      </c>
      <c r="B287" s="7" t="s">
        <v>396</v>
      </c>
      <c r="C287" s="7" t="s">
        <v>1703</v>
      </c>
      <c r="D287" s="74">
        <v>1.0</v>
      </c>
      <c r="E287" s="46"/>
      <c r="F287" s="47">
        <v>24.99</v>
      </c>
      <c r="G287" s="47">
        <v>0.0</v>
      </c>
      <c r="H287" s="7"/>
      <c r="I287" s="47">
        <v>1.02</v>
      </c>
      <c r="J287" s="8"/>
      <c r="K287" s="7"/>
      <c r="L287" s="7"/>
      <c r="M287" s="7"/>
      <c r="N287" s="7"/>
      <c r="O287" s="7" t="s">
        <v>490</v>
      </c>
      <c r="P287" s="7" t="s">
        <v>1361</v>
      </c>
      <c r="Q287" s="7" t="s">
        <v>1362</v>
      </c>
      <c r="R287" s="7" t="s">
        <v>1363</v>
      </c>
      <c r="S287" s="7" t="s">
        <v>493</v>
      </c>
      <c r="T287" s="65">
        <v>2485.0</v>
      </c>
      <c r="U287" s="7"/>
      <c r="V287" s="7"/>
    </row>
    <row r="288">
      <c r="A288" s="45">
        <v>45870.7003125</v>
      </c>
      <c r="B288" s="7" t="s">
        <v>462</v>
      </c>
      <c r="C288" s="7" t="s">
        <v>1703</v>
      </c>
      <c r="D288" s="74">
        <v>1.0</v>
      </c>
      <c r="E288" s="46"/>
      <c r="F288" s="47">
        <v>26.93</v>
      </c>
      <c r="G288" s="47">
        <v>0.0</v>
      </c>
      <c r="H288" s="7"/>
      <c r="I288" s="47">
        <v>1.08</v>
      </c>
      <c r="J288" s="8"/>
      <c r="K288" s="7"/>
      <c r="L288" s="7"/>
      <c r="M288" s="7"/>
      <c r="N288" s="7"/>
      <c r="O288" s="7" t="s">
        <v>490</v>
      </c>
      <c r="P288" s="7" t="s">
        <v>1392</v>
      </c>
      <c r="Q288" s="7"/>
      <c r="R288" s="7" t="s">
        <v>1393</v>
      </c>
      <c r="S288" s="7" t="s">
        <v>493</v>
      </c>
      <c r="T288" s="65">
        <v>2493.0</v>
      </c>
      <c r="U288" s="7"/>
      <c r="V288" s="7"/>
    </row>
    <row r="289">
      <c r="A289" s="45">
        <v>45870.69994212963</v>
      </c>
      <c r="B289" s="7" t="s">
        <v>217</v>
      </c>
      <c r="C289" s="7" t="s">
        <v>1703</v>
      </c>
      <c r="D289" s="74">
        <v>1.0</v>
      </c>
      <c r="E289" s="46"/>
      <c r="F289" s="47">
        <v>24.99</v>
      </c>
      <c r="G289" s="47">
        <v>0.0</v>
      </c>
      <c r="H289" s="7"/>
      <c r="I289" s="47">
        <v>1.4</v>
      </c>
      <c r="J289" s="8"/>
      <c r="K289" s="7"/>
      <c r="L289" s="7"/>
      <c r="M289" s="7"/>
      <c r="N289" s="7"/>
      <c r="O289" s="7" t="s">
        <v>490</v>
      </c>
      <c r="P289" s="7" t="s">
        <v>1148</v>
      </c>
      <c r="Q289" s="7"/>
      <c r="R289" s="7" t="s">
        <v>1150</v>
      </c>
      <c r="S289" s="7" t="s">
        <v>555</v>
      </c>
      <c r="T289" s="65">
        <v>2491.0</v>
      </c>
      <c r="U289" s="7"/>
      <c r="V289" s="7"/>
    </row>
    <row r="290">
      <c r="A290" s="45">
        <v>45870.69925925926</v>
      </c>
      <c r="B290" s="7" t="s">
        <v>1069</v>
      </c>
      <c r="C290" s="7" t="s">
        <v>1703</v>
      </c>
      <c r="D290" s="74">
        <v>1.0</v>
      </c>
      <c r="E290" s="46"/>
      <c r="F290" s="47">
        <v>24.99</v>
      </c>
      <c r="G290" s="47">
        <v>0.0</v>
      </c>
      <c r="H290" s="7"/>
      <c r="I290" s="47">
        <v>1.4</v>
      </c>
      <c r="J290" s="8"/>
      <c r="K290" s="7"/>
      <c r="L290" s="7"/>
      <c r="M290" s="7"/>
      <c r="N290" s="7"/>
      <c r="O290" s="7" t="s">
        <v>490</v>
      </c>
      <c r="P290" s="7" t="s">
        <v>1640</v>
      </c>
      <c r="Q290" s="7"/>
      <c r="R290" s="7" t="s">
        <v>509</v>
      </c>
      <c r="S290" s="7" t="s">
        <v>510</v>
      </c>
      <c r="T290" s="65">
        <v>2489.0</v>
      </c>
      <c r="U290" s="7"/>
      <c r="V290" s="7"/>
    </row>
    <row r="291">
      <c r="A291" s="45">
        <v>45870.69840277778</v>
      </c>
      <c r="B291" s="7" t="s">
        <v>419</v>
      </c>
      <c r="C291" s="67" t="s">
        <v>1805</v>
      </c>
      <c r="D291" s="74">
        <v>1.0</v>
      </c>
      <c r="E291" s="74">
        <v>1.0</v>
      </c>
      <c r="F291" s="47">
        <v>135.93</v>
      </c>
      <c r="G291" s="47">
        <v>0.0</v>
      </c>
      <c r="H291" s="7"/>
      <c r="I291" s="47">
        <v>4.24</v>
      </c>
      <c r="J291" s="8"/>
      <c r="K291" s="7"/>
      <c r="L291" s="7"/>
      <c r="M291" s="7"/>
      <c r="N291" s="7"/>
      <c r="O291" s="7" t="s">
        <v>490</v>
      </c>
      <c r="P291" s="7" t="s">
        <v>1455</v>
      </c>
      <c r="Q291" s="7"/>
      <c r="R291" s="7" t="s">
        <v>1456</v>
      </c>
      <c r="S291" s="7" t="s">
        <v>493</v>
      </c>
      <c r="T291" s="65">
        <v>2490.0</v>
      </c>
      <c r="U291" s="7"/>
      <c r="V291" s="7"/>
    </row>
    <row r="292">
      <c r="A292" s="45">
        <v>45870.69813657407</v>
      </c>
      <c r="B292" s="7" t="s">
        <v>312</v>
      </c>
      <c r="C292" s="67" t="s">
        <v>1805</v>
      </c>
      <c r="D292" s="74">
        <v>1.0</v>
      </c>
      <c r="E292" s="74">
        <v>1.0</v>
      </c>
      <c r="F292" s="47">
        <v>124.99</v>
      </c>
      <c r="G292" s="47">
        <v>0.0</v>
      </c>
      <c r="H292" s="7"/>
      <c r="I292" s="47">
        <v>5.8</v>
      </c>
      <c r="J292" s="8"/>
      <c r="K292" s="7"/>
      <c r="L292" s="7"/>
      <c r="M292" s="7"/>
      <c r="N292" s="7"/>
      <c r="O292" s="7" t="s">
        <v>490</v>
      </c>
      <c r="P292" s="7" t="s">
        <v>1844</v>
      </c>
      <c r="Q292" s="7" t="s">
        <v>610</v>
      </c>
      <c r="R292" s="7" t="s">
        <v>1845</v>
      </c>
      <c r="S292" s="7" t="s">
        <v>542</v>
      </c>
      <c r="T292" s="65">
        <v>2484.0</v>
      </c>
      <c r="U292" s="7"/>
      <c r="V292" s="7"/>
    </row>
    <row r="293">
      <c r="A293" s="45">
        <v>45870.69810185185</v>
      </c>
      <c r="B293" s="7" t="s">
        <v>1432</v>
      </c>
      <c r="C293" s="7" t="s">
        <v>1703</v>
      </c>
      <c r="D293" s="74">
        <v>1.0</v>
      </c>
      <c r="E293" s="46"/>
      <c r="F293" s="47">
        <v>24.99</v>
      </c>
      <c r="G293" s="47">
        <v>0.0</v>
      </c>
      <c r="H293" s="7"/>
      <c r="I293" s="47">
        <v>1.02</v>
      </c>
      <c r="J293" s="8"/>
      <c r="K293" s="7"/>
      <c r="L293" s="7"/>
      <c r="M293" s="7"/>
      <c r="N293" s="7"/>
      <c r="O293" s="7" t="s">
        <v>490</v>
      </c>
      <c r="P293" s="7" t="s">
        <v>1433</v>
      </c>
      <c r="Q293" s="7"/>
      <c r="R293" s="7" t="s">
        <v>1434</v>
      </c>
      <c r="S293" s="7" t="s">
        <v>493</v>
      </c>
      <c r="T293" s="65">
        <v>2488.0</v>
      </c>
      <c r="U293" s="7"/>
      <c r="V293" s="7"/>
    </row>
    <row r="294">
      <c r="A294" s="45">
        <v>45870.69787037037</v>
      </c>
      <c r="B294" s="7" t="s">
        <v>1121</v>
      </c>
      <c r="C294" s="7" t="s">
        <v>1703</v>
      </c>
      <c r="D294" s="74">
        <v>1.0</v>
      </c>
      <c r="E294" s="46"/>
      <c r="F294" s="47">
        <v>24.99</v>
      </c>
      <c r="G294" s="47">
        <v>0.0</v>
      </c>
      <c r="H294" s="7"/>
      <c r="I294" s="47">
        <v>1.4</v>
      </c>
      <c r="J294" s="8"/>
      <c r="K294" s="7"/>
      <c r="L294" s="7"/>
      <c r="M294" s="7"/>
      <c r="N294" s="7"/>
      <c r="O294" s="7" t="s">
        <v>490</v>
      </c>
      <c r="P294" s="7" t="s">
        <v>1122</v>
      </c>
      <c r="Q294" s="7"/>
      <c r="R294" s="7" t="s">
        <v>1123</v>
      </c>
      <c r="S294" s="7" t="s">
        <v>525</v>
      </c>
      <c r="T294" s="65">
        <v>2486.0</v>
      </c>
      <c r="U294" s="7"/>
      <c r="V294" s="7"/>
    </row>
    <row r="295">
      <c r="A295" s="45">
        <v>45870.69783564815</v>
      </c>
      <c r="B295" s="7" t="s">
        <v>408</v>
      </c>
      <c r="C295" s="7" t="s">
        <v>1703</v>
      </c>
      <c r="D295" s="74">
        <v>1.0</v>
      </c>
      <c r="E295" s="46"/>
      <c r="F295" s="47">
        <v>24.99</v>
      </c>
      <c r="G295" s="47">
        <v>0.0</v>
      </c>
      <c r="H295" s="7"/>
      <c r="I295" s="47">
        <v>1.02</v>
      </c>
      <c r="J295" s="8"/>
      <c r="K295" s="7"/>
      <c r="L295" s="7"/>
      <c r="M295" s="7"/>
      <c r="N295" s="7"/>
      <c r="O295" s="7" t="s">
        <v>490</v>
      </c>
      <c r="P295" s="7" t="s">
        <v>1013</v>
      </c>
      <c r="Q295" s="7"/>
      <c r="R295" s="7" t="s">
        <v>1014</v>
      </c>
      <c r="S295" s="7" t="s">
        <v>493</v>
      </c>
      <c r="T295" s="65">
        <v>2487.0</v>
      </c>
      <c r="U295" s="7"/>
      <c r="V295" s="7"/>
    </row>
    <row r="296">
      <c r="A296" s="45">
        <v>45870.69751157407</v>
      </c>
      <c r="B296" s="7" t="s">
        <v>323</v>
      </c>
      <c r="C296" s="7" t="s">
        <v>1703</v>
      </c>
      <c r="D296" s="74">
        <v>1.0</v>
      </c>
      <c r="E296" s="46"/>
      <c r="F296" s="47">
        <v>24.99</v>
      </c>
      <c r="G296" s="47">
        <v>0.0</v>
      </c>
      <c r="H296" s="7"/>
      <c r="I296" s="47">
        <v>1.4</v>
      </c>
      <c r="J296" s="8"/>
      <c r="K296" s="7"/>
      <c r="L296" s="7"/>
      <c r="M296" s="7"/>
      <c r="N296" s="7"/>
      <c r="O296" s="7" t="s">
        <v>490</v>
      </c>
      <c r="P296" s="7"/>
      <c r="Q296" s="7"/>
      <c r="R296" s="7"/>
      <c r="S296" s="7" t="s">
        <v>726</v>
      </c>
      <c r="T296" s="65">
        <v>2482.0</v>
      </c>
      <c r="U296" s="7"/>
      <c r="V296" s="7"/>
    </row>
    <row r="297">
      <c r="A297" s="45">
        <v>45870.69751157407</v>
      </c>
      <c r="B297" s="7" t="s">
        <v>890</v>
      </c>
      <c r="C297" s="7" t="s">
        <v>1703</v>
      </c>
      <c r="D297" s="74">
        <v>1.0</v>
      </c>
      <c r="E297" s="46"/>
      <c r="F297" s="47">
        <v>24.99</v>
      </c>
      <c r="G297" s="47">
        <v>0.0</v>
      </c>
      <c r="H297" s="7"/>
      <c r="I297" s="47">
        <v>1.4</v>
      </c>
      <c r="J297" s="8"/>
      <c r="K297" s="7"/>
      <c r="L297" s="7"/>
      <c r="M297" s="7"/>
      <c r="N297" s="7"/>
      <c r="O297" s="7" t="s">
        <v>490</v>
      </c>
      <c r="P297" s="7"/>
      <c r="Q297" s="7"/>
      <c r="R297" s="7"/>
      <c r="S297" s="7" t="s">
        <v>560</v>
      </c>
      <c r="T297" s="65">
        <v>2483.0</v>
      </c>
      <c r="U297" s="7"/>
      <c r="V297" s="7"/>
    </row>
    <row r="298">
      <c r="A298" s="45">
        <v>45870.69640046296</v>
      </c>
      <c r="B298" s="7" t="s">
        <v>883</v>
      </c>
      <c r="C298" s="7" t="s">
        <v>1703</v>
      </c>
      <c r="D298" s="74">
        <v>1.0</v>
      </c>
      <c r="E298" s="46"/>
      <c r="F298" s="47">
        <v>24.99</v>
      </c>
      <c r="G298" s="47">
        <v>0.0</v>
      </c>
      <c r="H298" s="7"/>
      <c r="I298" s="47">
        <v>1.4</v>
      </c>
      <c r="J298" s="8"/>
      <c r="K298" s="7"/>
      <c r="L298" s="7"/>
      <c r="M298" s="7"/>
      <c r="N298" s="7"/>
      <c r="O298" s="7" t="s">
        <v>490</v>
      </c>
      <c r="P298" s="7" t="s">
        <v>884</v>
      </c>
      <c r="Q298" s="7" t="s">
        <v>885</v>
      </c>
      <c r="R298" s="7" t="s">
        <v>886</v>
      </c>
      <c r="S298" s="7" t="s">
        <v>521</v>
      </c>
      <c r="T298" s="65">
        <v>2477.0</v>
      </c>
      <c r="U298" s="7"/>
      <c r="V298" s="7"/>
    </row>
    <row r="299">
      <c r="A299" s="45">
        <v>45870.695972222224</v>
      </c>
      <c r="B299" s="7" t="s">
        <v>429</v>
      </c>
      <c r="C299" s="7" t="s">
        <v>1703</v>
      </c>
      <c r="D299" s="74">
        <v>1.0</v>
      </c>
      <c r="E299" s="46"/>
      <c r="F299" s="47">
        <v>24.99</v>
      </c>
      <c r="G299" s="47">
        <v>0.0</v>
      </c>
      <c r="H299" s="7"/>
      <c r="I299" s="47">
        <v>1.4</v>
      </c>
      <c r="J299" s="8"/>
      <c r="K299" s="7"/>
      <c r="L299" s="7"/>
      <c r="M299" s="7"/>
      <c r="N299" s="7"/>
      <c r="O299" s="7" t="s">
        <v>490</v>
      </c>
      <c r="P299" s="7" t="s">
        <v>1438</v>
      </c>
      <c r="Q299" s="7"/>
      <c r="R299" s="7" t="s">
        <v>1439</v>
      </c>
      <c r="S299" s="7" t="s">
        <v>939</v>
      </c>
      <c r="T299" s="65">
        <v>2476.0</v>
      </c>
      <c r="U299" s="7"/>
      <c r="V299" s="7"/>
    </row>
    <row r="300">
      <c r="A300" s="45">
        <v>45870.69582175926</v>
      </c>
      <c r="B300" s="7" t="s">
        <v>438</v>
      </c>
      <c r="C300" s="67" t="s">
        <v>1805</v>
      </c>
      <c r="D300" s="74">
        <v>1.0</v>
      </c>
      <c r="E300" s="74">
        <v>1.0</v>
      </c>
      <c r="F300" s="47">
        <v>124.99</v>
      </c>
      <c r="G300" s="47">
        <v>0.0</v>
      </c>
      <c r="H300" s="7"/>
      <c r="I300" s="47">
        <v>5.8</v>
      </c>
      <c r="J300" s="8"/>
      <c r="K300" s="7"/>
      <c r="L300" s="7"/>
      <c r="M300" s="7"/>
      <c r="N300" s="7"/>
      <c r="O300" s="7" t="s">
        <v>490</v>
      </c>
      <c r="P300" s="7" t="s">
        <v>1415</v>
      </c>
      <c r="Q300" s="7" t="s">
        <v>1416</v>
      </c>
      <c r="R300" s="7" t="s">
        <v>1417</v>
      </c>
      <c r="S300" s="7" t="s">
        <v>497</v>
      </c>
      <c r="T300" s="65">
        <v>2478.0</v>
      </c>
      <c r="U300" s="7"/>
      <c r="V300" s="7"/>
    </row>
    <row r="301">
      <c r="A301" s="45">
        <v>45870.69571759259</v>
      </c>
      <c r="B301" s="7" t="s">
        <v>1104</v>
      </c>
      <c r="C301" s="7" t="s">
        <v>1703</v>
      </c>
      <c r="D301" s="74">
        <v>1.0</v>
      </c>
      <c r="E301" s="46"/>
      <c r="F301" s="47">
        <v>24.99</v>
      </c>
      <c r="G301" s="47">
        <v>0.0</v>
      </c>
      <c r="H301" s="7"/>
      <c r="I301" s="47">
        <v>1.4</v>
      </c>
      <c r="J301" s="8"/>
      <c r="K301" s="7"/>
      <c r="L301" s="7"/>
      <c r="M301" s="7"/>
      <c r="N301" s="7"/>
      <c r="O301" s="7" t="s">
        <v>490</v>
      </c>
      <c r="P301" s="7" t="s">
        <v>1105</v>
      </c>
      <c r="Q301" s="7"/>
      <c r="R301" s="7" t="s">
        <v>1106</v>
      </c>
      <c r="S301" s="7" t="s">
        <v>1821</v>
      </c>
      <c r="T301" s="65">
        <v>2480.0</v>
      </c>
      <c r="U301" s="7"/>
      <c r="V301" s="7"/>
    </row>
    <row r="302">
      <c r="A302" s="45">
        <v>45870.69515046296</v>
      </c>
      <c r="B302" s="7" t="s">
        <v>413</v>
      </c>
      <c r="C302" s="7" t="s">
        <v>1703</v>
      </c>
      <c r="D302" s="74">
        <v>1.0</v>
      </c>
      <c r="E302" s="46"/>
      <c r="F302" s="47">
        <v>24.99</v>
      </c>
      <c r="G302" s="47">
        <v>0.0</v>
      </c>
      <c r="H302" s="7"/>
      <c r="I302" s="47">
        <v>1.4</v>
      </c>
      <c r="J302" s="8"/>
      <c r="K302" s="7"/>
      <c r="L302" s="7"/>
      <c r="M302" s="7"/>
      <c r="N302" s="7"/>
      <c r="O302" s="7" t="s">
        <v>490</v>
      </c>
      <c r="P302" s="7" t="s">
        <v>1693</v>
      </c>
      <c r="Q302" s="7"/>
      <c r="R302" s="7" t="s">
        <v>1694</v>
      </c>
      <c r="S302" s="7" t="s">
        <v>1420</v>
      </c>
      <c r="T302" s="65">
        <v>2479.0</v>
      </c>
      <c r="U302" s="7"/>
      <c r="V302" s="7"/>
    </row>
    <row r="303">
      <c r="A303" s="45">
        <v>45870.694548611114</v>
      </c>
      <c r="B303" s="7" t="s">
        <v>1846</v>
      </c>
      <c r="C303" s="67" t="s">
        <v>1805</v>
      </c>
      <c r="D303" s="74">
        <v>1.0</v>
      </c>
      <c r="E303" s="74">
        <v>1.0</v>
      </c>
      <c r="F303" s="47">
        <v>146.67</v>
      </c>
      <c r="G303" s="47">
        <v>0.0</v>
      </c>
      <c r="H303" s="7"/>
      <c r="I303" s="47">
        <v>6.75</v>
      </c>
      <c r="J303" s="8"/>
      <c r="K303" s="7"/>
      <c r="L303" s="7"/>
      <c r="M303" s="7"/>
      <c r="N303" s="7"/>
      <c r="O303" s="7" t="s">
        <v>490</v>
      </c>
      <c r="P303" s="7" t="s">
        <v>1847</v>
      </c>
      <c r="Q303" s="7" t="s">
        <v>1848</v>
      </c>
      <c r="R303" s="7" t="s">
        <v>1264</v>
      </c>
      <c r="S303" s="7" t="s">
        <v>545</v>
      </c>
      <c r="T303" s="65">
        <v>2472.0</v>
      </c>
      <c r="U303" s="7"/>
      <c r="V303" s="7"/>
    </row>
    <row r="304">
      <c r="A304" s="45">
        <v>45870.69373842593</v>
      </c>
      <c r="B304" s="7" t="s">
        <v>1645</v>
      </c>
      <c r="C304" s="7" t="s">
        <v>1703</v>
      </c>
      <c r="D304" s="74">
        <v>1.0</v>
      </c>
      <c r="E304" s="46"/>
      <c r="F304" s="47">
        <v>24.99</v>
      </c>
      <c r="G304" s="47">
        <v>0.0</v>
      </c>
      <c r="H304" s="7"/>
      <c r="I304" s="47">
        <v>1.4</v>
      </c>
      <c r="J304" s="8"/>
      <c r="K304" s="7"/>
      <c r="L304" s="7"/>
      <c r="M304" s="7"/>
      <c r="N304" s="7"/>
      <c r="O304" s="7" t="s">
        <v>490</v>
      </c>
      <c r="P304" s="7" t="s">
        <v>649</v>
      </c>
      <c r="Q304" s="7" t="s">
        <v>1849</v>
      </c>
      <c r="R304" s="7" t="s">
        <v>651</v>
      </c>
      <c r="S304" s="7" t="s">
        <v>510</v>
      </c>
      <c r="T304" s="65">
        <v>2473.0</v>
      </c>
      <c r="U304" s="7"/>
      <c r="V304" s="7"/>
    </row>
    <row r="305">
      <c r="A305" s="45">
        <v>45870.693344907406</v>
      </c>
      <c r="B305" s="7" t="s">
        <v>674</v>
      </c>
      <c r="C305" s="67" t="s">
        <v>1805</v>
      </c>
      <c r="D305" s="74">
        <v>1.0</v>
      </c>
      <c r="E305" s="74">
        <v>1.0</v>
      </c>
      <c r="F305" s="47">
        <v>124.99</v>
      </c>
      <c r="G305" s="47">
        <v>0.0</v>
      </c>
      <c r="H305" s="7"/>
      <c r="I305" s="47">
        <v>3.92</v>
      </c>
      <c r="J305" s="8"/>
      <c r="K305" s="7"/>
      <c r="L305" s="7"/>
      <c r="M305" s="7"/>
      <c r="N305" s="7"/>
      <c r="O305" s="7" t="s">
        <v>490</v>
      </c>
      <c r="P305" s="7" t="s">
        <v>675</v>
      </c>
      <c r="Q305" s="7"/>
      <c r="R305" s="7" t="s">
        <v>676</v>
      </c>
      <c r="S305" s="7" t="s">
        <v>493</v>
      </c>
      <c r="T305" s="65">
        <v>2465.0</v>
      </c>
      <c r="U305" s="7"/>
      <c r="V305" s="7"/>
    </row>
    <row r="306">
      <c r="A306" s="45">
        <v>45870.693125</v>
      </c>
      <c r="B306" s="7" t="s">
        <v>422</v>
      </c>
      <c r="C306" s="67" t="s">
        <v>1805</v>
      </c>
      <c r="D306" s="74">
        <v>1.0</v>
      </c>
      <c r="E306" s="74">
        <v>1.0</v>
      </c>
      <c r="F306" s="47">
        <v>124.99</v>
      </c>
      <c r="G306" s="47">
        <v>0.0</v>
      </c>
      <c r="H306" s="7"/>
      <c r="I306" s="47">
        <v>5.8</v>
      </c>
      <c r="J306" s="8"/>
      <c r="K306" s="7"/>
      <c r="L306" s="7"/>
      <c r="M306" s="7"/>
      <c r="N306" s="7"/>
      <c r="O306" s="7" t="s">
        <v>490</v>
      </c>
      <c r="P306" s="7" t="s">
        <v>1684</v>
      </c>
      <c r="Q306" s="7"/>
      <c r="R306" s="7" t="s">
        <v>1233</v>
      </c>
      <c r="S306" s="7" t="s">
        <v>525</v>
      </c>
      <c r="T306" s="65">
        <v>2470.0</v>
      </c>
      <c r="U306" s="7"/>
      <c r="V306" s="7"/>
    </row>
    <row r="307">
      <c r="A307" s="45">
        <v>45870.69247685185</v>
      </c>
      <c r="B307" s="7" t="s">
        <v>564</v>
      </c>
      <c r="C307" s="7" t="s">
        <v>1703</v>
      </c>
      <c r="D307" s="74">
        <v>1.0</v>
      </c>
      <c r="E307" s="46"/>
      <c r="F307" s="47">
        <v>27.55</v>
      </c>
      <c r="G307" s="47">
        <v>0.0</v>
      </c>
      <c r="H307" s="7"/>
      <c r="I307" s="47">
        <v>1.1</v>
      </c>
      <c r="J307" s="8"/>
      <c r="K307" s="7"/>
      <c r="L307" s="7"/>
      <c r="M307" s="7"/>
      <c r="N307" s="7"/>
      <c r="O307" s="7" t="s">
        <v>490</v>
      </c>
      <c r="P307" s="7" t="s">
        <v>1850</v>
      </c>
      <c r="Q307" s="7"/>
      <c r="R307" s="7" t="s">
        <v>1851</v>
      </c>
      <c r="S307" s="7" t="s">
        <v>493</v>
      </c>
      <c r="T307" s="65">
        <v>2467.0</v>
      </c>
      <c r="U307" s="7"/>
      <c r="V307" s="7"/>
    </row>
    <row r="308">
      <c r="A308" s="45">
        <v>45870.69212962963</v>
      </c>
      <c r="B308" s="7" t="s">
        <v>441</v>
      </c>
      <c r="C308" s="7" t="s">
        <v>1703</v>
      </c>
      <c r="D308" s="74">
        <v>1.0</v>
      </c>
      <c r="E308" s="46"/>
      <c r="F308" s="47">
        <v>24.99</v>
      </c>
      <c r="G308" s="47">
        <v>0.0</v>
      </c>
      <c r="H308" s="7"/>
      <c r="I308" s="47">
        <v>1.02</v>
      </c>
      <c r="J308" s="8"/>
      <c r="K308" s="7"/>
      <c r="L308" s="7"/>
      <c r="M308" s="7"/>
      <c r="N308" s="7"/>
      <c r="O308" s="7" t="s">
        <v>490</v>
      </c>
      <c r="P308" s="7" t="s">
        <v>1410</v>
      </c>
      <c r="Q308" s="7"/>
      <c r="R308" s="7" t="s">
        <v>1411</v>
      </c>
      <c r="S308" s="7" t="s">
        <v>493</v>
      </c>
      <c r="T308" s="65">
        <v>2468.0</v>
      </c>
      <c r="U308" s="7"/>
      <c r="V308" s="7"/>
    </row>
    <row r="309">
      <c r="A309" s="45">
        <v>45870.6919212963</v>
      </c>
      <c r="B309" s="7" t="s">
        <v>1852</v>
      </c>
      <c r="C309" s="67" t="s">
        <v>1805</v>
      </c>
      <c r="D309" s="74">
        <v>1.0</v>
      </c>
      <c r="E309" s="74">
        <v>1.0</v>
      </c>
      <c r="F309" s="47">
        <v>124.99</v>
      </c>
      <c r="G309" s="47">
        <v>0.0</v>
      </c>
      <c r="H309" s="7"/>
      <c r="I309" s="47">
        <v>5.8</v>
      </c>
      <c r="J309" s="8"/>
      <c r="K309" s="7"/>
      <c r="L309" s="7"/>
      <c r="M309" s="7"/>
      <c r="N309" s="7"/>
      <c r="O309" s="7" t="s">
        <v>490</v>
      </c>
      <c r="P309" s="7" t="s">
        <v>1397</v>
      </c>
      <c r="Q309" s="7"/>
      <c r="R309" s="7" t="s">
        <v>1398</v>
      </c>
      <c r="S309" s="7" t="s">
        <v>726</v>
      </c>
      <c r="T309" s="65">
        <v>2466.0</v>
      </c>
      <c r="U309" s="7"/>
      <c r="V309" s="7"/>
    </row>
    <row r="310">
      <c r="A310" s="45">
        <v>45870.69063657407</v>
      </c>
      <c r="B310" s="7" t="s">
        <v>428</v>
      </c>
      <c r="C310" s="7" t="s">
        <v>1703</v>
      </c>
      <c r="D310" s="74">
        <v>1.0</v>
      </c>
      <c r="E310" s="46"/>
      <c r="F310" s="47">
        <v>24.99</v>
      </c>
      <c r="G310" s="47">
        <v>0.0</v>
      </c>
      <c r="H310" s="7"/>
      <c r="I310" s="47">
        <v>1.4</v>
      </c>
      <c r="J310" s="8"/>
      <c r="K310" s="7"/>
      <c r="L310" s="7"/>
      <c r="M310" s="7"/>
      <c r="N310" s="7"/>
      <c r="O310" s="7" t="s">
        <v>490</v>
      </c>
      <c r="P310" s="7" t="s">
        <v>1376</v>
      </c>
      <c r="Q310" s="7"/>
      <c r="R310" s="7" t="s">
        <v>1377</v>
      </c>
      <c r="S310" s="7" t="s">
        <v>545</v>
      </c>
      <c r="T310" s="65">
        <v>2461.0</v>
      </c>
      <c r="U310" s="7"/>
      <c r="V310" s="7"/>
    </row>
    <row r="311">
      <c r="A311" s="45">
        <v>45870.689479166664</v>
      </c>
      <c r="B311" s="7" t="s">
        <v>435</v>
      </c>
      <c r="C311" s="7" t="s">
        <v>1703</v>
      </c>
      <c r="D311" s="74">
        <v>1.0</v>
      </c>
      <c r="E311" s="46"/>
      <c r="F311" s="47">
        <v>24.99</v>
      </c>
      <c r="G311" s="47">
        <v>0.0</v>
      </c>
      <c r="H311" s="7"/>
      <c r="I311" s="47">
        <v>1.02</v>
      </c>
      <c r="J311" s="8"/>
      <c r="K311" s="7"/>
      <c r="L311" s="7"/>
      <c r="M311" s="7"/>
      <c r="N311" s="7"/>
      <c r="O311" s="7" t="s">
        <v>490</v>
      </c>
      <c r="P311" s="7" t="s">
        <v>1853</v>
      </c>
      <c r="Q311" s="7"/>
      <c r="R311" s="7" t="s">
        <v>1437</v>
      </c>
      <c r="S311" s="7" t="s">
        <v>493</v>
      </c>
      <c r="T311" s="65">
        <v>2458.0</v>
      </c>
      <c r="U311" s="7"/>
      <c r="V311" s="7"/>
    </row>
    <row r="312">
      <c r="A312" s="45">
        <v>45870.68939814815</v>
      </c>
      <c r="B312" s="7" t="s">
        <v>425</v>
      </c>
      <c r="C312" s="7" t="s">
        <v>1703</v>
      </c>
      <c r="D312" s="74">
        <v>1.0</v>
      </c>
      <c r="E312" s="46"/>
      <c r="F312" s="47">
        <v>24.99</v>
      </c>
      <c r="G312" s="47">
        <v>0.0</v>
      </c>
      <c r="H312" s="7"/>
      <c r="I312" s="47">
        <v>1.4</v>
      </c>
      <c r="J312" s="8"/>
      <c r="K312" s="7"/>
      <c r="L312" s="7"/>
      <c r="M312" s="7"/>
      <c r="N312" s="7"/>
      <c r="O312" s="7" t="s">
        <v>490</v>
      </c>
      <c r="P312" s="7" t="s">
        <v>1443</v>
      </c>
      <c r="Q312" s="7"/>
      <c r="R312" s="7" t="s">
        <v>1444</v>
      </c>
      <c r="S312" s="7" t="s">
        <v>525</v>
      </c>
      <c r="T312" s="65">
        <v>2457.0</v>
      </c>
      <c r="U312" s="7"/>
      <c r="V312" s="7"/>
    </row>
    <row r="313">
      <c r="A313" s="45">
        <v>45870.68931712963</v>
      </c>
      <c r="B313" s="7" t="s">
        <v>296</v>
      </c>
      <c r="C313" s="67" t="s">
        <v>1805</v>
      </c>
      <c r="D313" s="74">
        <v>1.0</v>
      </c>
      <c r="E313" s="74">
        <v>1.0</v>
      </c>
      <c r="F313" s="47">
        <v>124.99</v>
      </c>
      <c r="G313" s="47">
        <v>0.0</v>
      </c>
      <c r="H313" s="7"/>
      <c r="I313" s="47">
        <v>5.8</v>
      </c>
      <c r="J313" s="8"/>
      <c r="K313" s="7"/>
      <c r="L313" s="7"/>
      <c r="M313" s="7"/>
      <c r="N313" s="7"/>
      <c r="O313" s="7" t="s">
        <v>490</v>
      </c>
      <c r="P313" s="7" t="s">
        <v>968</v>
      </c>
      <c r="Q313" s="7"/>
      <c r="R313" s="7" t="s">
        <v>969</v>
      </c>
      <c r="S313" s="7" t="s">
        <v>525</v>
      </c>
      <c r="T313" s="65">
        <v>2454.0</v>
      </c>
      <c r="U313" s="7"/>
      <c r="V313" s="7"/>
    </row>
    <row r="314">
      <c r="A314" s="45">
        <v>45870.689259259256</v>
      </c>
      <c r="B314" s="7" t="s">
        <v>394</v>
      </c>
      <c r="C314" s="7" t="s">
        <v>1703</v>
      </c>
      <c r="D314" s="74">
        <v>1.0</v>
      </c>
      <c r="E314" s="46"/>
      <c r="F314" s="47">
        <v>24.99</v>
      </c>
      <c r="G314" s="47">
        <v>0.0</v>
      </c>
      <c r="H314" s="7"/>
      <c r="I314" s="47">
        <v>1.4</v>
      </c>
      <c r="J314" s="8"/>
      <c r="K314" s="7"/>
      <c r="L314" s="7"/>
      <c r="M314" s="7"/>
      <c r="N314" s="7"/>
      <c r="O314" s="7" t="s">
        <v>490</v>
      </c>
      <c r="P314" s="7" t="s">
        <v>1854</v>
      </c>
      <c r="Q314" s="7"/>
      <c r="R314" s="7" t="s">
        <v>1672</v>
      </c>
      <c r="S314" s="7" t="s">
        <v>521</v>
      </c>
      <c r="T314" s="65">
        <v>2449.0</v>
      </c>
      <c r="U314" s="7"/>
      <c r="V314" s="7"/>
    </row>
    <row r="315">
      <c r="A315" s="45">
        <v>45870.68896990741</v>
      </c>
      <c r="B315" s="7" t="s">
        <v>447</v>
      </c>
      <c r="C315" s="7" t="s">
        <v>1703</v>
      </c>
      <c r="D315" s="74">
        <v>1.0</v>
      </c>
      <c r="E315" s="46"/>
      <c r="F315" s="47">
        <v>24.99</v>
      </c>
      <c r="G315" s="47">
        <v>0.0</v>
      </c>
      <c r="H315" s="7"/>
      <c r="I315" s="47">
        <v>1.02</v>
      </c>
      <c r="J315" s="8"/>
      <c r="K315" s="7"/>
      <c r="L315" s="7"/>
      <c r="M315" s="7"/>
      <c r="N315" s="7"/>
      <c r="O315" s="7" t="s">
        <v>490</v>
      </c>
      <c r="P315" s="7" t="s">
        <v>1452</v>
      </c>
      <c r="Q315" s="7"/>
      <c r="R315" s="7" t="s">
        <v>575</v>
      </c>
      <c r="S315" s="7" t="s">
        <v>493</v>
      </c>
      <c r="T315" s="65">
        <v>2456.0</v>
      </c>
      <c r="U315" s="7"/>
      <c r="V315" s="7"/>
    </row>
    <row r="316">
      <c r="A316" s="45">
        <v>45870.68895833333</v>
      </c>
      <c r="B316" s="7" t="s">
        <v>427</v>
      </c>
      <c r="C316" s="67" t="s">
        <v>1805</v>
      </c>
      <c r="D316" s="74">
        <v>1.0</v>
      </c>
      <c r="E316" s="74">
        <v>1.0</v>
      </c>
      <c r="F316" s="47">
        <v>124.99</v>
      </c>
      <c r="G316" s="47">
        <v>0.0</v>
      </c>
      <c r="H316" s="7"/>
      <c r="I316" s="47">
        <v>3.92</v>
      </c>
      <c r="J316" s="8"/>
      <c r="K316" s="7"/>
      <c r="L316" s="7"/>
      <c r="M316" s="7"/>
      <c r="N316" s="7"/>
      <c r="O316" s="7" t="s">
        <v>490</v>
      </c>
      <c r="P316" s="7" t="s">
        <v>1359</v>
      </c>
      <c r="Q316" s="7"/>
      <c r="R316" s="7" t="s">
        <v>1360</v>
      </c>
      <c r="S316" s="7" t="s">
        <v>493</v>
      </c>
      <c r="T316" s="65">
        <v>2452.0</v>
      </c>
      <c r="U316" s="7"/>
      <c r="V316" s="7"/>
    </row>
    <row r="317">
      <c r="A317" s="45">
        <v>45870.68887731482</v>
      </c>
      <c r="B317" s="7" t="s">
        <v>1678</v>
      </c>
      <c r="C317" s="7" t="s">
        <v>1703</v>
      </c>
      <c r="D317" s="74">
        <v>1.0</v>
      </c>
      <c r="E317" s="46"/>
      <c r="F317" s="47">
        <v>24.99</v>
      </c>
      <c r="G317" s="47">
        <v>0.0</v>
      </c>
      <c r="H317" s="7"/>
      <c r="I317" s="47">
        <v>1.02</v>
      </c>
      <c r="J317" s="8"/>
      <c r="K317" s="7"/>
      <c r="L317" s="7"/>
      <c r="M317" s="7"/>
      <c r="N317" s="7"/>
      <c r="O317" s="7" t="s">
        <v>490</v>
      </c>
      <c r="P317" s="7" t="s">
        <v>655</v>
      </c>
      <c r="Q317" s="7"/>
      <c r="R317" s="7" t="s">
        <v>656</v>
      </c>
      <c r="S317" s="7" t="s">
        <v>493</v>
      </c>
      <c r="T317" s="65">
        <v>2447.0</v>
      </c>
      <c r="U317" s="7"/>
      <c r="V317" s="7"/>
    </row>
    <row r="318">
      <c r="A318" s="45">
        <v>45870.68885416666</v>
      </c>
      <c r="B318" s="7" t="s">
        <v>411</v>
      </c>
      <c r="C318" s="7" t="s">
        <v>1703</v>
      </c>
      <c r="D318" s="74">
        <v>1.0</v>
      </c>
      <c r="E318" s="46"/>
      <c r="F318" s="47">
        <v>24.99</v>
      </c>
      <c r="G318" s="47">
        <v>0.0</v>
      </c>
      <c r="H318" s="7"/>
      <c r="I318" s="47">
        <v>1.4</v>
      </c>
      <c r="J318" s="8"/>
      <c r="K318" s="7"/>
      <c r="L318" s="7"/>
      <c r="M318" s="7"/>
      <c r="N318" s="7"/>
      <c r="O318" s="7" t="s">
        <v>490</v>
      </c>
      <c r="P318" s="7" t="s">
        <v>1380</v>
      </c>
      <c r="Q318" s="7"/>
      <c r="R318" s="7" t="s">
        <v>1381</v>
      </c>
      <c r="S318" s="7" t="s">
        <v>525</v>
      </c>
      <c r="T318" s="65">
        <v>2455.0</v>
      </c>
      <c r="U318" s="7"/>
      <c r="V318" s="7"/>
    </row>
    <row r="319">
      <c r="A319" s="45">
        <v>45870.68885416666</v>
      </c>
      <c r="B319" s="7" t="s">
        <v>457</v>
      </c>
      <c r="C319" s="7" t="s">
        <v>1703</v>
      </c>
      <c r="D319" s="74">
        <v>1.0</v>
      </c>
      <c r="E319" s="46"/>
      <c r="F319" s="47">
        <v>24.99</v>
      </c>
      <c r="G319" s="47">
        <v>0.0</v>
      </c>
      <c r="H319" s="7"/>
      <c r="I319" s="47">
        <v>1.02</v>
      </c>
      <c r="J319" s="8"/>
      <c r="K319" s="7"/>
      <c r="L319" s="7"/>
      <c r="M319" s="7"/>
      <c r="N319" s="7"/>
      <c r="O319" s="7" t="s">
        <v>490</v>
      </c>
      <c r="P319" s="7" t="s">
        <v>1333</v>
      </c>
      <c r="Q319" s="7"/>
      <c r="R319" s="7" t="s">
        <v>1334</v>
      </c>
      <c r="S319" s="7" t="s">
        <v>493</v>
      </c>
      <c r="T319" s="65">
        <v>2450.0</v>
      </c>
      <c r="U319" s="7"/>
      <c r="V319" s="7"/>
    </row>
    <row r="320">
      <c r="A320" s="45">
        <v>45870.68881944445</v>
      </c>
      <c r="B320" s="7" t="s">
        <v>418</v>
      </c>
      <c r="C320" s="7" t="s">
        <v>1703</v>
      </c>
      <c r="D320" s="74">
        <v>1.0</v>
      </c>
      <c r="E320" s="46"/>
      <c r="F320" s="47">
        <v>24.99</v>
      </c>
      <c r="G320" s="47">
        <v>0.0</v>
      </c>
      <c r="H320" s="7"/>
      <c r="I320" s="47">
        <v>1.4</v>
      </c>
      <c r="J320" s="8"/>
      <c r="K320" s="7"/>
      <c r="L320" s="7"/>
      <c r="M320" s="7"/>
      <c r="N320" s="7"/>
      <c r="O320" s="7" t="s">
        <v>490</v>
      </c>
      <c r="P320" s="7" t="s">
        <v>1335</v>
      </c>
      <c r="Q320" s="7"/>
      <c r="R320" s="7" t="s">
        <v>1336</v>
      </c>
      <c r="S320" s="7" t="s">
        <v>545</v>
      </c>
      <c r="T320" s="65">
        <v>2453.0</v>
      </c>
      <c r="U320" s="7"/>
      <c r="V320" s="7"/>
    </row>
    <row r="321">
      <c r="A321" s="45">
        <v>45870.68877314815</v>
      </c>
      <c r="B321" s="7" t="s">
        <v>407</v>
      </c>
      <c r="C321" s="7" t="s">
        <v>1703</v>
      </c>
      <c r="D321" s="74">
        <v>1.0</v>
      </c>
      <c r="E321" s="46"/>
      <c r="F321" s="47">
        <v>24.99</v>
      </c>
      <c r="G321" s="47">
        <v>0.0</v>
      </c>
      <c r="H321" s="7"/>
      <c r="I321" s="47">
        <v>1.4</v>
      </c>
      <c r="J321" s="8"/>
      <c r="K321" s="7"/>
      <c r="L321" s="7"/>
      <c r="M321" s="7"/>
      <c r="N321" s="7"/>
      <c r="O321" s="7" t="s">
        <v>490</v>
      </c>
      <c r="P321" s="7" t="s">
        <v>1299</v>
      </c>
      <c r="Q321" s="7"/>
      <c r="R321" s="7" t="s">
        <v>1300</v>
      </c>
      <c r="S321" s="7" t="s">
        <v>633</v>
      </c>
      <c r="T321" s="65">
        <v>2445.0</v>
      </c>
      <c r="U321" s="7"/>
      <c r="V321" s="7"/>
    </row>
    <row r="322">
      <c r="A322" s="45">
        <v>45870.68875</v>
      </c>
      <c r="B322" s="7" t="s">
        <v>395</v>
      </c>
      <c r="C322" s="67" t="s">
        <v>1805</v>
      </c>
      <c r="D322" s="74">
        <v>1.0</v>
      </c>
      <c r="E322" s="74">
        <v>1.0</v>
      </c>
      <c r="F322" s="47">
        <v>124.99</v>
      </c>
      <c r="G322" s="47">
        <v>0.0</v>
      </c>
      <c r="H322" s="7"/>
      <c r="I322" s="47">
        <v>5.8</v>
      </c>
      <c r="J322" s="8"/>
      <c r="K322" s="7"/>
      <c r="L322" s="7"/>
      <c r="M322" s="7"/>
      <c r="N322" s="7"/>
      <c r="O322" s="7" t="s">
        <v>490</v>
      </c>
      <c r="P322" s="7" t="s">
        <v>1855</v>
      </c>
      <c r="Q322" s="7" t="s">
        <v>1856</v>
      </c>
      <c r="R322" s="7" t="s">
        <v>1857</v>
      </c>
      <c r="S322" s="7" t="s">
        <v>973</v>
      </c>
      <c r="T322" s="65">
        <v>2440.0</v>
      </c>
      <c r="U322" s="7"/>
      <c r="V322" s="7"/>
    </row>
    <row r="323">
      <c r="A323" s="45">
        <v>45870.688738425924</v>
      </c>
      <c r="B323" s="7" t="s">
        <v>1350</v>
      </c>
      <c r="C323" s="7" t="s">
        <v>1703</v>
      </c>
      <c r="D323" s="74">
        <v>1.0</v>
      </c>
      <c r="E323" s="46"/>
      <c r="F323" s="47">
        <v>24.99</v>
      </c>
      <c r="G323" s="47">
        <v>0.0</v>
      </c>
      <c r="H323" s="7"/>
      <c r="I323" s="47">
        <v>1.4</v>
      </c>
      <c r="J323" s="8"/>
      <c r="K323" s="7"/>
      <c r="L323" s="7"/>
      <c r="M323" s="7"/>
      <c r="N323" s="7"/>
      <c r="O323" s="7" t="s">
        <v>490</v>
      </c>
      <c r="P323" s="7" t="s">
        <v>1351</v>
      </c>
      <c r="Q323" s="7"/>
      <c r="R323" s="7" t="s">
        <v>1352</v>
      </c>
      <c r="S323" s="7" t="s">
        <v>545</v>
      </c>
      <c r="T323" s="65">
        <v>2446.0</v>
      </c>
      <c r="U323" s="7"/>
      <c r="V323" s="7"/>
    </row>
    <row r="324">
      <c r="A324" s="45">
        <v>45870.68859953704</v>
      </c>
      <c r="B324" s="7" t="s">
        <v>344</v>
      </c>
      <c r="C324" s="7" t="s">
        <v>1703</v>
      </c>
      <c r="D324" s="74">
        <v>1.0</v>
      </c>
      <c r="E324" s="46"/>
      <c r="F324" s="47">
        <v>24.99</v>
      </c>
      <c r="G324" s="47">
        <v>0.0</v>
      </c>
      <c r="H324" s="7"/>
      <c r="I324" s="47">
        <v>1.4</v>
      </c>
      <c r="J324" s="8"/>
      <c r="K324" s="7"/>
      <c r="L324" s="7"/>
      <c r="M324" s="7"/>
      <c r="N324" s="7"/>
      <c r="O324" s="7" t="s">
        <v>490</v>
      </c>
      <c r="P324" s="7" t="s">
        <v>1189</v>
      </c>
      <c r="Q324" s="7"/>
      <c r="R324" s="7" t="s">
        <v>1190</v>
      </c>
      <c r="S324" s="7" t="s">
        <v>525</v>
      </c>
      <c r="T324" s="65">
        <v>2444.0</v>
      </c>
      <c r="U324" s="7"/>
      <c r="V324" s="7"/>
    </row>
    <row r="325">
      <c r="A325" s="45">
        <v>45870.6884375</v>
      </c>
      <c r="B325" s="7" t="s">
        <v>343</v>
      </c>
      <c r="C325" s="7" t="s">
        <v>1703</v>
      </c>
      <c r="D325" s="74">
        <v>1.0</v>
      </c>
      <c r="E325" s="46"/>
      <c r="F325" s="47">
        <v>24.99</v>
      </c>
      <c r="G325" s="47">
        <v>0.0</v>
      </c>
      <c r="H325" s="7"/>
      <c r="I325" s="47">
        <v>1.4</v>
      </c>
      <c r="J325" s="8"/>
      <c r="K325" s="7"/>
      <c r="L325" s="7"/>
      <c r="M325" s="7"/>
      <c r="N325" s="7"/>
      <c r="O325" s="7" t="s">
        <v>490</v>
      </c>
      <c r="P325" s="7" t="s">
        <v>1655</v>
      </c>
      <c r="Q325" s="65">
        <v>35.0</v>
      </c>
      <c r="R325" s="7" t="s">
        <v>1065</v>
      </c>
      <c r="S325" s="7" t="s">
        <v>525</v>
      </c>
      <c r="T325" s="65">
        <v>2451.0</v>
      </c>
      <c r="U325" s="7"/>
      <c r="V325" s="7"/>
    </row>
    <row r="326">
      <c r="A326" s="45">
        <v>45870.68800925926</v>
      </c>
      <c r="B326" s="7" t="s">
        <v>432</v>
      </c>
      <c r="C326" s="67" t="s">
        <v>1805</v>
      </c>
      <c r="D326" s="74">
        <v>1.0</v>
      </c>
      <c r="E326" s="74">
        <v>1.0</v>
      </c>
      <c r="F326" s="47">
        <v>134.68</v>
      </c>
      <c r="G326" s="47">
        <v>0.0</v>
      </c>
      <c r="H326" s="7"/>
      <c r="I326" s="47">
        <v>4.21</v>
      </c>
      <c r="J326" s="8"/>
      <c r="K326" s="7"/>
      <c r="L326" s="7"/>
      <c r="M326" s="7"/>
      <c r="N326" s="7"/>
      <c r="O326" s="7" t="s">
        <v>490</v>
      </c>
      <c r="P326" s="7" t="s">
        <v>1462</v>
      </c>
      <c r="Q326" s="7"/>
      <c r="R326" s="7" t="s">
        <v>1463</v>
      </c>
      <c r="S326" s="7" t="s">
        <v>493</v>
      </c>
      <c r="T326" s="65">
        <v>2443.0</v>
      </c>
      <c r="U326" s="7"/>
      <c r="V326" s="7"/>
    </row>
    <row r="327">
      <c r="A327" s="45">
        <v>45870.68780092592</v>
      </c>
      <c r="B327" s="7" t="s">
        <v>308</v>
      </c>
      <c r="C327" s="67" t="s">
        <v>1858</v>
      </c>
      <c r="D327" s="74">
        <v>4.0</v>
      </c>
      <c r="E327" s="74">
        <v>1.0</v>
      </c>
      <c r="F327" s="47">
        <v>211.78</v>
      </c>
      <c r="G327" s="47">
        <v>0.0</v>
      </c>
      <c r="H327" s="7"/>
      <c r="I327" s="47">
        <v>9.62</v>
      </c>
      <c r="J327" s="8"/>
      <c r="K327" s="7"/>
      <c r="L327" s="7"/>
      <c r="M327" s="7"/>
      <c r="N327" s="7"/>
      <c r="O327" s="7" t="s">
        <v>490</v>
      </c>
      <c r="P327" s="7" t="s">
        <v>1425</v>
      </c>
      <c r="Q327" s="7" t="s">
        <v>1426</v>
      </c>
      <c r="R327" s="7" t="s">
        <v>992</v>
      </c>
      <c r="S327" s="7" t="s">
        <v>684</v>
      </c>
      <c r="T327" s="65">
        <v>2441.0</v>
      </c>
      <c r="U327" s="7"/>
      <c r="V327" s="7"/>
    </row>
    <row r="328">
      <c r="A328" s="45">
        <v>45870.68651620371</v>
      </c>
      <c r="B328" s="7" t="s">
        <v>386</v>
      </c>
      <c r="C328" s="67" t="s">
        <v>1805</v>
      </c>
      <c r="D328" s="74">
        <v>1.0</v>
      </c>
      <c r="E328" s="74">
        <v>1.0</v>
      </c>
      <c r="F328" s="47">
        <v>124.99</v>
      </c>
      <c r="G328" s="47">
        <v>0.0</v>
      </c>
      <c r="H328" s="7"/>
      <c r="I328" s="47">
        <v>3.92</v>
      </c>
      <c r="J328" s="8"/>
      <c r="K328" s="7"/>
      <c r="L328" s="7"/>
      <c r="M328" s="7"/>
      <c r="N328" s="7"/>
      <c r="O328" s="7" t="s">
        <v>490</v>
      </c>
      <c r="P328" s="7" t="s">
        <v>1387</v>
      </c>
      <c r="Q328" s="7"/>
      <c r="R328" s="7" t="s">
        <v>1639</v>
      </c>
      <c r="S328" s="7" t="s">
        <v>493</v>
      </c>
      <c r="T328" s="65">
        <v>2438.0</v>
      </c>
      <c r="U328" s="7"/>
      <c r="V328" s="7"/>
    </row>
    <row r="329">
      <c r="A329" s="45">
        <v>45870.68638888889</v>
      </c>
      <c r="B329" s="7" t="s">
        <v>460</v>
      </c>
      <c r="C329" s="67" t="s">
        <v>1805</v>
      </c>
      <c r="D329" s="74">
        <v>1.0</v>
      </c>
      <c r="E329" s="74">
        <v>1.0</v>
      </c>
      <c r="F329" s="47">
        <v>124.99</v>
      </c>
      <c r="G329" s="47">
        <v>0.0</v>
      </c>
      <c r="H329" s="7"/>
      <c r="I329" s="47">
        <v>5.8</v>
      </c>
      <c r="J329" s="8"/>
      <c r="K329" s="7"/>
      <c r="L329" s="7"/>
      <c r="M329" s="7"/>
      <c r="N329" s="7"/>
      <c r="O329" s="7" t="s">
        <v>490</v>
      </c>
      <c r="P329" s="7" t="s">
        <v>763</v>
      </c>
      <c r="Q329" s="7"/>
      <c r="R329" s="7" t="s">
        <v>764</v>
      </c>
      <c r="S329" s="7" t="s">
        <v>542</v>
      </c>
      <c r="T329" s="65">
        <v>2439.0</v>
      </c>
      <c r="U329" s="7"/>
      <c r="V329" s="7"/>
    </row>
    <row r="330">
      <c r="A330" s="45">
        <v>45870.68612268518</v>
      </c>
      <c r="B330" s="7" t="s">
        <v>1859</v>
      </c>
      <c r="C330" s="7" t="s">
        <v>1703</v>
      </c>
      <c r="D330" s="74">
        <v>1.0</v>
      </c>
      <c r="E330" s="46"/>
      <c r="F330" s="47">
        <v>24.99</v>
      </c>
      <c r="G330" s="47">
        <v>0.0</v>
      </c>
      <c r="H330" s="7"/>
      <c r="I330" s="47">
        <v>1.02</v>
      </c>
      <c r="J330" s="8"/>
      <c r="K330" s="7"/>
      <c r="L330" s="7"/>
      <c r="M330" s="7"/>
      <c r="N330" s="7"/>
      <c r="O330" s="7" t="s">
        <v>490</v>
      </c>
      <c r="P330" s="7" t="s">
        <v>1138</v>
      </c>
      <c r="Q330" s="7"/>
      <c r="R330" s="7" t="s">
        <v>1139</v>
      </c>
      <c r="S330" s="7" t="s">
        <v>493</v>
      </c>
      <c r="T330" s="65">
        <v>2437.0</v>
      </c>
      <c r="U330" s="7"/>
      <c r="V330" s="7"/>
    </row>
    <row r="331">
      <c r="A331" s="45">
        <v>45870.68583333334</v>
      </c>
      <c r="B331" s="7" t="s">
        <v>465</v>
      </c>
      <c r="C331" s="7" t="s">
        <v>1703</v>
      </c>
      <c r="D331" s="74">
        <v>1.0</v>
      </c>
      <c r="E331" s="46"/>
      <c r="F331" s="47">
        <v>26.93</v>
      </c>
      <c r="G331" s="47">
        <v>0.0</v>
      </c>
      <c r="H331" s="7"/>
      <c r="I331" s="47">
        <v>1.08</v>
      </c>
      <c r="J331" s="8"/>
      <c r="K331" s="7"/>
      <c r="L331" s="7"/>
      <c r="M331" s="7"/>
      <c r="N331" s="7"/>
      <c r="O331" s="7" t="s">
        <v>490</v>
      </c>
      <c r="P331" s="7" t="s">
        <v>1447</v>
      </c>
      <c r="Q331" s="7"/>
      <c r="R331" s="7" t="s">
        <v>1448</v>
      </c>
      <c r="S331" s="7" t="s">
        <v>493</v>
      </c>
      <c r="T331" s="65">
        <v>2435.0</v>
      </c>
      <c r="U331" s="7"/>
      <c r="V331" s="7"/>
    </row>
    <row r="332">
      <c r="A332" s="136" t="s">
        <v>1464</v>
      </c>
      <c r="B332" s="1"/>
      <c r="C332" s="1"/>
      <c r="D332" s="114">
        <f t="shared" ref="D332:G332" si="1">SUM(D2:D331)</f>
        <v>339</v>
      </c>
      <c r="E332" s="114">
        <f t="shared" si="1"/>
        <v>47</v>
      </c>
      <c r="F332" s="115">
        <f t="shared" si="1"/>
        <v>14000.58</v>
      </c>
      <c r="G332" s="115">
        <f t="shared" si="1"/>
        <v>0</v>
      </c>
      <c r="H332" s="1"/>
      <c r="I332" s="115">
        <f t="shared" ref="I332:J332" si="2">SUM(I2:I331)</f>
        <v>627.03</v>
      </c>
      <c r="J332" s="115">
        <f t="shared" si="2"/>
        <v>24.99</v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7"/>
      <c r="B333" s="7"/>
      <c r="C333" s="7"/>
      <c r="D333" s="116"/>
      <c r="E333" s="116"/>
      <c r="F333" s="8"/>
      <c r="G333" s="8"/>
      <c r="H333" s="7"/>
      <c r="I333" s="8"/>
      <c r="J333" s="8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81" t="s">
        <v>467</v>
      </c>
      <c r="B334" s="82"/>
      <c r="C334" s="7"/>
      <c r="D334" s="116"/>
      <c r="E334" s="116"/>
      <c r="F334" s="8"/>
      <c r="G334" s="8"/>
      <c r="H334" s="7"/>
      <c r="I334" s="8"/>
      <c r="J334" s="8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83" t="s">
        <v>1860</v>
      </c>
      <c r="B335" s="84">
        <v>339.0</v>
      </c>
      <c r="C335" s="7"/>
      <c r="D335" s="116"/>
      <c r="E335" s="116"/>
      <c r="F335" s="8"/>
      <c r="G335" s="8"/>
      <c r="H335" s="7"/>
      <c r="I335" s="8"/>
      <c r="J335" s="8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31" t="s">
        <v>68</v>
      </c>
      <c r="B336" s="6">
        <v>24.99</v>
      </c>
      <c r="C336" s="7"/>
      <c r="D336" s="116"/>
      <c r="E336" s="116"/>
      <c r="F336" s="8"/>
      <c r="G336" s="8"/>
      <c r="H336" s="7"/>
      <c r="I336" s="8"/>
      <c r="J336" s="8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93" t="s">
        <v>1466</v>
      </c>
      <c r="B337" s="5">
        <f>B335*B336</f>
        <v>8471.61</v>
      </c>
      <c r="C337" s="7"/>
      <c r="D337" s="116"/>
      <c r="E337" s="116"/>
      <c r="F337" s="8"/>
      <c r="G337" s="8"/>
      <c r="H337" s="7"/>
      <c r="I337" s="8"/>
      <c r="J337" s="8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31" t="s">
        <v>470</v>
      </c>
      <c r="B338" s="85">
        <v>4700.0</v>
      </c>
      <c r="C338" s="7"/>
      <c r="D338" s="116"/>
      <c r="E338" s="116"/>
      <c r="F338" s="8"/>
      <c r="G338" s="8"/>
      <c r="H338" s="7"/>
      <c r="I338" s="8"/>
      <c r="J338" s="8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87" t="s">
        <v>11</v>
      </c>
      <c r="B339" s="88">
        <f>SUM(B337:B338)</f>
        <v>13171.61</v>
      </c>
      <c r="C339" s="7"/>
      <c r="D339" s="116"/>
      <c r="E339" s="116"/>
      <c r="F339" s="8"/>
      <c r="G339" s="8"/>
      <c r="H339" s="7"/>
      <c r="I339" s="8"/>
      <c r="J339" s="8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83" t="s">
        <v>471</v>
      </c>
      <c r="B340" s="89">
        <v>14500.58</v>
      </c>
      <c r="C340" s="7"/>
      <c r="D340" s="116"/>
      <c r="E340" s="116"/>
      <c r="F340" s="8"/>
      <c r="G340" s="8"/>
      <c r="H340" s="7"/>
      <c r="I340" s="8"/>
      <c r="J340" s="8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4" t="s">
        <v>472</v>
      </c>
      <c r="B341" s="5">
        <f>B340-B339</f>
        <v>1328.97</v>
      </c>
      <c r="C341" s="7"/>
      <c r="D341" s="116"/>
      <c r="E341" s="116"/>
      <c r="F341" s="8"/>
      <c r="G341" s="8"/>
      <c r="H341" s="7"/>
      <c r="I341" s="8"/>
      <c r="J341" s="8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90" t="s">
        <v>473</v>
      </c>
      <c r="B342" s="91">
        <v>627.03</v>
      </c>
      <c r="C342" s="7"/>
      <c r="D342" s="116"/>
      <c r="E342" s="116"/>
      <c r="F342" s="8"/>
      <c r="G342" s="8"/>
      <c r="H342" s="7"/>
      <c r="I342" s="8"/>
      <c r="J342" s="8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92" t="s">
        <v>1861</v>
      </c>
      <c r="B343" s="4"/>
      <c r="C343" s="7"/>
      <c r="D343" s="116"/>
      <c r="E343" s="116"/>
      <c r="F343" s="8"/>
      <c r="G343" s="8"/>
      <c r="H343" s="7"/>
      <c r="I343" s="8"/>
      <c r="J343" s="8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80"/>
      <c r="B344" s="7"/>
      <c r="C344" s="7"/>
      <c r="D344" s="116"/>
      <c r="E344" s="116"/>
      <c r="F344" s="8"/>
      <c r="G344" s="8"/>
      <c r="H344" s="7"/>
      <c r="I344" s="8"/>
      <c r="J344" s="8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80"/>
      <c r="B345" s="7"/>
      <c r="C345" s="7"/>
      <c r="D345" s="116"/>
      <c r="E345" s="116"/>
      <c r="F345" s="8"/>
      <c r="G345" s="8"/>
      <c r="H345" s="7"/>
      <c r="I345" s="8"/>
      <c r="J345" s="8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64" t="s">
        <v>1862</v>
      </c>
      <c r="B346" s="7"/>
      <c r="C346" s="7"/>
      <c r="D346" s="116"/>
      <c r="E346" s="116"/>
      <c r="F346" s="8"/>
      <c r="G346" s="8"/>
      <c r="H346" s="7"/>
      <c r="I346" s="8"/>
      <c r="J346" s="8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94" t="s">
        <v>476</v>
      </c>
      <c r="B347" s="31"/>
      <c r="C347" s="7"/>
      <c r="D347" s="116"/>
      <c r="E347" s="116"/>
      <c r="F347" s="8"/>
      <c r="G347" s="8"/>
      <c r="H347" s="7"/>
      <c r="I347" s="8"/>
      <c r="J347" s="8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83" t="s">
        <v>477</v>
      </c>
      <c r="B348" s="95">
        <v>9.0</v>
      </c>
      <c r="C348" s="7"/>
      <c r="D348" s="116"/>
      <c r="E348" s="116"/>
      <c r="F348" s="8"/>
      <c r="G348" s="8"/>
      <c r="H348" s="7"/>
      <c r="I348" s="8"/>
      <c r="J348" s="8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83" t="s">
        <v>478</v>
      </c>
      <c r="B349" s="95">
        <v>97.07</v>
      </c>
      <c r="C349" s="7"/>
      <c r="D349" s="116"/>
      <c r="E349" s="116"/>
      <c r="F349" s="8"/>
      <c r="G349" s="8"/>
      <c r="H349" s="7"/>
      <c r="I349" s="8"/>
      <c r="J349" s="8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96" t="s">
        <v>479</v>
      </c>
      <c r="B350" s="97">
        <f>SUM(B348:B349)</f>
        <v>106.07</v>
      </c>
      <c r="C350" s="7"/>
      <c r="D350" s="116"/>
      <c r="E350" s="116"/>
      <c r="F350" s="8"/>
      <c r="G350" s="8"/>
      <c r="H350" s="7"/>
      <c r="I350" s="8"/>
      <c r="J350" s="8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80"/>
      <c r="B351" s="7"/>
      <c r="C351" s="7"/>
      <c r="D351" s="116"/>
      <c r="E351" s="116"/>
      <c r="F351" s="8"/>
      <c r="G351" s="8"/>
      <c r="H351" s="7"/>
      <c r="I351" s="8"/>
      <c r="J351" s="8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80"/>
      <c r="B352" s="7"/>
      <c r="C352" s="7"/>
      <c r="D352" s="116"/>
      <c r="E352" s="116"/>
      <c r="F352" s="8"/>
      <c r="G352" s="8"/>
      <c r="H352" s="7"/>
      <c r="I352" s="8"/>
      <c r="J352" s="8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121" t="s">
        <v>480</v>
      </c>
      <c r="B353" s="122">
        <v>24.99</v>
      </c>
      <c r="C353" s="7"/>
      <c r="D353" s="116"/>
      <c r="E353" s="116"/>
      <c r="F353" s="8"/>
      <c r="G353" s="8"/>
      <c r="H353" s="7"/>
      <c r="I353" s="8"/>
      <c r="J353" s="8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121" t="s">
        <v>8</v>
      </c>
      <c r="B354" s="123">
        <v>4.5</v>
      </c>
      <c r="C354" s="7"/>
      <c r="D354" s="116"/>
      <c r="E354" s="116"/>
      <c r="F354" s="8"/>
      <c r="G354" s="8"/>
      <c r="H354" s="7"/>
      <c r="I354" s="8"/>
      <c r="J354" s="8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121" t="s">
        <v>13</v>
      </c>
      <c r="B355" s="126">
        <f>2*0.127</f>
        <v>0.254</v>
      </c>
      <c r="C355" s="7"/>
      <c r="D355" s="116"/>
      <c r="E355" s="116"/>
      <c r="F355" s="8"/>
      <c r="G355" s="8"/>
      <c r="H355" s="7"/>
      <c r="I355" s="8"/>
      <c r="J355" s="8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121" t="s">
        <v>9</v>
      </c>
      <c r="B356" s="124">
        <f>B353-(B354+B355)</f>
        <v>20.236</v>
      </c>
      <c r="C356" s="7"/>
      <c r="D356" s="116"/>
      <c r="E356" s="116"/>
      <c r="F356" s="8"/>
      <c r="G356" s="8"/>
      <c r="H356" s="7"/>
      <c r="I356" s="8"/>
      <c r="J356" s="8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125"/>
      <c r="B357" s="126"/>
      <c r="C357" s="7"/>
      <c r="D357" s="116"/>
      <c r="E357" s="116"/>
      <c r="F357" s="8"/>
      <c r="G357" s="8"/>
      <c r="H357" s="7"/>
      <c r="I357" s="8"/>
      <c r="J357" s="8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121" t="s">
        <v>10</v>
      </c>
      <c r="B358" s="127">
        <v>339.0</v>
      </c>
      <c r="C358" s="7"/>
      <c r="D358" s="116"/>
      <c r="E358" s="116"/>
      <c r="F358" s="8"/>
      <c r="G358" s="8"/>
      <c r="H358" s="7"/>
      <c r="I358" s="8"/>
      <c r="J358" s="8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121" t="s">
        <v>481</v>
      </c>
      <c r="B359" s="126">
        <f>B353*B358</f>
        <v>8471.61</v>
      </c>
      <c r="C359" s="7"/>
      <c r="D359" s="116"/>
      <c r="E359" s="116"/>
      <c r="F359" s="8"/>
      <c r="G359" s="8"/>
      <c r="H359" s="7"/>
      <c r="I359" s="8"/>
      <c r="J359" s="8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121" t="s">
        <v>12</v>
      </c>
      <c r="B360" s="123">
        <v>4235.5</v>
      </c>
      <c r="C360" s="7"/>
      <c r="D360" s="116"/>
      <c r="E360" s="116"/>
      <c r="F360" s="8"/>
      <c r="G360" s="8"/>
      <c r="H360" s="7"/>
      <c r="I360" s="8"/>
      <c r="J360" s="8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128" t="s">
        <v>14</v>
      </c>
      <c r="B361" s="129">
        <f>B359-B360</f>
        <v>4236.11</v>
      </c>
      <c r="C361" s="7"/>
      <c r="D361" s="116"/>
      <c r="E361" s="116"/>
      <c r="F361" s="8"/>
      <c r="G361" s="8"/>
      <c r="H361" s="7"/>
      <c r="I361" s="8"/>
      <c r="J361" s="8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130"/>
      <c r="B362" s="130"/>
      <c r="C362" s="7"/>
      <c r="D362" s="116"/>
      <c r="E362" s="116"/>
      <c r="F362" s="8"/>
      <c r="G362" s="8"/>
      <c r="H362" s="7"/>
      <c r="I362" s="8"/>
      <c r="J362" s="8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121" t="s">
        <v>16</v>
      </c>
      <c r="B363" s="123">
        <f>70</f>
        <v>70</v>
      </c>
      <c r="C363" s="7"/>
      <c r="D363" s="116"/>
      <c r="E363" s="116"/>
      <c r="F363" s="8"/>
      <c r="G363" s="8"/>
      <c r="H363" s="7"/>
      <c r="I363" s="8"/>
      <c r="J363" s="8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121" t="s">
        <v>10</v>
      </c>
      <c r="B364" s="127">
        <v>47.0</v>
      </c>
      <c r="C364" s="7"/>
      <c r="D364" s="116"/>
      <c r="E364" s="116"/>
      <c r="F364" s="8"/>
      <c r="G364" s="8"/>
      <c r="H364" s="7"/>
      <c r="I364" s="8"/>
      <c r="J364" s="8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121" t="s">
        <v>17</v>
      </c>
      <c r="B365" s="126">
        <f>B363*B364</f>
        <v>3290</v>
      </c>
      <c r="C365" s="7"/>
      <c r="D365" s="116"/>
      <c r="E365" s="116"/>
      <c r="F365" s="8"/>
      <c r="G365" s="8"/>
      <c r="H365" s="7"/>
      <c r="I365" s="8"/>
      <c r="J365" s="8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121"/>
      <c r="B366" s="123"/>
      <c r="C366" s="7"/>
      <c r="D366" s="116"/>
      <c r="E366" s="116"/>
      <c r="F366" s="8"/>
      <c r="G366" s="8"/>
      <c r="H366" s="7"/>
      <c r="I366" s="8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131" t="s">
        <v>18</v>
      </c>
      <c r="B367" s="124">
        <f>B361+B359</f>
        <v>12707.72</v>
      </c>
      <c r="C367" s="7"/>
      <c r="D367" s="116"/>
      <c r="E367" s="116"/>
      <c r="F367" s="8"/>
      <c r="G367" s="8"/>
      <c r="H367" s="7"/>
      <c r="I367" s="8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130"/>
      <c r="B368" s="130"/>
      <c r="C368" s="7"/>
      <c r="D368" s="116"/>
      <c r="E368" s="116"/>
      <c r="F368" s="8"/>
      <c r="G368" s="8"/>
      <c r="H368" s="7"/>
      <c r="I368" s="8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121" t="s">
        <v>19</v>
      </c>
      <c r="B369" s="132">
        <v>627.03</v>
      </c>
      <c r="C369" s="7"/>
      <c r="D369" s="116"/>
      <c r="E369" s="116"/>
      <c r="F369" s="8"/>
      <c r="G369" s="8"/>
      <c r="H369" s="7"/>
      <c r="I369" s="8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133" t="s">
        <v>1472</v>
      </c>
      <c r="B370" s="134">
        <v>106.07</v>
      </c>
      <c r="C370" s="7"/>
      <c r="D370" s="116"/>
      <c r="E370" s="116"/>
      <c r="F370" s="8"/>
      <c r="G370" s="8"/>
      <c r="H370" s="7"/>
      <c r="I370" s="8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131" t="s">
        <v>20</v>
      </c>
      <c r="B371" s="124">
        <f>B367-B369-B370</f>
        <v>11974.62</v>
      </c>
      <c r="C371" s="7"/>
      <c r="D371" s="116"/>
      <c r="E371" s="116"/>
      <c r="F371" s="8"/>
      <c r="G371" s="8"/>
      <c r="H371" s="7"/>
      <c r="I371" s="8"/>
      <c r="J371" s="8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80"/>
      <c r="B372" s="7"/>
      <c r="C372" s="7"/>
      <c r="D372" s="116"/>
      <c r="E372" s="116"/>
      <c r="F372" s="8"/>
      <c r="G372" s="8"/>
      <c r="H372" s="7"/>
      <c r="I372" s="8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80"/>
      <c r="B373" s="7"/>
      <c r="C373" s="7"/>
      <c r="D373" s="116"/>
      <c r="E373" s="116"/>
      <c r="F373" s="8"/>
      <c r="G373" s="8"/>
      <c r="H373" s="7"/>
      <c r="I373" s="8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80"/>
      <c r="B374" s="7"/>
      <c r="C374" s="7"/>
      <c r="D374" s="116"/>
      <c r="E374" s="116"/>
      <c r="F374" s="8"/>
      <c r="G374" s="8"/>
      <c r="H374" s="7"/>
      <c r="I374" s="8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80"/>
      <c r="B375" s="7"/>
      <c r="C375" s="7"/>
      <c r="D375" s="116"/>
      <c r="E375" s="116"/>
      <c r="F375" s="8"/>
      <c r="G375" s="8"/>
      <c r="H375" s="7"/>
      <c r="I375" s="8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80"/>
      <c r="B376" s="7"/>
      <c r="C376" s="7"/>
      <c r="D376" s="116"/>
      <c r="E376" s="116"/>
      <c r="F376" s="8"/>
      <c r="G376" s="8"/>
      <c r="H376" s="7"/>
      <c r="I376" s="8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80"/>
      <c r="B377" s="7"/>
      <c r="C377" s="7"/>
      <c r="D377" s="116"/>
      <c r="E377" s="116"/>
      <c r="F377" s="8"/>
      <c r="G377" s="8"/>
      <c r="H377" s="7"/>
      <c r="I377" s="8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80"/>
      <c r="B378" s="7"/>
      <c r="C378" s="7"/>
      <c r="D378" s="116"/>
      <c r="E378" s="116"/>
      <c r="F378" s="8"/>
      <c r="G378" s="8"/>
      <c r="H378" s="7"/>
      <c r="I378" s="8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80"/>
      <c r="B379" s="7"/>
      <c r="C379" s="7"/>
      <c r="D379" s="116"/>
      <c r="E379" s="116"/>
      <c r="F379" s="8"/>
      <c r="G379" s="8"/>
      <c r="H379" s="7"/>
      <c r="I379" s="8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80"/>
      <c r="B380" s="7"/>
      <c r="C380" s="7"/>
      <c r="D380" s="116"/>
      <c r="E380" s="116"/>
      <c r="F380" s="8"/>
      <c r="G380" s="8"/>
      <c r="H380" s="7"/>
      <c r="I380" s="8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80"/>
      <c r="B381" s="7"/>
      <c r="C381" s="7"/>
      <c r="D381" s="116"/>
      <c r="E381" s="116"/>
      <c r="F381" s="8"/>
      <c r="G381" s="8"/>
      <c r="H381" s="7"/>
      <c r="I381" s="8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80"/>
      <c r="B382" s="7"/>
      <c r="C382" s="7"/>
      <c r="D382" s="116"/>
      <c r="E382" s="116"/>
      <c r="F382" s="8"/>
      <c r="G382" s="8"/>
      <c r="H382" s="7"/>
      <c r="I382" s="8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80"/>
      <c r="B383" s="7"/>
      <c r="C383" s="7"/>
      <c r="D383" s="116"/>
      <c r="E383" s="116"/>
      <c r="F383" s="8"/>
      <c r="G383" s="8"/>
      <c r="H383" s="7"/>
      <c r="I383" s="8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80"/>
      <c r="B384" s="7"/>
      <c r="C384" s="7"/>
      <c r="D384" s="116"/>
      <c r="E384" s="116"/>
      <c r="F384" s="8"/>
      <c r="G384" s="8"/>
      <c r="H384" s="7"/>
      <c r="I384" s="8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80"/>
      <c r="B385" s="7"/>
      <c r="C385" s="7"/>
      <c r="D385" s="116"/>
      <c r="E385" s="116"/>
      <c r="F385" s="8"/>
      <c r="G385" s="8"/>
      <c r="H385" s="7"/>
      <c r="I385" s="8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80"/>
      <c r="B386" s="7"/>
      <c r="C386" s="7"/>
      <c r="D386" s="116"/>
      <c r="E386" s="116"/>
      <c r="F386" s="8"/>
      <c r="G386" s="8"/>
      <c r="H386" s="7"/>
      <c r="I386" s="8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80"/>
      <c r="B387" s="7"/>
      <c r="C387" s="7"/>
      <c r="D387" s="116"/>
      <c r="E387" s="116"/>
      <c r="F387" s="8"/>
      <c r="G387" s="8"/>
      <c r="H387" s="7"/>
      <c r="I387" s="8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80"/>
      <c r="B388" s="7"/>
      <c r="C388" s="7"/>
      <c r="D388" s="116"/>
      <c r="E388" s="116"/>
      <c r="F388" s="8"/>
      <c r="G388" s="8"/>
      <c r="H388" s="7"/>
      <c r="I388" s="8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80"/>
      <c r="B389" s="7"/>
      <c r="C389" s="7"/>
      <c r="D389" s="116"/>
      <c r="E389" s="116"/>
      <c r="F389" s="8"/>
      <c r="G389" s="8"/>
      <c r="H389" s="7"/>
      <c r="I389" s="8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80"/>
      <c r="B390" s="7"/>
      <c r="C390" s="7"/>
      <c r="D390" s="116"/>
      <c r="E390" s="116"/>
      <c r="F390" s="8"/>
      <c r="G390" s="8"/>
      <c r="H390" s="7"/>
      <c r="I390" s="8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80"/>
      <c r="B391" s="7"/>
      <c r="C391" s="7"/>
      <c r="D391" s="116"/>
      <c r="E391" s="116"/>
      <c r="F391" s="8"/>
      <c r="G391" s="8"/>
      <c r="H391" s="7"/>
      <c r="I391" s="8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80"/>
      <c r="B392" s="7"/>
      <c r="C392" s="7"/>
      <c r="D392" s="116"/>
      <c r="E392" s="116"/>
      <c r="F392" s="8"/>
      <c r="G392" s="8"/>
      <c r="H392" s="7"/>
      <c r="I392" s="8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80"/>
      <c r="B393" s="7"/>
      <c r="C393" s="7"/>
      <c r="D393" s="116"/>
      <c r="E393" s="116"/>
      <c r="F393" s="8"/>
      <c r="G393" s="8"/>
      <c r="H393" s="7"/>
      <c r="I393" s="8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80"/>
      <c r="B394" s="7"/>
      <c r="C394" s="7"/>
      <c r="D394" s="116"/>
      <c r="E394" s="116"/>
      <c r="F394" s="8"/>
      <c r="G394" s="8"/>
      <c r="H394" s="7"/>
      <c r="I394" s="8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80"/>
      <c r="B395" s="7"/>
      <c r="C395" s="7"/>
      <c r="D395" s="116"/>
      <c r="E395" s="116"/>
      <c r="F395" s="8"/>
      <c r="G395" s="8"/>
      <c r="H395" s="7"/>
      <c r="I395" s="8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80"/>
      <c r="B396" s="7"/>
      <c r="C396" s="7"/>
      <c r="D396" s="116"/>
      <c r="E396" s="116"/>
      <c r="F396" s="8"/>
      <c r="G396" s="8"/>
      <c r="H396" s="7"/>
      <c r="I396" s="8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80"/>
      <c r="B397" s="7"/>
      <c r="C397" s="7"/>
      <c r="D397" s="116"/>
      <c r="E397" s="116"/>
      <c r="F397" s="8"/>
      <c r="G397" s="8"/>
      <c r="H397" s="7"/>
      <c r="I397" s="8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80"/>
      <c r="B398" s="7"/>
      <c r="C398" s="7"/>
      <c r="D398" s="116"/>
      <c r="E398" s="116"/>
      <c r="F398" s="8"/>
      <c r="G398" s="8"/>
      <c r="H398" s="7"/>
      <c r="I398" s="8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80"/>
      <c r="B399" s="7"/>
      <c r="C399" s="7"/>
      <c r="D399" s="116"/>
      <c r="E399" s="116"/>
      <c r="F399" s="8"/>
      <c r="G399" s="8"/>
      <c r="H399" s="7"/>
      <c r="I399" s="8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80"/>
      <c r="B400" s="7"/>
      <c r="C400" s="7"/>
      <c r="D400" s="116"/>
      <c r="E400" s="116"/>
      <c r="F400" s="8"/>
      <c r="G400" s="8"/>
      <c r="H400" s="7"/>
      <c r="I400" s="8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80"/>
      <c r="B401" s="7"/>
      <c r="C401" s="7"/>
      <c r="D401" s="116"/>
      <c r="E401" s="116"/>
      <c r="F401" s="8"/>
      <c r="G401" s="8"/>
      <c r="H401" s="7"/>
      <c r="I401" s="8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80"/>
      <c r="B402" s="7"/>
      <c r="C402" s="7"/>
      <c r="D402" s="116"/>
      <c r="E402" s="116"/>
      <c r="F402" s="8"/>
      <c r="G402" s="8"/>
      <c r="H402" s="7"/>
      <c r="I402" s="8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80"/>
      <c r="B403" s="7"/>
      <c r="C403" s="7"/>
      <c r="D403" s="116"/>
      <c r="E403" s="116"/>
      <c r="F403" s="8"/>
      <c r="G403" s="8"/>
      <c r="H403" s="7"/>
      <c r="I403" s="8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80"/>
      <c r="B404" s="7"/>
      <c r="C404" s="7"/>
      <c r="D404" s="116"/>
      <c r="E404" s="116"/>
      <c r="F404" s="8"/>
      <c r="G404" s="8"/>
      <c r="H404" s="7"/>
      <c r="I404" s="8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80"/>
      <c r="B405" s="7"/>
      <c r="C405" s="7"/>
      <c r="D405" s="116"/>
      <c r="E405" s="116"/>
      <c r="F405" s="8"/>
      <c r="G405" s="8"/>
      <c r="H405" s="7"/>
      <c r="I405" s="8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80"/>
      <c r="B406" s="7"/>
      <c r="C406" s="7"/>
      <c r="D406" s="116"/>
      <c r="E406" s="116"/>
      <c r="F406" s="8"/>
      <c r="G406" s="8"/>
      <c r="H406" s="7"/>
      <c r="I406" s="8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80"/>
      <c r="B407" s="7"/>
      <c r="C407" s="7"/>
      <c r="D407" s="116"/>
      <c r="E407" s="116"/>
      <c r="F407" s="8"/>
      <c r="G407" s="8"/>
      <c r="H407" s="7"/>
      <c r="I407" s="8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80"/>
      <c r="B408" s="7"/>
      <c r="C408" s="7"/>
      <c r="D408" s="116"/>
      <c r="E408" s="116"/>
      <c r="F408" s="8"/>
      <c r="G408" s="8"/>
      <c r="H408" s="7"/>
      <c r="I408" s="8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80"/>
      <c r="B409" s="7"/>
      <c r="C409" s="7"/>
      <c r="D409" s="116"/>
      <c r="E409" s="116"/>
      <c r="F409" s="8"/>
      <c r="G409" s="8"/>
      <c r="H409" s="7"/>
      <c r="I409" s="8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80"/>
      <c r="B410" s="7"/>
      <c r="C410" s="7"/>
      <c r="D410" s="116"/>
      <c r="E410" s="116"/>
      <c r="F410" s="8"/>
      <c r="G410" s="8"/>
      <c r="H410" s="7"/>
      <c r="I410" s="8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80"/>
      <c r="B411" s="7"/>
      <c r="C411" s="7"/>
      <c r="D411" s="116"/>
      <c r="E411" s="116"/>
      <c r="F411" s="8"/>
      <c r="G411" s="8"/>
      <c r="H411" s="7"/>
      <c r="I411" s="8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80"/>
      <c r="B412" s="7"/>
      <c r="C412" s="7"/>
      <c r="D412" s="116"/>
      <c r="E412" s="116"/>
      <c r="F412" s="8"/>
      <c r="G412" s="8"/>
      <c r="H412" s="7"/>
      <c r="I412" s="8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80"/>
      <c r="B413" s="7"/>
      <c r="C413" s="7"/>
      <c r="D413" s="116"/>
      <c r="E413" s="116"/>
      <c r="F413" s="8"/>
      <c r="G413" s="8"/>
      <c r="H413" s="7"/>
      <c r="I413" s="8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80"/>
      <c r="B414" s="7"/>
      <c r="C414" s="7"/>
      <c r="D414" s="116"/>
      <c r="E414" s="116"/>
      <c r="F414" s="8"/>
      <c r="G414" s="8"/>
      <c r="H414" s="7"/>
      <c r="I414" s="8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80"/>
      <c r="B415" s="7"/>
      <c r="C415" s="7"/>
      <c r="D415" s="116"/>
      <c r="E415" s="116"/>
      <c r="F415" s="8"/>
      <c r="G415" s="8"/>
      <c r="H415" s="7"/>
      <c r="I415" s="8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80"/>
      <c r="B416" s="7"/>
      <c r="C416" s="7"/>
      <c r="D416" s="116"/>
      <c r="E416" s="116"/>
      <c r="F416" s="8"/>
      <c r="G416" s="8"/>
      <c r="H416" s="7"/>
      <c r="I416" s="8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80"/>
      <c r="B417" s="7"/>
      <c r="C417" s="7"/>
      <c r="D417" s="116"/>
      <c r="E417" s="116"/>
      <c r="F417" s="8"/>
      <c r="G417" s="8"/>
      <c r="H417" s="7"/>
      <c r="I417" s="8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80"/>
      <c r="B418" s="7"/>
      <c r="C418" s="7"/>
      <c r="D418" s="116"/>
      <c r="E418" s="116"/>
      <c r="F418" s="8"/>
      <c r="G418" s="8"/>
      <c r="H418" s="7"/>
      <c r="I418" s="8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80"/>
      <c r="B419" s="7"/>
      <c r="C419" s="7"/>
      <c r="D419" s="116"/>
      <c r="E419" s="116"/>
      <c r="F419" s="8"/>
      <c r="G419" s="8"/>
      <c r="H419" s="7"/>
      <c r="I419" s="8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80"/>
      <c r="B420" s="7"/>
      <c r="C420" s="7"/>
      <c r="D420" s="116"/>
      <c r="E420" s="116"/>
      <c r="F420" s="8"/>
      <c r="G420" s="8"/>
      <c r="H420" s="7"/>
      <c r="I420" s="8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80"/>
      <c r="B421" s="7"/>
      <c r="C421" s="7"/>
      <c r="D421" s="116"/>
      <c r="E421" s="116"/>
      <c r="F421" s="8"/>
      <c r="G421" s="8"/>
      <c r="H421" s="7"/>
      <c r="I421" s="8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80"/>
      <c r="B422" s="7"/>
      <c r="C422" s="7"/>
      <c r="D422" s="116"/>
      <c r="E422" s="116"/>
      <c r="F422" s="8"/>
      <c r="G422" s="8"/>
      <c r="H422" s="7"/>
      <c r="I422" s="8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80"/>
      <c r="B423" s="7"/>
      <c r="C423" s="7"/>
      <c r="D423" s="116"/>
      <c r="E423" s="116"/>
      <c r="F423" s="8"/>
      <c r="G423" s="8"/>
      <c r="H423" s="7"/>
      <c r="I423" s="8"/>
      <c r="J423" s="8"/>
      <c r="K423" s="80"/>
      <c r="L423" s="80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80"/>
      <c r="B424" s="7"/>
      <c r="C424" s="7"/>
      <c r="D424" s="116"/>
      <c r="E424" s="116"/>
      <c r="F424" s="8"/>
      <c r="G424" s="8"/>
      <c r="H424" s="7"/>
      <c r="I424" s="8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80"/>
      <c r="B425" s="7"/>
      <c r="C425" s="7"/>
      <c r="D425" s="116"/>
      <c r="E425" s="116"/>
      <c r="F425" s="8"/>
      <c r="G425" s="8"/>
      <c r="H425" s="7"/>
      <c r="I425" s="8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80"/>
      <c r="B426" s="7"/>
      <c r="C426" s="7"/>
      <c r="D426" s="116"/>
      <c r="E426" s="116"/>
      <c r="F426" s="8"/>
      <c r="G426" s="8"/>
      <c r="H426" s="7"/>
      <c r="I426" s="8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80"/>
      <c r="B427" s="7"/>
      <c r="C427" s="7"/>
      <c r="D427" s="116"/>
      <c r="E427" s="116"/>
      <c r="F427" s="8"/>
      <c r="G427" s="8"/>
      <c r="H427" s="7"/>
      <c r="I427" s="8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80"/>
      <c r="B428" s="7"/>
      <c r="C428" s="7"/>
      <c r="D428" s="116"/>
      <c r="E428" s="116"/>
      <c r="F428" s="8"/>
      <c r="G428" s="8"/>
      <c r="H428" s="7"/>
      <c r="I428" s="8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80"/>
      <c r="B429" s="7"/>
      <c r="C429" s="7"/>
      <c r="D429" s="116"/>
      <c r="E429" s="116"/>
      <c r="F429" s="8"/>
      <c r="G429" s="8"/>
      <c r="H429" s="7"/>
      <c r="I429" s="8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80"/>
      <c r="B430" s="7"/>
      <c r="C430" s="7"/>
      <c r="D430" s="116"/>
      <c r="E430" s="116"/>
      <c r="F430" s="8"/>
      <c r="G430" s="8"/>
      <c r="H430" s="7"/>
      <c r="I430" s="8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80"/>
      <c r="B431" s="7"/>
      <c r="C431" s="7"/>
      <c r="D431" s="116"/>
      <c r="E431" s="116"/>
      <c r="F431" s="8"/>
      <c r="G431" s="8"/>
      <c r="H431" s="7"/>
      <c r="I431" s="8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80"/>
      <c r="B432" s="7"/>
      <c r="C432" s="7"/>
      <c r="D432" s="116"/>
      <c r="E432" s="116"/>
      <c r="F432" s="8"/>
      <c r="G432" s="8"/>
      <c r="H432" s="7"/>
      <c r="I432" s="8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80"/>
      <c r="B433" s="7"/>
      <c r="C433" s="7"/>
      <c r="D433" s="116"/>
      <c r="E433" s="116"/>
      <c r="F433" s="8"/>
      <c r="G433" s="8"/>
      <c r="H433" s="7"/>
      <c r="I433" s="8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80"/>
      <c r="B434" s="7"/>
      <c r="C434" s="7"/>
      <c r="D434" s="116"/>
      <c r="E434" s="116"/>
      <c r="F434" s="8"/>
      <c r="G434" s="8"/>
      <c r="H434" s="7"/>
      <c r="I434" s="8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80"/>
      <c r="B435" s="7"/>
      <c r="C435" s="7"/>
      <c r="D435" s="116"/>
      <c r="E435" s="116"/>
      <c r="F435" s="8"/>
      <c r="G435" s="8"/>
      <c r="H435" s="7"/>
      <c r="I435" s="8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80"/>
      <c r="B436" s="7"/>
      <c r="C436" s="7"/>
      <c r="D436" s="116"/>
      <c r="E436" s="116"/>
      <c r="F436" s="8"/>
      <c r="G436" s="8"/>
      <c r="H436" s="7"/>
      <c r="I436" s="8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80"/>
      <c r="B437" s="7"/>
      <c r="C437" s="7"/>
      <c r="D437" s="116"/>
      <c r="E437" s="116"/>
      <c r="F437" s="8"/>
      <c r="G437" s="8"/>
      <c r="H437" s="7"/>
      <c r="I437" s="8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80"/>
      <c r="B438" s="7"/>
      <c r="C438" s="7"/>
      <c r="D438" s="116"/>
      <c r="E438" s="116"/>
      <c r="F438" s="8"/>
      <c r="G438" s="8"/>
      <c r="H438" s="7"/>
      <c r="I438" s="8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80"/>
      <c r="B439" s="7"/>
      <c r="C439" s="7"/>
      <c r="D439" s="116"/>
      <c r="E439" s="116"/>
      <c r="F439" s="8"/>
      <c r="G439" s="8"/>
      <c r="H439" s="7"/>
      <c r="I439" s="8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80"/>
      <c r="B440" s="7"/>
      <c r="C440" s="7"/>
      <c r="D440" s="116"/>
      <c r="E440" s="116"/>
      <c r="F440" s="8"/>
      <c r="G440" s="8"/>
      <c r="H440" s="7"/>
      <c r="I440" s="8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80"/>
      <c r="B441" s="7"/>
      <c r="C441" s="7"/>
      <c r="D441" s="116"/>
      <c r="E441" s="116"/>
      <c r="F441" s="8"/>
      <c r="G441" s="8"/>
      <c r="H441" s="7"/>
      <c r="I441" s="8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80"/>
      <c r="B442" s="7"/>
      <c r="C442" s="7"/>
      <c r="D442" s="116"/>
      <c r="E442" s="116"/>
      <c r="F442" s="8"/>
      <c r="G442" s="8"/>
      <c r="H442" s="7"/>
      <c r="I442" s="8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80"/>
      <c r="B443" s="7"/>
      <c r="C443" s="7"/>
      <c r="D443" s="116"/>
      <c r="E443" s="116"/>
      <c r="F443" s="8"/>
      <c r="G443" s="8"/>
      <c r="H443" s="7"/>
      <c r="I443" s="8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80"/>
      <c r="B444" s="7"/>
      <c r="C444" s="7"/>
      <c r="D444" s="116"/>
      <c r="E444" s="116"/>
      <c r="F444" s="8"/>
      <c r="G444" s="8"/>
      <c r="H444" s="7"/>
      <c r="I444" s="8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80"/>
      <c r="B445" s="7"/>
      <c r="C445" s="7"/>
      <c r="D445" s="116"/>
      <c r="E445" s="116"/>
      <c r="F445" s="8"/>
      <c r="G445" s="8"/>
      <c r="H445" s="7"/>
      <c r="I445" s="8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80"/>
      <c r="B446" s="7"/>
      <c r="C446" s="7"/>
      <c r="D446" s="116"/>
      <c r="E446" s="116"/>
      <c r="F446" s="8"/>
      <c r="G446" s="8"/>
      <c r="H446" s="7"/>
      <c r="I446" s="8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80"/>
      <c r="B447" s="7"/>
      <c r="C447" s="7"/>
      <c r="D447" s="116"/>
      <c r="E447" s="116"/>
      <c r="F447" s="8"/>
      <c r="G447" s="8"/>
      <c r="H447" s="7"/>
      <c r="I447" s="8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80"/>
      <c r="B448" s="7"/>
      <c r="C448" s="7"/>
      <c r="D448" s="116"/>
      <c r="E448" s="116"/>
      <c r="F448" s="8"/>
      <c r="G448" s="8"/>
      <c r="H448" s="7"/>
      <c r="I448" s="8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80"/>
      <c r="B449" s="7"/>
      <c r="C449" s="7"/>
      <c r="D449" s="116"/>
      <c r="E449" s="116"/>
      <c r="F449" s="8"/>
      <c r="G449" s="8"/>
      <c r="H449" s="7"/>
      <c r="I449" s="8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80"/>
      <c r="B450" s="7"/>
      <c r="C450" s="7"/>
      <c r="D450" s="116"/>
      <c r="E450" s="116"/>
      <c r="F450" s="8"/>
      <c r="G450" s="8"/>
      <c r="H450" s="7"/>
      <c r="I450" s="8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80"/>
      <c r="B451" s="7"/>
      <c r="C451" s="7"/>
      <c r="D451" s="116"/>
      <c r="E451" s="116"/>
      <c r="F451" s="8"/>
      <c r="G451" s="8"/>
      <c r="H451" s="7"/>
      <c r="I451" s="8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80"/>
      <c r="B452" s="7"/>
      <c r="C452" s="7"/>
      <c r="D452" s="116"/>
      <c r="E452" s="116"/>
      <c r="F452" s="8"/>
      <c r="G452" s="8"/>
      <c r="H452" s="7"/>
      <c r="I452" s="8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80"/>
      <c r="B453" s="7"/>
      <c r="C453" s="7"/>
      <c r="D453" s="116"/>
      <c r="E453" s="116"/>
      <c r="F453" s="8"/>
      <c r="G453" s="8"/>
      <c r="H453" s="7"/>
      <c r="I453" s="8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80"/>
      <c r="B454" s="7"/>
      <c r="C454" s="7"/>
      <c r="D454" s="116"/>
      <c r="E454" s="116"/>
      <c r="F454" s="8"/>
      <c r="G454" s="8"/>
      <c r="H454" s="7"/>
      <c r="I454" s="8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80"/>
      <c r="B455" s="7"/>
      <c r="C455" s="7"/>
      <c r="D455" s="116"/>
      <c r="E455" s="116"/>
      <c r="F455" s="8"/>
      <c r="G455" s="8"/>
      <c r="H455" s="7"/>
      <c r="I455" s="8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80"/>
      <c r="B456" s="7"/>
      <c r="C456" s="7"/>
      <c r="D456" s="116"/>
      <c r="E456" s="116"/>
      <c r="F456" s="8"/>
      <c r="G456" s="8"/>
      <c r="H456" s="7"/>
      <c r="I456" s="8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80"/>
      <c r="B457" s="7"/>
      <c r="C457" s="7"/>
      <c r="D457" s="116"/>
      <c r="E457" s="116"/>
      <c r="F457" s="8"/>
      <c r="G457" s="8"/>
      <c r="H457" s="7"/>
      <c r="I457" s="8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80"/>
      <c r="B458" s="7"/>
      <c r="C458" s="7"/>
      <c r="D458" s="116"/>
      <c r="E458" s="116"/>
      <c r="F458" s="8"/>
      <c r="G458" s="8"/>
      <c r="H458" s="7"/>
      <c r="I458" s="8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80"/>
      <c r="B459" s="7"/>
      <c r="C459" s="7"/>
      <c r="D459" s="116"/>
      <c r="E459" s="116"/>
      <c r="F459" s="8"/>
      <c r="G459" s="8"/>
      <c r="H459" s="7"/>
      <c r="I459" s="8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80"/>
      <c r="B460" s="7"/>
      <c r="C460" s="7"/>
      <c r="D460" s="116"/>
      <c r="E460" s="116"/>
      <c r="F460" s="8"/>
      <c r="G460" s="8"/>
      <c r="H460" s="7"/>
      <c r="I460" s="8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80"/>
      <c r="B461" s="7"/>
      <c r="C461" s="7"/>
      <c r="D461" s="116"/>
      <c r="E461" s="116"/>
      <c r="F461" s="8"/>
      <c r="G461" s="8"/>
      <c r="H461" s="7"/>
      <c r="I461" s="8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80"/>
      <c r="B462" s="7"/>
      <c r="C462" s="7"/>
      <c r="D462" s="116"/>
      <c r="E462" s="116"/>
      <c r="F462" s="8"/>
      <c r="G462" s="8"/>
      <c r="H462" s="7"/>
      <c r="I462" s="8"/>
      <c r="J462" s="8"/>
      <c r="K462" s="80"/>
      <c r="L462" s="80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80"/>
      <c r="B463" s="7"/>
      <c r="C463" s="7"/>
      <c r="D463" s="116"/>
      <c r="E463" s="116"/>
      <c r="F463" s="8"/>
      <c r="G463" s="8"/>
      <c r="H463" s="7"/>
      <c r="I463" s="8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80"/>
      <c r="B464" s="7"/>
      <c r="C464" s="7"/>
      <c r="D464" s="116"/>
      <c r="E464" s="116"/>
      <c r="F464" s="8"/>
      <c r="G464" s="8"/>
      <c r="H464" s="7"/>
      <c r="I464" s="8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80"/>
      <c r="B465" s="7"/>
      <c r="C465" s="7"/>
      <c r="D465" s="116"/>
      <c r="E465" s="116"/>
      <c r="F465" s="8"/>
      <c r="G465" s="8"/>
      <c r="H465" s="7"/>
      <c r="I465" s="8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80"/>
      <c r="B466" s="7"/>
      <c r="C466" s="7"/>
      <c r="D466" s="116"/>
      <c r="E466" s="116"/>
      <c r="F466" s="8"/>
      <c r="G466" s="8"/>
      <c r="H466" s="7"/>
      <c r="I466" s="8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80"/>
      <c r="B467" s="7"/>
      <c r="C467" s="7"/>
      <c r="D467" s="116"/>
      <c r="E467" s="116"/>
      <c r="F467" s="8"/>
      <c r="G467" s="8"/>
      <c r="H467" s="7"/>
      <c r="I467" s="8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80"/>
      <c r="B468" s="7"/>
      <c r="C468" s="7"/>
      <c r="D468" s="116"/>
      <c r="E468" s="116"/>
      <c r="F468" s="8"/>
      <c r="G468" s="8"/>
      <c r="H468" s="7"/>
      <c r="I468" s="8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80"/>
      <c r="B469" s="7"/>
      <c r="C469" s="7"/>
      <c r="D469" s="116"/>
      <c r="E469" s="116"/>
      <c r="F469" s="8"/>
      <c r="G469" s="8"/>
      <c r="H469" s="7"/>
      <c r="I469" s="8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80"/>
      <c r="B470" s="7"/>
      <c r="C470" s="7"/>
      <c r="D470" s="116"/>
      <c r="E470" s="116"/>
      <c r="F470" s="8"/>
      <c r="G470" s="8"/>
      <c r="H470" s="7"/>
      <c r="I470" s="8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80"/>
      <c r="B471" s="7"/>
      <c r="C471" s="7"/>
      <c r="D471" s="116"/>
      <c r="E471" s="116"/>
      <c r="F471" s="8"/>
      <c r="G471" s="8"/>
      <c r="H471" s="7"/>
      <c r="I471" s="8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80"/>
      <c r="B472" s="7"/>
      <c r="C472" s="7"/>
      <c r="D472" s="116"/>
      <c r="E472" s="116"/>
      <c r="F472" s="8"/>
      <c r="G472" s="8"/>
      <c r="H472" s="7"/>
      <c r="I472" s="8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80"/>
      <c r="B473" s="7"/>
      <c r="C473" s="7"/>
      <c r="D473" s="116"/>
      <c r="E473" s="116"/>
      <c r="F473" s="8"/>
      <c r="G473" s="8"/>
      <c r="H473" s="7"/>
      <c r="I473" s="8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80"/>
      <c r="B474" s="7"/>
      <c r="C474" s="7"/>
      <c r="D474" s="116"/>
      <c r="E474" s="116"/>
      <c r="F474" s="8"/>
      <c r="G474" s="8"/>
      <c r="H474" s="7"/>
      <c r="I474" s="8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80"/>
      <c r="B475" s="7"/>
      <c r="C475" s="7"/>
      <c r="D475" s="116"/>
      <c r="E475" s="116"/>
      <c r="F475" s="8"/>
      <c r="G475" s="8"/>
      <c r="H475" s="7"/>
      <c r="I475" s="8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80"/>
      <c r="B476" s="7"/>
      <c r="C476" s="7"/>
      <c r="D476" s="116"/>
      <c r="E476" s="116"/>
      <c r="F476" s="8"/>
      <c r="G476" s="8"/>
      <c r="H476" s="7"/>
      <c r="I476" s="8"/>
      <c r="J476" s="8"/>
      <c r="K476" s="7"/>
      <c r="L476" s="7"/>
      <c r="M476" s="7"/>
      <c r="N476" s="7"/>
      <c r="O476" s="7"/>
      <c r="P476" s="7"/>
      <c r="Q476" s="137"/>
      <c r="R476" s="7"/>
      <c r="S476" s="7"/>
      <c r="T476" s="7"/>
      <c r="U476" s="7"/>
      <c r="V476" s="7"/>
    </row>
    <row r="477">
      <c r="A477" s="80"/>
      <c r="B477" s="7"/>
      <c r="C477" s="7"/>
      <c r="D477" s="116"/>
      <c r="E477" s="116"/>
      <c r="F477" s="8"/>
      <c r="G477" s="8"/>
      <c r="H477" s="7"/>
      <c r="I477" s="8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80"/>
      <c r="B478" s="7"/>
      <c r="C478" s="7"/>
      <c r="D478" s="116"/>
      <c r="E478" s="116"/>
      <c r="F478" s="8"/>
      <c r="G478" s="8"/>
      <c r="H478" s="7"/>
      <c r="I478" s="8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80"/>
      <c r="B479" s="7"/>
      <c r="C479" s="7"/>
      <c r="D479" s="116"/>
      <c r="E479" s="116"/>
      <c r="F479" s="8"/>
      <c r="G479" s="8"/>
      <c r="H479" s="7"/>
      <c r="I479" s="8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80"/>
      <c r="B480" s="7"/>
      <c r="C480" s="7"/>
      <c r="D480" s="116"/>
      <c r="E480" s="116"/>
      <c r="F480" s="8"/>
      <c r="G480" s="8"/>
      <c r="H480" s="7"/>
      <c r="I480" s="8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80"/>
      <c r="B481" s="7"/>
      <c r="C481" s="7"/>
      <c r="D481" s="116"/>
      <c r="E481" s="116"/>
      <c r="F481" s="8"/>
      <c r="G481" s="8"/>
      <c r="H481" s="7"/>
      <c r="I481" s="8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80"/>
      <c r="B482" s="7"/>
      <c r="C482" s="7"/>
      <c r="D482" s="116"/>
      <c r="E482" s="116"/>
      <c r="F482" s="8"/>
      <c r="G482" s="8"/>
      <c r="H482" s="7"/>
      <c r="I482" s="8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80"/>
      <c r="B483" s="7"/>
      <c r="C483" s="7"/>
      <c r="D483" s="116"/>
      <c r="E483" s="116"/>
      <c r="F483" s="8"/>
      <c r="G483" s="8"/>
      <c r="H483" s="7"/>
      <c r="I483" s="8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80"/>
      <c r="B484" s="7"/>
      <c r="C484" s="7"/>
      <c r="D484" s="116"/>
      <c r="E484" s="116"/>
      <c r="F484" s="8"/>
      <c r="G484" s="8"/>
      <c r="H484" s="7"/>
      <c r="I484" s="8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80"/>
      <c r="B485" s="7"/>
      <c r="C485" s="7"/>
      <c r="D485" s="116"/>
      <c r="E485" s="116"/>
      <c r="F485" s="8"/>
      <c r="G485" s="8"/>
      <c r="H485" s="7"/>
      <c r="I485" s="8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80"/>
      <c r="B486" s="7"/>
      <c r="C486" s="7"/>
      <c r="D486" s="116"/>
      <c r="E486" s="116"/>
      <c r="F486" s="8"/>
      <c r="G486" s="8"/>
      <c r="H486" s="7"/>
      <c r="I486" s="8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80"/>
      <c r="B487" s="7"/>
      <c r="C487" s="7"/>
      <c r="D487" s="116"/>
      <c r="E487" s="116"/>
      <c r="F487" s="8"/>
      <c r="G487" s="8"/>
      <c r="H487" s="7"/>
      <c r="I487" s="8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80"/>
      <c r="B488" s="7"/>
      <c r="C488" s="7"/>
      <c r="D488" s="116"/>
      <c r="E488" s="116"/>
      <c r="F488" s="8"/>
      <c r="G488" s="8"/>
      <c r="H488" s="7"/>
      <c r="I488" s="8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80"/>
      <c r="B489" s="7"/>
      <c r="C489" s="7"/>
      <c r="D489" s="116"/>
      <c r="E489" s="116"/>
      <c r="F489" s="8"/>
      <c r="G489" s="8"/>
      <c r="H489" s="7"/>
      <c r="I489" s="8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80"/>
      <c r="B490" s="7"/>
      <c r="C490" s="7"/>
      <c r="D490" s="116"/>
      <c r="E490" s="116"/>
      <c r="F490" s="8"/>
      <c r="G490" s="8"/>
      <c r="H490" s="7"/>
      <c r="I490" s="8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80"/>
      <c r="B491" s="7"/>
      <c r="C491" s="7"/>
      <c r="D491" s="116"/>
      <c r="E491" s="116"/>
      <c r="F491" s="8"/>
      <c r="G491" s="8"/>
      <c r="H491" s="7"/>
      <c r="I491" s="8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80"/>
      <c r="B492" s="7"/>
      <c r="C492" s="7"/>
      <c r="D492" s="116"/>
      <c r="E492" s="116"/>
      <c r="F492" s="8"/>
      <c r="G492" s="8"/>
      <c r="H492" s="7"/>
      <c r="I492" s="8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80"/>
      <c r="B493" s="7"/>
      <c r="C493" s="7"/>
      <c r="D493" s="116"/>
      <c r="E493" s="116"/>
      <c r="F493" s="8"/>
      <c r="G493" s="8"/>
      <c r="H493" s="7"/>
      <c r="I493" s="8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80"/>
      <c r="B494" s="7"/>
      <c r="C494" s="7"/>
      <c r="D494" s="116"/>
      <c r="E494" s="116"/>
      <c r="F494" s="8"/>
      <c r="G494" s="8"/>
      <c r="H494" s="7"/>
      <c r="I494" s="8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80"/>
      <c r="B495" s="7"/>
      <c r="C495" s="7"/>
      <c r="D495" s="116"/>
      <c r="E495" s="116"/>
      <c r="F495" s="8"/>
      <c r="G495" s="8"/>
      <c r="H495" s="7"/>
      <c r="I495" s="8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80"/>
      <c r="B496" s="7"/>
      <c r="C496" s="7"/>
      <c r="D496" s="116"/>
      <c r="E496" s="116"/>
      <c r="F496" s="8"/>
      <c r="G496" s="8"/>
      <c r="H496" s="7"/>
      <c r="I496" s="8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80"/>
      <c r="B497" s="7"/>
      <c r="C497" s="7"/>
      <c r="D497" s="116"/>
      <c r="E497" s="116"/>
      <c r="F497" s="8"/>
      <c r="G497" s="8"/>
      <c r="H497" s="7"/>
      <c r="I497" s="8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80"/>
      <c r="B498" s="7"/>
      <c r="C498" s="7"/>
      <c r="D498" s="116"/>
      <c r="E498" s="116"/>
      <c r="F498" s="8"/>
      <c r="G498" s="8"/>
      <c r="H498" s="7"/>
      <c r="I498" s="8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80"/>
      <c r="B499" s="7"/>
      <c r="C499" s="7"/>
      <c r="D499" s="116"/>
      <c r="E499" s="116"/>
      <c r="F499" s="8"/>
      <c r="G499" s="8"/>
      <c r="H499" s="7"/>
      <c r="I499" s="8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80"/>
      <c r="B500" s="7"/>
      <c r="C500" s="7"/>
      <c r="D500" s="116"/>
      <c r="E500" s="116"/>
      <c r="F500" s="8"/>
      <c r="G500" s="8"/>
      <c r="H500" s="7"/>
      <c r="I500" s="8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80"/>
      <c r="B501" s="7"/>
      <c r="C501" s="7"/>
      <c r="D501" s="116"/>
      <c r="E501" s="116"/>
      <c r="F501" s="8"/>
      <c r="G501" s="8"/>
      <c r="H501" s="7"/>
      <c r="I501" s="8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80"/>
      <c r="B502" s="7"/>
      <c r="C502" s="7"/>
      <c r="D502" s="116"/>
      <c r="E502" s="116"/>
      <c r="F502" s="8"/>
      <c r="G502" s="8"/>
      <c r="H502" s="7"/>
      <c r="I502" s="8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80"/>
      <c r="B503" s="7"/>
      <c r="C503" s="7"/>
      <c r="D503" s="116"/>
      <c r="E503" s="116"/>
      <c r="F503" s="8"/>
      <c r="G503" s="8"/>
      <c r="H503" s="7"/>
      <c r="I503" s="8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80"/>
      <c r="B504" s="7"/>
      <c r="C504" s="7"/>
      <c r="D504" s="116"/>
      <c r="E504" s="116"/>
      <c r="F504" s="8"/>
      <c r="G504" s="8"/>
      <c r="H504" s="7"/>
      <c r="I504" s="8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80"/>
      <c r="B505" s="7"/>
      <c r="C505" s="7"/>
      <c r="D505" s="116"/>
      <c r="E505" s="116"/>
      <c r="F505" s="8"/>
      <c r="G505" s="8"/>
      <c r="H505" s="7"/>
      <c r="I505" s="8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80"/>
      <c r="B506" s="7"/>
      <c r="C506" s="7"/>
      <c r="D506" s="116"/>
      <c r="E506" s="116"/>
      <c r="F506" s="8"/>
      <c r="G506" s="8"/>
      <c r="H506" s="7"/>
      <c r="I506" s="8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80"/>
      <c r="B507" s="7"/>
      <c r="C507" s="7"/>
      <c r="D507" s="116"/>
      <c r="E507" s="116"/>
      <c r="F507" s="8"/>
      <c r="G507" s="8"/>
      <c r="H507" s="7"/>
      <c r="I507" s="8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80"/>
      <c r="B508" s="7"/>
      <c r="C508" s="7"/>
      <c r="D508" s="116"/>
      <c r="E508" s="116"/>
      <c r="F508" s="8"/>
      <c r="G508" s="8"/>
      <c r="H508" s="7"/>
      <c r="I508" s="8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80"/>
      <c r="B509" s="7"/>
      <c r="C509" s="7"/>
      <c r="D509" s="116"/>
      <c r="E509" s="116"/>
      <c r="F509" s="8"/>
      <c r="G509" s="8"/>
      <c r="H509" s="7"/>
      <c r="I509" s="8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80"/>
      <c r="B510" s="7"/>
      <c r="C510" s="7"/>
      <c r="D510" s="116"/>
      <c r="E510" s="116"/>
      <c r="F510" s="8"/>
      <c r="G510" s="8"/>
      <c r="H510" s="7"/>
      <c r="I510" s="8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80"/>
      <c r="B511" s="7"/>
      <c r="C511" s="7"/>
      <c r="D511" s="116"/>
      <c r="E511" s="116"/>
      <c r="F511" s="8"/>
      <c r="G511" s="8"/>
      <c r="H511" s="7"/>
      <c r="I511" s="8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80"/>
      <c r="B512" s="7"/>
      <c r="C512" s="7"/>
      <c r="D512" s="116"/>
      <c r="E512" s="116"/>
      <c r="F512" s="8"/>
      <c r="G512" s="8"/>
      <c r="H512" s="7"/>
      <c r="I512" s="8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80"/>
      <c r="B513" s="7"/>
      <c r="C513" s="7"/>
      <c r="D513" s="116"/>
      <c r="E513" s="116"/>
      <c r="F513" s="8"/>
      <c r="G513" s="8"/>
      <c r="H513" s="7"/>
      <c r="I513" s="8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80"/>
      <c r="B514" s="7"/>
      <c r="C514" s="7"/>
      <c r="D514" s="116"/>
      <c r="E514" s="116"/>
      <c r="F514" s="8"/>
      <c r="G514" s="8"/>
      <c r="H514" s="7"/>
      <c r="I514" s="8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80"/>
      <c r="B515" s="7"/>
      <c r="C515" s="7"/>
      <c r="D515" s="116"/>
      <c r="E515" s="116"/>
      <c r="F515" s="8"/>
      <c r="G515" s="8"/>
      <c r="H515" s="7"/>
      <c r="I515" s="8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80"/>
      <c r="B516" s="7"/>
      <c r="C516" s="7"/>
      <c r="D516" s="116"/>
      <c r="E516" s="116"/>
      <c r="F516" s="8"/>
      <c r="G516" s="8"/>
      <c r="H516" s="7"/>
      <c r="I516" s="8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80"/>
      <c r="B517" s="7"/>
      <c r="C517" s="7"/>
      <c r="D517" s="116"/>
      <c r="E517" s="116"/>
      <c r="F517" s="8"/>
      <c r="G517" s="8"/>
      <c r="H517" s="7"/>
      <c r="I517" s="8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80"/>
      <c r="B518" s="7"/>
      <c r="C518" s="7"/>
      <c r="D518" s="116"/>
      <c r="E518" s="116"/>
      <c r="F518" s="8"/>
      <c r="G518" s="8"/>
      <c r="H518" s="7"/>
      <c r="I518" s="8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80"/>
      <c r="B519" s="7"/>
      <c r="C519" s="7"/>
      <c r="D519" s="116"/>
      <c r="E519" s="116"/>
      <c r="F519" s="8"/>
      <c r="G519" s="8"/>
      <c r="H519" s="7"/>
      <c r="I519" s="8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80"/>
      <c r="B520" s="7"/>
      <c r="C520" s="7"/>
      <c r="D520" s="116"/>
      <c r="E520" s="116"/>
      <c r="F520" s="8"/>
      <c r="G520" s="8"/>
      <c r="H520" s="7"/>
      <c r="I520" s="8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80"/>
      <c r="B521" s="7"/>
      <c r="C521" s="7"/>
      <c r="D521" s="116"/>
      <c r="E521" s="116"/>
      <c r="F521" s="8"/>
      <c r="G521" s="8"/>
      <c r="H521" s="7"/>
      <c r="I521" s="8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80"/>
      <c r="B522" s="7"/>
      <c r="C522" s="7"/>
      <c r="D522" s="116"/>
      <c r="E522" s="116"/>
      <c r="F522" s="8"/>
      <c r="G522" s="8"/>
      <c r="H522" s="7"/>
      <c r="I522" s="8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80"/>
      <c r="B523" s="7"/>
      <c r="C523" s="7"/>
      <c r="D523" s="116"/>
      <c r="E523" s="116"/>
      <c r="F523" s="8"/>
      <c r="G523" s="8"/>
      <c r="H523" s="7"/>
      <c r="I523" s="8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80"/>
      <c r="B524" s="7"/>
      <c r="C524" s="7"/>
      <c r="D524" s="116"/>
      <c r="E524" s="116"/>
      <c r="F524" s="8"/>
      <c r="G524" s="8"/>
      <c r="H524" s="7"/>
      <c r="I524" s="8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80"/>
      <c r="B525" s="7"/>
      <c r="C525" s="7"/>
      <c r="D525" s="116"/>
      <c r="E525" s="116"/>
      <c r="F525" s="8"/>
      <c r="G525" s="8"/>
      <c r="H525" s="7"/>
      <c r="I525" s="8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80"/>
      <c r="B526" s="7"/>
      <c r="C526" s="7"/>
      <c r="D526" s="116"/>
      <c r="E526" s="116"/>
      <c r="F526" s="8"/>
      <c r="G526" s="8"/>
      <c r="H526" s="7"/>
      <c r="I526" s="8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80"/>
      <c r="B527" s="7"/>
      <c r="C527" s="7"/>
      <c r="D527" s="116"/>
      <c r="E527" s="116"/>
      <c r="F527" s="8"/>
      <c r="G527" s="8"/>
      <c r="H527" s="7"/>
      <c r="I527" s="8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80"/>
      <c r="B528" s="7"/>
      <c r="C528" s="7"/>
      <c r="D528" s="116"/>
      <c r="E528" s="116"/>
      <c r="F528" s="8"/>
      <c r="G528" s="8"/>
      <c r="H528" s="7"/>
      <c r="I528" s="8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80"/>
      <c r="B529" s="7"/>
      <c r="C529" s="7"/>
      <c r="D529" s="116"/>
      <c r="E529" s="116"/>
      <c r="F529" s="8"/>
      <c r="G529" s="8"/>
      <c r="H529" s="7"/>
      <c r="I529" s="8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80"/>
      <c r="B530" s="7"/>
      <c r="C530" s="7"/>
      <c r="D530" s="116"/>
      <c r="E530" s="116"/>
      <c r="F530" s="8"/>
      <c r="G530" s="8"/>
      <c r="H530" s="7"/>
      <c r="I530" s="8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80"/>
      <c r="B531" s="7"/>
      <c r="C531" s="7"/>
      <c r="D531" s="116"/>
      <c r="E531" s="116"/>
      <c r="F531" s="8"/>
      <c r="G531" s="8"/>
      <c r="H531" s="7"/>
      <c r="I531" s="8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80"/>
      <c r="B532" s="7"/>
      <c r="C532" s="7"/>
      <c r="D532" s="116"/>
      <c r="E532" s="116"/>
      <c r="F532" s="8"/>
      <c r="G532" s="8"/>
      <c r="H532" s="7"/>
      <c r="I532" s="8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80"/>
      <c r="B533" s="7"/>
      <c r="C533" s="7"/>
      <c r="D533" s="116"/>
      <c r="E533" s="116"/>
      <c r="F533" s="8"/>
      <c r="G533" s="8"/>
      <c r="H533" s="7"/>
      <c r="I533" s="8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80"/>
      <c r="B534" s="7"/>
      <c r="C534" s="7"/>
      <c r="D534" s="116"/>
      <c r="E534" s="116"/>
      <c r="F534" s="8"/>
      <c r="G534" s="8"/>
      <c r="H534" s="7"/>
      <c r="I534" s="8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80"/>
      <c r="B535" s="7"/>
      <c r="C535" s="7"/>
      <c r="D535" s="116"/>
      <c r="E535" s="116"/>
      <c r="F535" s="8"/>
      <c r="G535" s="8"/>
      <c r="H535" s="7"/>
      <c r="I535" s="8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80"/>
      <c r="B536" s="7"/>
      <c r="C536" s="7"/>
      <c r="D536" s="116"/>
      <c r="E536" s="116"/>
      <c r="F536" s="8"/>
      <c r="G536" s="8"/>
      <c r="H536" s="7"/>
      <c r="I536" s="8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80"/>
      <c r="B537" s="7"/>
      <c r="C537" s="7"/>
      <c r="D537" s="116"/>
      <c r="E537" s="116"/>
      <c r="F537" s="8"/>
      <c r="G537" s="8"/>
      <c r="H537" s="7"/>
      <c r="I537" s="8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80"/>
      <c r="B538" s="7"/>
      <c r="C538" s="7"/>
      <c r="D538" s="116"/>
      <c r="E538" s="116"/>
      <c r="F538" s="8"/>
      <c r="G538" s="8"/>
      <c r="H538" s="7"/>
      <c r="I538" s="8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80"/>
      <c r="B539" s="7"/>
      <c r="C539" s="7"/>
      <c r="D539" s="116"/>
      <c r="E539" s="116"/>
      <c r="F539" s="8"/>
      <c r="G539" s="8"/>
      <c r="H539" s="7"/>
      <c r="I539" s="8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80"/>
      <c r="B540" s="7"/>
      <c r="C540" s="7"/>
      <c r="D540" s="116"/>
      <c r="E540" s="116"/>
      <c r="F540" s="8"/>
      <c r="G540" s="8"/>
      <c r="H540" s="7"/>
      <c r="I540" s="8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80"/>
      <c r="B541" s="7"/>
      <c r="C541" s="7"/>
      <c r="D541" s="116"/>
      <c r="E541" s="116"/>
      <c r="F541" s="8"/>
      <c r="G541" s="8"/>
      <c r="H541" s="7"/>
      <c r="I541" s="8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80"/>
      <c r="B542" s="7"/>
      <c r="C542" s="7"/>
      <c r="D542" s="116"/>
      <c r="E542" s="116"/>
      <c r="F542" s="8"/>
      <c r="G542" s="8"/>
      <c r="H542" s="7"/>
      <c r="I542" s="8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80"/>
      <c r="B543" s="7"/>
      <c r="C543" s="7"/>
      <c r="D543" s="116"/>
      <c r="E543" s="116"/>
      <c r="F543" s="8"/>
      <c r="G543" s="8"/>
      <c r="H543" s="7"/>
      <c r="I543" s="8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80"/>
      <c r="B544" s="7"/>
      <c r="C544" s="7"/>
      <c r="D544" s="116"/>
      <c r="E544" s="116"/>
      <c r="F544" s="8"/>
      <c r="G544" s="8"/>
      <c r="H544" s="7"/>
      <c r="I544" s="8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80"/>
      <c r="B545" s="7"/>
      <c r="C545" s="7"/>
      <c r="D545" s="116"/>
      <c r="E545" s="116"/>
      <c r="F545" s="8"/>
      <c r="G545" s="8"/>
      <c r="H545" s="7"/>
      <c r="I545" s="8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80"/>
      <c r="B546" s="7"/>
      <c r="C546" s="7"/>
      <c r="D546" s="116"/>
      <c r="E546" s="116"/>
      <c r="F546" s="8"/>
      <c r="G546" s="8"/>
      <c r="H546" s="7"/>
      <c r="I546" s="8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80"/>
      <c r="B547" s="7"/>
      <c r="C547" s="7"/>
      <c r="D547" s="116"/>
      <c r="E547" s="116"/>
      <c r="F547" s="8"/>
      <c r="G547" s="8"/>
      <c r="H547" s="7"/>
      <c r="I547" s="8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80"/>
      <c r="B548" s="7"/>
      <c r="C548" s="7"/>
      <c r="D548" s="116"/>
      <c r="E548" s="116"/>
      <c r="F548" s="8"/>
      <c r="G548" s="8"/>
      <c r="H548" s="7"/>
      <c r="I548" s="8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80"/>
      <c r="B549" s="7"/>
      <c r="C549" s="7"/>
      <c r="D549" s="116"/>
      <c r="E549" s="116"/>
      <c r="F549" s="8"/>
      <c r="G549" s="8"/>
      <c r="H549" s="7"/>
      <c r="I549" s="8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80"/>
      <c r="B550" s="7"/>
      <c r="C550" s="7"/>
      <c r="D550" s="116"/>
      <c r="E550" s="116"/>
      <c r="F550" s="8"/>
      <c r="G550" s="8"/>
      <c r="H550" s="7"/>
      <c r="I550" s="8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80"/>
      <c r="B551" s="7"/>
      <c r="C551" s="7"/>
      <c r="D551" s="116"/>
      <c r="E551" s="116"/>
      <c r="F551" s="8"/>
      <c r="G551" s="8"/>
      <c r="H551" s="7"/>
      <c r="I551" s="8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80"/>
      <c r="B552" s="7"/>
      <c r="C552" s="7"/>
      <c r="D552" s="116"/>
      <c r="E552" s="116"/>
      <c r="F552" s="8"/>
      <c r="G552" s="8"/>
      <c r="H552" s="7"/>
      <c r="I552" s="8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80"/>
      <c r="B553" s="7"/>
      <c r="C553" s="7"/>
      <c r="D553" s="116"/>
      <c r="E553" s="116"/>
      <c r="F553" s="8"/>
      <c r="G553" s="8"/>
      <c r="H553" s="7"/>
      <c r="I553" s="8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80"/>
      <c r="B554" s="7"/>
      <c r="C554" s="7"/>
      <c r="D554" s="116"/>
      <c r="E554" s="116"/>
      <c r="F554" s="8"/>
      <c r="G554" s="8"/>
      <c r="H554" s="7"/>
      <c r="I554" s="8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80"/>
      <c r="B555" s="7"/>
      <c r="C555" s="7"/>
      <c r="D555" s="116"/>
      <c r="E555" s="116"/>
      <c r="F555" s="8"/>
      <c r="G555" s="8"/>
      <c r="H555" s="7"/>
      <c r="I555" s="8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80"/>
      <c r="B556" s="7"/>
      <c r="C556" s="7"/>
      <c r="D556" s="116"/>
      <c r="E556" s="116"/>
      <c r="F556" s="8"/>
      <c r="G556" s="8"/>
      <c r="H556" s="7"/>
      <c r="I556" s="8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80"/>
      <c r="B557" s="7"/>
      <c r="C557" s="7"/>
      <c r="D557" s="116"/>
      <c r="E557" s="116"/>
      <c r="F557" s="8"/>
      <c r="G557" s="8"/>
      <c r="H557" s="7"/>
      <c r="I557" s="8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80"/>
      <c r="B558" s="7"/>
      <c r="C558" s="7"/>
      <c r="D558" s="116"/>
      <c r="E558" s="116"/>
      <c r="F558" s="8"/>
      <c r="G558" s="8"/>
      <c r="H558" s="7"/>
      <c r="I558" s="8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80"/>
      <c r="B559" s="7"/>
      <c r="C559" s="7"/>
      <c r="D559" s="116"/>
      <c r="E559" s="116"/>
      <c r="F559" s="8"/>
      <c r="G559" s="8"/>
      <c r="H559" s="7"/>
      <c r="I559" s="8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80"/>
      <c r="B560" s="7"/>
      <c r="C560" s="7"/>
      <c r="D560" s="116"/>
      <c r="E560" s="116"/>
      <c r="F560" s="8"/>
      <c r="G560" s="8"/>
      <c r="H560" s="7"/>
      <c r="I560" s="8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80"/>
      <c r="B561" s="7"/>
      <c r="C561" s="7"/>
      <c r="D561" s="116"/>
      <c r="E561" s="116"/>
      <c r="F561" s="8"/>
      <c r="G561" s="8"/>
      <c r="H561" s="7"/>
      <c r="I561" s="8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80"/>
      <c r="B562" s="7"/>
      <c r="C562" s="7"/>
      <c r="D562" s="116"/>
      <c r="E562" s="116"/>
      <c r="F562" s="8"/>
      <c r="G562" s="8"/>
      <c r="H562" s="7"/>
      <c r="I562" s="8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80"/>
      <c r="B563" s="7"/>
      <c r="C563" s="7"/>
      <c r="D563" s="116"/>
      <c r="E563" s="116"/>
      <c r="F563" s="8"/>
      <c r="G563" s="8"/>
      <c r="H563" s="7"/>
      <c r="I563" s="8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80"/>
      <c r="B564" s="7"/>
      <c r="C564" s="7"/>
      <c r="D564" s="116"/>
      <c r="E564" s="116"/>
      <c r="F564" s="8"/>
      <c r="G564" s="8"/>
      <c r="H564" s="7"/>
      <c r="I564" s="8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80"/>
      <c r="B565" s="7"/>
      <c r="C565" s="7"/>
      <c r="D565" s="116"/>
      <c r="E565" s="116"/>
      <c r="F565" s="8"/>
      <c r="G565" s="8"/>
      <c r="H565" s="7"/>
      <c r="I565" s="8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80"/>
      <c r="B566" s="7"/>
      <c r="C566" s="7"/>
      <c r="D566" s="116"/>
      <c r="E566" s="116"/>
      <c r="F566" s="8"/>
      <c r="G566" s="8"/>
      <c r="H566" s="7"/>
      <c r="I566" s="8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80"/>
      <c r="B567" s="7"/>
      <c r="C567" s="7"/>
      <c r="D567" s="116"/>
      <c r="E567" s="116"/>
      <c r="F567" s="8"/>
      <c r="G567" s="8"/>
      <c r="H567" s="7"/>
      <c r="I567" s="8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80"/>
      <c r="B568" s="7"/>
      <c r="C568" s="7"/>
      <c r="D568" s="116"/>
      <c r="E568" s="116"/>
      <c r="F568" s="8"/>
      <c r="G568" s="8"/>
      <c r="H568" s="7"/>
      <c r="I568" s="8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80"/>
      <c r="B569" s="7"/>
      <c r="C569" s="7"/>
      <c r="D569" s="116"/>
      <c r="E569" s="116"/>
      <c r="F569" s="8"/>
      <c r="G569" s="8"/>
      <c r="H569" s="7"/>
      <c r="I569" s="8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80"/>
      <c r="B570" s="7"/>
      <c r="C570" s="7"/>
      <c r="D570" s="116"/>
      <c r="E570" s="116"/>
      <c r="F570" s="8"/>
      <c r="G570" s="8"/>
      <c r="H570" s="7"/>
      <c r="I570" s="8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80"/>
      <c r="B571" s="7"/>
      <c r="C571" s="7"/>
      <c r="D571" s="116"/>
      <c r="E571" s="116"/>
      <c r="F571" s="8"/>
      <c r="G571" s="8"/>
      <c r="H571" s="7"/>
      <c r="I571" s="8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80"/>
      <c r="B572" s="7"/>
      <c r="C572" s="7"/>
      <c r="D572" s="116"/>
      <c r="E572" s="116"/>
      <c r="F572" s="8"/>
      <c r="G572" s="8"/>
      <c r="H572" s="7"/>
      <c r="I572" s="8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80"/>
      <c r="B573" s="7"/>
      <c r="C573" s="7"/>
      <c r="D573" s="116"/>
      <c r="E573" s="116"/>
      <c r="F573" s="8"/>
      <c r="G573" s="8"/>
      <c r="H573" s="7"/>
      <c r="I573" s="8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80"/>
      <c r="B574" s="7"/>
      <c r="C574" s="7"/>
      <c r="D574" s="116"/>
      <c r="E574" s="116"/>
      <c r="F574" s="8"/>
      <c r="G574" s="8"/>
      <c r="H574" s="7"/>
      <c r="I574" s="8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80"/>
      <c r="B575" s="7"/>
      <c r="C575" s="7"/>
      <c r="D575" s="116"/>
      <c r="E575" s="116"/>
      <c r="F575" s="8"/>
      <c r="G575" s="8"/>
      <c r="H575" s="7"/>
      <c r="I575" s="8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80"/>
      <c r="B576" s="7"/>
      <c r="C576" s="7"/>
      <c r="D576" s="116"/>
      <c r="E576" s="116"/>
      <c r="F576" s="8"/>
      <c r="G576" s="8"/>
      <c r="H576" s="7"/>
      <c r="I576" s="8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80"/>
      <c r="B577" s="7"/>
      <c r="C577" s="7"/>
      <c r="D577" s="116"/>
      <c r="E577" s="116"/>
      <c r="F577" s="8"/>
      <c r="G577" s="8"/>
      <c r="H577" s="7"/>
      <c r="I577" s="8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80"/>
      <c r="B578" s="7"/>
      <c r="C578" s="7"/>
      <c r="D578" s="116"/>
      <c r="E578" s="116"/>
      <c r="F578" s="8"/>
      <c r="G578" s="8"/>
      <c r="H578" s="7"/>
      <c r="I578" s="8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80"/>
      <c r="B579" s="7"/>
      <c r="C579" s="7"/>
      <c r="D579" s="116"/>
      <c r="E579" s="116"/>
      <c r="F579" s="8"/>
      <c r="G579" s="8"/>
      <c r="H579" s="7"/>
      <c r="I579" s="8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80"/>
      <c r="B580" s="7"/>
      <c r="C580" s="7"/>
      <c r="D580" s="116"/>
      <c r="E580" s="116"/>
      <c r="F580" s="8"/>
      <c r="G580" s="8"/>
      <c r="H580" s="7"/>
      <c r="I580" s="8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80"/>
      <c r="B581" s="7"/>
      <c r="C581" s="7"/>
      <c r="D581" s="116"/>
      <c r="E581" s="116"/>
      <c r="F581" s="8"/>
      <c r="G581" s="8"/>
      <c r="H581" s="7"/>
      <c r="I581" s="8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80"/>
      <c r="B582" s="7"/>
      <c r="C582" s="7"/>
      <c r="D582" s="116"/>
      <c r="E582" s="116"/>
      <c r="F582" s="8"/>
      <c r="G582" s="8"/>
      <c r="H582" s="7"/>
      <c r="I582" s="8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80"/>
      <c r="B583" s="7"/>
      <c r="C583" s="7"/>
      <c r="D583" s="116"/>
      <c r="E583" s="116"/>
      <c r="F583" s="8"/>
      <c r="G583" s="8"/>
      <c r="H583" s="7"/>
      <c r="I583" s="8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80"/>
      <c r="B584" s="7"/>
      <c r="C584" s="7"/>
      <c r="D584" s="116"/>
      <c r="E584" s="116"/>
      <c r="F584" s="8"/>
      <c r="G584" s="8"/>
      <c r="H584" s="7"/>
      <c r="I584" s="8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80"/>
      <c r="B585" s="7"/>
      <c r="C585" s="7"/>
      <c r="D585" s="116"/>
      <c r="E585" s="116"/>
      <c r="F585" s="8"/>
      <c r="G585" s="8"/>
      <c r="H585" s="7"/>
      <c r="I585" s="8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80"/>
      <c r="B586" s="7"/>
      <c r="C586" s="7"/>
      <c r="D586" s="116"/>
      <c r="E586" s="116"/>
      <c r="F586" s="8"/>
      <c r="G586" s="8"/>
      <c r="H586" s="7"/>
      <c r="I586" s="8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80"/>
      <c r="B587" s="7"/>
      <c r="C587" s="7"/>
      <c r="D587" s="116"/>
      <c r="E587" s="116"/>
      <c r="F587" s="8"/>
      <c r="G587" s="8"/>
      <c r="H587" s="7"/>
      <c r="I587" s="8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80"/>
      <c r="B588" s="7"/>
      <c r="C588" s="7"/>
      <c r="D588" s="116"/>
      <c r="E588" s="116"/>
      <c r="F588" s="8"/>
      <c r="G588" s="8"/>
      <c r="H588" s="7"/>
      <c r="I588" s="8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80"/>
      <c r="B589" s="7"/>
      <c r="C589" s="7"/>
      <c r="D589" s="116"/>
      <c r="E589" s="116"/>
      <c r="F589" s="8"/>
      <c r="G589" s="8"/>
      <c r="H589" s="7"/>
      <c r="I589" s="8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80"/>
      <c r="B590" s="7"/>
      <c r="C590" s="7"/>
      <c r="D590" s="116"/>
      <c r="E590" s="116"/>
      <c r="F590" s="8"/>
      <c r="G590" s="8"/>
      <c r="H590" s="7"/>
      <c r="I590" s="8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80"/>
      <c r="B591" s="7"/>
      <c r="C591" s="7"/>
      <c r="D591" s="116"/>
      <c r="E591" s="116"/>
      <c r="F591" s="8"/>
      <c r="G591" s="8"/>
      <c r="H591" s="7"/>
      <c r="I591" s="8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80"/>
      <c r="B592" s="7"/>
      <c r="C592" s="7"/>
      <c r="D592" s="116"/>
      <c r="E592" s="116"/>
      <c r="F592" s="8"/>
      <c r="G592" s="8"/>
      <c r="H592" s="7"/>
      <c r="I592" s="8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80"/>
      <c r="B593" s="7"/>
      <c r="C593" s="7"/>
      <c r="D593" s="116"/>
      <c r="E593" s="116"/>
      <c r="F593" s="8"/>
      <c r="G593" s="8"/>
      <c r="H593" s="7"/>
      <c r="I593" s="8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80"/>
      <c r="B594" s="7"/>
      <c r="C594" s="7"/>
      <c r="D594" s="116"/>
      <c r="E594" s="116"/>
      <c r="F594" s="8"/>
      <c r="G594" s="8"/>
      <c r="H594" s="7"/>
      <c r="I594" s="8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80"/>
      <c r="B595" s="7"/>
      <c r="C595" s="7"/>
      <c r="D595" s="116"/>
      <c r="E595" s="116"/>
      <c r="F595" s="8"/>
      <c r="G595" s="8"/>
      <c r="H595" s="7"/>
      <c r="I595" s="8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80"/>
      <c r="B596" s="7"/>
      <c r="C596" s="7"/>
      <c r="D596" s="116"/>
      <c r="E596" s="116"/>
      <c r="F596" s="8"/>
      <c r="G596" s="8"/>
      <c r="H596" s="7"/>
      <c r="I596" s="8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80"/>
      <c r="B597" s="7"/>
      <c r="C597" s="7"/>
      <c r="D597" s="116"/>
      <c r="E597" s="116"/>
      <c r="F597" s="8"/>
      <c r="G597" s="8"/>
      <c r="H597" s="7"/>
      <c r="I597" s="8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80"/>
      <c r="B598" s="7"/>
      <c r="C598" s="7"/>
      <c r="D598" s="116"/>
      <c r="E598" s="116"/>
      <c r="F598" s="8"/>
      <c r="G598" s="8"/>
      <c r="H598" s="7"/>
      <c r="I598" s="8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80"/>
      <c r="B599" s="7"/>
      <c r="C599" s="7"/>
      <c r="D599" s="116"/>
      <c r="E599" s="116"/>
      <c r="F599" s="8"/>
      <c r="G599" s="8"/>
      <c r="H599" s="7"/>
      <c r="I599" s="8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80"/>
      <c r="B600" s="7"/>
      <c r="C600" s="7"/>
      <c r="D600" s="116"/>
      <c r="E600" s="116"/>
      <c r="F600" s="8"/>
      <c r="G600" s="8"/>
      <c r="H600" s="7"/>
      <c r="I600" s="8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80"/>
      <c r="B601" s="7"/>
      <c r="C601" s="7"/>
      <c r="D601" s="116"/>
      <c r="E601" s="116"/>
      <c r="F601" s="8"/>
      <c r="G601" s="8"/>
      <c r="H601" s="7"/>
      <c r="I601" s="8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80"/>
      <c r="B602" s="7"/>
      <c r="C602" s="7"/>
      <c r="D602" s="116"/>
      <c r="E602" s="116"/>
      <c r="F602" s="8"/>
      <c r="G602" s="8"/>
      <c r="H602" s="7"/>
      <c r="I602" s="8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80"/>
      <c r="B603" s="7"/>
      <c r="C603" s="7"/>
      <c r="D603" s="116"/>
      <c r="E603" s="116"/>
      <c r="F603" s="8"/>
      <c r="G603" s="8"/>
      <c r="H603" s="7"/>
      <c r="I603" s="8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80"/>
      <c r="B604" s="7"/>
      <c r="C604" s="7"/>
      <c r="D604" s="116"/>
      <c r="E604" s="116"/>
      <c r="F604" s="8"/>
      <c r="G604" s="8"/>
      <c r="H604" s="7"/>
      <c r="I604" s="8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80"/>
      <c r="B605" s="7"/>
      <c r="C605" s="7"/>
      <c r="D605" s="116"/>
      <c r="E605" s="116"/>
      <c r="F605" s="8"/>
      <c r="G605" s="8"/>
      <c r="H605" s="7"/>
      <c r="I605" s="8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80"/>
      <c r="B606" s="7"/>
      <c r="C606" s="7"/>
      <c r="D606" s="116"/>
      <c r="E606" s="116"/>
      <c r="F606" s="8"/>
      <c r="G606" s="8"/>
      <c r="H606" s="7"/>
      <c r="I606" s="8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80"/>
      <c r="B607" s="7"/>
      <c r="C607" s="7"/>
      <c r="D607" s="116"/>
      <c r="E607" s="116"/>
      <c r="F607" s="8"/>
      <c r="G607" s="8"/>
      <c r="H607" s="7"/>
      <c r="I607" s="8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80"/>
      <c r="B608" s="7"/>
      <c r="C608" s="7"/>
      <c r="D608" s="116"/>
      <c r="E608" s="116"/>
      <c r="F608" s="8"/>
      <c r="G608" s="8"/>
      <c r="H608" s="7"/>
      <c r="I608" s="8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80"/>
      <c r="B609" s="7"/>
      <c r="C609" s="7"/>
      <c r="D609" s="116"/>
      <c r="E609" s="116"/>
      <c r="F609" s="8"/>
      <c r="G609" s="8"/>
      <c r="H609" s="7"/>
      <c r="I609" s="8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80"/>
      <c r="B610" s="7"/>
      <c r="C610" s="7"/>
      <c r="D610" s="116"/>
      <c r="E610" s="116"/>
      <c r="F610" s="8"/>
      <c r="G610" s="8"/>
      <c r="H610" s="7"/>
      <c r="I610" s="8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80"/>
      <c r="B611" s="7"/>
      <c r="C611" s="7"/>
      <c r="D611" s="116"/>
      <c r="E611" s="116"/>
      <c r="F611" s="8"/>
      <c r="G611" s="8"/>
      <c r="H611" s="7"/>
      <c r="I611" s="8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80"/>
      <c r="B612" s="7"/>
      <c r="C612" s="7"/>
      <c r="D612" s="116"/>
      <c r="E612" s="116"/>
      <c r="F612" s="8"/>
      <c r="G612" s="8"/>
      <c r="H612" s="7"/>
      <c r="I612" s="8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80"/>
      <c r="B613" s="7"/>
      <c r="C613" s="7"/>
      <c r="D613" s="116"/>
      <c r="E613" s="116"/>
      <c r="F613" s="8"/>
      <c r="G613" s="8"/>
      <c r="H613" s="7"/>
      <c r="I613" s="8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80"/>
      <c r="B614" s="7"/>
      <c r="C614" s="7"/>
      <c r="D614" s="116"/>
      <c r="E614" s="116"/>
      <c r="F614" s="8"/>
      <c r="G614" s="8"/>
      <c r="H614" s="7"/>
      <c r="I614" s="8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80"/>
      <c r="B615" s="7"/>
      <c r="C615" s="7"/>
      <c r="D615" s="116"/>
      <c r="E615" s="116"/>
      <c r="F615" s="8"/>
      <c r="G615" s="8"/>
      <c r="H615" s="7"/>
      <c r="I615" s="8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80"/>
      <c r="B616" s="7"/>
      <c r="C616" s="7"/>
      <c r="D616" s="116"/>
      <c r="E616" s="116"/>
      <c r="F616" s="8"/>
      <c r="G616" s="8"/>
      <c r="H616" s="7"/>
      <c r="I616" s="8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80"/>
      <c r="B617" s="7"/>
      <c r="C617" s="7"/>
      <c r="D617" s="116"/>
      <c r="E617" s="116"/>
      <c r="F617" s="8"/>
      <c r="G617" s="8"/>
      <c r="H617" s="7"/>
      <c r="I617" s="8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80"/>
      <c r="B618" s="7"/>
      <c r="C618" s="7"/>
      <c r="D618" s="116"/>
      <c r="E618" s="116"/>
      <c r="F618" s="8"/>
      <c r="G618" s="8"/>
      <c r="H618" s="7"/>
      <c r="I618" s="8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80"/>
      <c r="B619" s="7"/>
      <c r="C619" s="7"/>
      <c r="D619" s="116"/>
      <c r="E619" s="116"/>
      <c r="F619" s="8"/>
      <c r="G619" s="8"/>
      <c r="H619" s="7"/>
      <c r="I619" s="8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80"/>
      <c r="B620" s="7"/>
      <c r="C620" s="7"/>
      <c r="D620" s="116"/>
      <c r="E620" s="116"/>
      <c r="F620" s="8"/>
      <c r="G620" s="8"/>
      <c r="H620" s="7"/>
      <c r="I620" s="8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80"/>
      <c r="B621" s="7"/>
      <c r="C621" s="7"/>
      <c r="D621" s="116"/>
      <c r="E621" s="116"/>
      <c r="F621" s="8"/>
      <c r="G621" s="8"/>
      <c r="H621" s="7"/>
      <c r="I621" s="8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80"/>
      <c r="B622" s="7"/>
      <c r="C622" s="7"/>
      <c r="D622" s="116"/>
      <c r="E622" s="116"/>
      <c r="F622" s="8"/>
      <c r="G622" s="8"/>
      <c r="H622" s="7"/>
      <c r="I622" s="8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80"/>
      <c r="B623" s="7"/>
      <c r="C623" s="7"/>
      <c r="D623" s="116"/>
      <c r="E623" s="116"/>
      <c r="F623" s="8"/>
      <c r="G623" s="8"/>
      <c r="H623" s="7"/>
      <c r="I623" s="8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80"/>
      <c r="B624" s="7"/>
      <c r="C624" s="7"/>
      <c r="D624" s="116"/>
      <c r="E624" s="116"/>
      <c r="F624" s="8"/>
      <c r="G624" s="8"/>
      <c r="H624" s="7"/>
      <c r="I624" s="8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80"/>
      <c r="B625" s="7"/>
      <c r="C625" s="7"/>
      <c r="D625" s="116"/>
      <c r="E625" s="116"/>
      <c r="F625" s="8"/>
      <c r="G625" s="8"/>
      <c r="H625" s="7"/>
      <c r="I625" s="8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80"/>
      <c r="B626" s="7"/>
      <c r="C626" s="7"/>
      <c r="D626" s="116"/>
      <c r="E626" s="116"/>
      <c r="F626" s="8"/>
      <c r="G626" s="8"/>
      <c r="H626" s="7"/>
      <c r="I626" s="8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80"/>
      <c r="B627" s="7"/>
      <c r="C627" s="7"/>
      <c r="D627" s="116"/>
      <c r="E627" s="116"/>
      <c r="F627" s="8"/>
      <c r="G627" s="8"/>
      <c r="H627" s="7"/>
      <c r="I627" s="8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80"/>
      <c r="B628" s="7"/>
      <c r="C628" s="7"/>
      <c r="D628" s="116"/>
      <c r="E628" s="116"/>
      <c r="F628" s="8"/>
      <c r="G628" s="8"/>
      <c r="H628" s="7"/>
      <c r="I628" s="8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80"/>
      <c r="B629" s="7"/>
      <c r="C629" s="7"/>
      <c r="D629" s="116"/>
      <c r="E629" s="116"/>
      <c r="F629" s="8"/>
      <c r="G629" s="8"/>
      <c r="H629" s="7"/>
      <c r="I629" s="8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80"/>
      <c r="B630" s="7"/>
      <c r="C630" s="7"/>
      <c r="D630" s="116"/>
      <c r="E630" s="116"/>
      <c r="F630" s="8"/>
      <c r="G630" s="8"/>
      <c r="H630" s="7"/>
      <c r="I630" s="8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80"/>
      <c r="B631" s="7"/>
      <c r="C631" s="7"/>
      <c r="D631" s="116"/>
      <c r="E631" s="116"/>
      <c r="F631" s="8"/>
      <c r="G631" s="8"/>
      <c r="H631" s="7"/>
      <c r="I631" s="8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80"/>
      <c r="B632" s="7"/>
      <c r="C632" s="7"/>
      <c r="D632" s="116"/>
      <c r="E632" s="116"/>
      <c r="F632" s="8"/>
      <c r="G632" s="8"/>
      <c r="H632" s="7"/>
      <c r="I632" s="8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80"/>
      <c r="B633" s="7"/>
      <c r="C633" s="7"/>
      <c r="D633" s="116"/>
      <c r="E633" s="116"/>
      <c r="F633" s="8"/>
      <c r="G633" s="8"/>
      <c r="H633" s="7"/>
      <c r="I633" s="8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80"/>
      <c r="B634" s="7"/>
      <c r="C634" s="7"/>
      <c r="D634" s="116"/>
      <c r="E634" s="116"/>
      <c r="F634" s="8"/>
      <c r="G634" s="8"/>
      <c r="H634" s="7"/>
      <c r="I634" s="8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80"/>
      <c r="B635" s="7"/>
      <c r="C635" s="7"/>
      <c r="D635" s="116"/>
      <c r="E635" s="116"/>
      <c r="F635" s="8"/>
      <c r="G635" s="8"/>
      <c r="H635" s="7"/>
      <c r="I635" s="8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80"/>
      <c r="B636" s="7"/>
      <c r="C636" s="7"/>
      <c r="D636" s="116"/>
      <c r="E636" s="116"/>
      <c r="F636" s="8"/>
      <c r="G636" s="8"/>
      <c r="H636" s="7"/>
      <c r="I636" s="8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80"/>
      <c r="B637" s="7"/>
      <c r="C637" s="7"/>
      <c r="D637" s="116"/>
      <c r="E637" s="116"/>
      <c r="F637" s="8"/>
      <c r="G637" s="8"/>
      <c r="H637" s="7"/>
      <c r="I637" s="8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80"/>
      <c r="B638" s="7"/>
      <c r="C638" s="7"/>
      <c r="D638" s="116"/>
      <c r="E638" s="116"/>
      <c r="F638" s="8"/>
      <c r="G638" s="8"/>
      <c r="H638" s="7"/>
      <c r="I638" s="8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80"/>
      <c r="B639" s="7"/>
      <c r="C639" s="7"/>
      <c r="D639" s="116"/>
      <c r="E639" s="116"/>
      <c r="F639" s="8"/>
      <c r="G639" s="8"/>
      <c r="H639" s="7"/>
      <c r="I639" s="8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80"/>
      <c r="B640" s="7"/>
      <c r="C640" s="7"/>
      <c r="D640" s="116"/>
      <c r="E640" s="116"/>
      <c r="F640" s="8"/>
      <c r="G640" s="8"/>
      <c r="H640" s="7"/>
      <c r="I640" s="8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80"/>
      <c r="B641" s="7"/>
      <c r="C641" s="7"/>
      <c r="D641" s="116"/>
      <c r="E641" s="116"/>
      <c r="F641" s="8"/>
      <c r="G641" s="8"/>
      <c r="H641" s="7"/>
      <c r="I641" s="8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80"/>
      <c r="B642" s="7"/>
      <c r="C642" s="7"/>
      <c r="D642" s="116"/>
      <c r="E642" s="116"/>
      <c r="F642" s="8"/>
      <c r="G642" s="8"/>
      <c r="H642" s="7"/>
      <c r="I642" s="8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80"/>
      <c r="B643" s="7"/>
      <c r="C643" s="7"/>
      <c r="D643" s="116"/>
      <c r="E643" s="116"/>
      <c r="F643" s="8"/>
      <c r="G643" s="8"/>
      <c r="H643" s="7"/>
      <c r="I643" s="8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80"/>
      <c r="B644" s="7"/>
      <c r="C644" s="7"/>
      <c r="D644" s="116"/>
      <c r="E644" s="116"/>
      <c r="F644" s="8"/>
      <c r="G644" s="8"/>
      <c r="H644" s="7"/>
      <c r="I644" s="8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80"/>
      <c r="B645" s="7"/>
      <c r="C645" s="7"/>
      <c r="D645" s="116"/>
      <c r="E645" s="116"/>
      <c r="F645" s="8"/>
      <c r="G645" s="8"/>
      <c r="H645" s="7"/>
      <c r="I645" s="8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80"/>
      <c r="B646" s="7"/>
      <c r="C646" s="7"/>
      <c r="D646" s="116"/>
      <c r="E646" s="116"/>
      <c r="F646" s="8"/>
      <c r="G646" s="8"/>
      <c r="H646" s="7"/>
      <c r="I646" s="8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80"/>
      <c r="B647" s="7"/>
      <c r="C647" s="7"/>
      <c r="D647" s="116"/>
      <c r="E647" s="116"/>
      <c r="F647" s="8"/>
      <c r="G647" s="8"/>
      <c r="H647" s="7"/>
      <c r="I647" s="8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80"/>
      <c r="B648" s="7"/>
      <c r="C648" s="7"/>
      <c r="D648" s="116"/>
      <c r="E648" s="116"/>
      <c r="F648" s="8"/>
      <c r="G648" s="8"/>
      <c r="H648" s="7"/>
      <c r="I648" s="8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80"/>
      <c r="B649" s="7"/>
      <c r="C649" s="7"/>
      <c r="D649" s="116"/>
      <c r="E649" s="116"/>
      <c r="F649" s="8"/>
      <c r="G649" s="8"/>
      <c r="H649" s="7"/>
      <c r="I649" s="8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80"/>
      <c r="B650" s="7"/>
      <c r="C650" s="7"/>
      <c r="D650" s="116"/>
      <c r="E650" s="116"/>
      <c r="F650" s="8"/>
      <c r="G650" s="8"/>
      <c r="H650" s="7"/>
      <c r="I650" s="8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80"/>
      <c r="B651" s="7"/>
      <c r="C651" s="7"/>
      <c r="D651" s="116"/>
      <c r="E651" s="116"/>
      <c r="F651" s="8"/>
      <c r="G651" s="8"/>
      <c r="H651" s="7"/>
      <c r="I651" s="8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80"/>
      <c r="B652" s="7"/>
      <c r="C652" s="7"/>
      <c r="D652" s="116"/>
      <c r="E652" s="116"/>
      <c r="F652" s="8"/>
      <c r="G652" s="8"/>
      <c r="H652" s="7"/>
      <c r="I652" s="8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80"/>
      <c r="B653" s="7"/>
      <c r="C653" s="7"/>
      <c r="D653" s="116"/>
      <c r="E653" s="116"/>
      <c r="F653" s="8"/>
      <c r="G653" s="8"/>
      <c r="H653" s="7"/>
      <c r="I653" s="8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80"/>
      <c r="B654" s="7"/>
      <c r="C654" s="7"/>
      <c r="D654" s="116"/>
      <c r="E654" s="116"/>
      <c r="F654" s="8"/>
      <c r="G654" s="8"/>
      <c r="H654" s="7"/>
      <c r="I654" s="8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80"/>
      <c r="B655" s="7"/>
      <c r="C655" s="7"/>
      <c r="D655" s="116"/>
      <c r="E655" s="116"/>
      <c r="F655" s="8"/>
      <c r="G655" s="8"/>
      <c r="H655" s="7"/>
      <c r="I655" s="8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80"/>
      <c r="B656" s="7"/>
      <c r="C656" s="7"/>
      <c r="D656" s="116"/>
      <c r="E656" s="116"/>
      <c r="F656" s="8"/>
      <c r="G656" s="8"/>
      <c r="H656" s="7"/>
      <c r="I656" s="8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80"/>
      <c r="B657" s="7"/>
      <c r="C657" s="7"/>
      <c r="D657" s="116"/>
      <c r="E657" s="116"/>
      <c r="F657" s="8"/>
      <c r="G657" s="8"/>
      <c r="H657" s="7"/>
      <c r="I657" s="8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80"/>
      <c r="B658" s="7"/>
      <c r="C658" s="7"/>
      <c r="D658" s="116"/>
      <c r="E658" s="116"/>
      <c r="F658" s="8"/>
      <c r="G658" s="8"/>
      <c r="H658" s="7"/>
      <c r="I658" s="8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80"/>
      <c r="B659" s="7"/>
      <c r="C659" s="7"/>
      <c r="D659" s="116"/>
      <c r="E659" s="116"/>
      <c r="F659" s="8"/>
      <c r="G659" s="8"/>
      <c r="H659" s="7"/>
      <c r="I659" s="8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80"/>
      <c r="B660" s="7"/>
      <c r="C660" s="7"/>
      <c r="D660" s="116"/>
      <c r="E660" s="116"/>
      <c r="F660" s="8"/>
      <c r="G660" s="8"/>
      <c r="H660" s="7"/>
      <c r="I660" s="8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80"/>
      <c r="B661" s="7"/>
      <c r="C661" s="7"/>
      <c r="D661" s="116"/>
      <c r="E661" s="116"/>
      <c r="F661" s="8"/>
      <c r="G661" s="8"/>
      <c r="H661" s="7"/>
      <c r="I661" s="8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80"/>
      <c r="B662" s="7"/>
      <c r="C662" s="7"/>
      <c r="D662" s="116"/>
      <c r="E662" s="116"/>
      <c r="F662" s="8"/>
      <c r="G662" s="8"/>
      <c r="H662" s="7"/>
      <c r="I662" s="8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80"/>
      <c r="B663" s="7"/>
      <c r="C663" s="7"/>
      <c r="D663" s="116"/>
      <c r="E663" s="116"/>
      <c r="F663" s="8"/>
      <c r="G663" s="8"/>
      <c r="H663" s="7"/>
      <c r="I663" s="8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80"/>
      <c r="B664" s="7"/>
      <c r="C664" s="7"/>
      <c r="D664" s="116"/>
      <c r="E664" s="116"/>
      <c r="F664" s="8"/>
      <c r="G664" s="8"/>
      <c r="H664" s="7"/>
      <c r="I664" s="8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80"/>
      <c r="B665" s="7"/>
      <c r="C665" s="7"/>
      <c r="D665" s="116"/>
      <c r="E665" s="116"/>
      <c r="F665" s="8"/>
      <c r="G665" s="8"/>
      <c r="H665" s="7"/>
      <c r="I665" s="8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80"/>
      <c r="B666" s="7"/>
      <c r="C666" s="7"/>
      <c r="D666" s="116"/>
      <c r="E666" s="116"/>
      <c r="F666" s="8"/>
      <c r="G666" s="8"/>
      <c r="H666" s="7"/>
      <c r="I666" s="8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80"/>
      <c r="B667" s="7"/>
      <c r="C667" s="7"/>
      <c r="D667" s="116"/>
      <c r="E667" s="116"/>
      <c r="F667" s="8"/>
      <c r="G667" s="8"/>
      <c r="H667" s="7"/>
      <c r="I667" s="8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80"/>
      <c r="B668" s="7"/>
      <c r="C668" s="7"/>
      <c r="D668" s="116"/>
      <c r="E668" s="116"/>
      <c r="F668" s="8"/>
      <c r="G668" s="8"/>
      <c r="H668" s="7"/>
      <c r="I668" s="8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80"/>
      <c r="B669" s="7"/>
      <c r="C669" s="7"/>
      <c r="D669" s="116"/>
      <c r="E669" s="116"/>
      <c r="F669" s="8"/>
      <c r="G669" s="8"/>
      <c r="H669" s="7"/>
      <c r="I669" s="8"/>
      <c r="J669" s="8"/>
      <c r="K669" s="80"/>
      <c r="L669" s="80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80"/>
      <c r="B670" s="7"/>
      <c r="C670" s="7"/>
      <c r="D670" s="116"/>
      <c r="E670" s="116"/>
      <c r="F670" s="8"/>
      <c r="G670" s="8"/>
      <c r="H670" s="7"/>
      <c r="I670" s="8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80"/>
      <c r="B671" s="7"/>
      <c r="C671" s="7"/>
      <c r="D671" s="116"/>
      <c r="E671" s="116"/>
      <c r="F671" s="8"/>
      <c r="G671" s="8"/>
      <c r="H671" s="7"/>
      <c r="I671" s="8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80"/>
      <c r="B672" s="7"/>
      <c r="C672" s="7"/>
      <c r="D672" s="116"/>
      <c r="E672" s="116"/>
      <c r="F672" s="8"/>
      <c r="G672" s="8"/>
      <c r="H672" s="7"/>
      <c r="I672" s="8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80"/>
      <c r="B673" s="7"/>
      <c r="C673" s="7"/>
      <c r="D673" s="116"/>
      <c r="E673" s="116"/>
      <c r="F673" s="8"/>
      <c r="G673" s="8"/>
      <c r="H673" s="7"/>
      <c r="I673" s="8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80"/>
      <c r="B674" s="7"/>
      <c r="C674" s="7"/>
      <c r="D674" s="116"/>
      <c r="E674" s="116"/>
      <c r="F674" s="8"/>
      <c r="G674" s="8"/>
      <c r="H674" s="7"/>
      <c r="I674" s="8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80"/>
      <c r="B675" s="7"/>
      <c r="C675" s="7"/>
      <c r="D675" s="116"/>
      <c r="E675" s="116"/>
      <c r="F675" s="8"/>
      <c r="G675" s="8"/>
      <c r="H675" s="7"/>
      <c r="I675" s="8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80"/>
      <c r="B676" s="7"/>
      <c r="C676" s="7"/>
      <c r="D676" s="116"/>
      <c r="E676" s="116"/>
      <c r="F676" s="8"/>
      <c r="G676" s="8"/>
      <c r="H676" s="7"/>
      <c r="I676" s="8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80"/>
      <c r="B677" s="7"/>
      <c r="C677" s="7"/>
      <c r="D677" s="116"/>
      <c r="E677" s="116"/>
      <c r="F677" s="8"/>
      <c r="G677" s="8"/>
      <c r="H677" s="7"/>
      <c r="I677" s="8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80"/>
      <c r="B678" s="7"/>
      <c r="C678" s="7"/>
      <c r="D678" s="116"/>
      <c r="E678" s="116"/>
      <c r="F678" s="8"/>
      <c r="G678" s="8"/>
      <c r="H678" s="7"/>
      <c r="I678" s="8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80"/>
      <c r="B679" s="7"/>
      <c r="C679" s="7"/>
      <c r="D679" s="116"/>
      <c r="E679" s="116"/>
      <c r="F679" s="8"/>
      <c r="G679" s="8"/>
      <c r="H679" s="7"/>
      <c r="I679" s="8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80"/>
      <c r="B680" s="7"/>
      <c r="C680" s="7"/>
      <c r="D680" s="116"/>
      <c r="E680" s="116"/>
      <c r="F680" s="8"/>
      <c r="G680" s="8"/>
      <c r="H680" s="7"/>
      <c r="I680" s="8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80"/>
      <c r="B681" s="7"/>
      <c r="C681" s="7"/>
      <c r="D681" s="116"/>
      <c r="E681" s="116"/>
      <c r="F681" s="8"/>
      <c r="G681" s="8"/>
      <c r="H681" s="7"/>
      <c r="I681" s="8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80"/>
      <c r="B682" s="7"/>
      <c r="C682" s="7"/>
      <c r="D682" s="116"/>
      <c r="E682" s="116"/>
      <c r="F682" s="8"/>
      <c r="G682" s="8"/>
      <c r="H682" s="7"/>
      <c r="I682" s="8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80"/>
      <c r="B683" s="7"/>
      <c r="C683" s="7"/>
      <c r="D683" s="116"/>
      <c r="E683" s="116"/>
      <c r="F683" s="8"/>
      <c r="G683" s="8"/>
      <c r="H683" s="7"/>
      <c r="I683" s="8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80"/>
      <c r="B684" s="7"/>
      <c r="C684" s="7"/>
      <c r="D684" s="116"/>
      <c r="E684" s="116"/>
      <c r="F684" s="8"/>
      <c r="G684" s="8"/>
      <c r="H684" s="7"/>
      <c r="I684" s="8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80"/>
      <c r="B685" s="7"/>
      <c r="C685" s="7"/>
      <c r="D685" s="116"/>
      <c r="E685" s="116"/>
      <c r="F685" s="8"/>
      <c r="G685" s="8"/>
      <c r="H685" s="7"/>
      <c r="I685" s="8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80"/>
      <c r="B686" s="7"/>
      <c r="C686" s="7"/>
      <c r="D686" s="116"/>
      <c r="E686" s="116"/>
      <c r="F686" s="8"/>
      <c r="G686" s="8"/>
      <c r="H686" s="7"/>
      <c r="I686" s="8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80"/>
      <c r="B687" s="7"/>
      <c r="C687" s="7"/>
      <c r="D687" s="116"/>
      <c r="E687" s="116"/>
      <c r="F687" s="8"/>
      <c r="G687" s="8"/>
      <c r="H687" s="7"/>
      <c r="I687" s="8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80"/>
      <c r="B688" s="7"/>
      <c r="C688" s="7"/>
      <c r="D688" s="116"/>
      <c r="E688" s="116"/>
      <c r="F688" s="8"/>
      <c r="G688" s="8"/>
      <c r="H688" s="7"/>
      <c r="I688" s="8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80"/>
      <c r="B689" s="7"/>
      <c r="C689" s="7"/>
      <c r="D689" s="116"/>
      <c r="E689" s="116"/>
      <c r="F689" s="8"/>
      <c r="G689" s="8"/>
      <c r="H689" s="7"/>
      <c r="I689" s="8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80"/>
      <c r="B690" s="7"/>
      <c r="C690" s="7"/>
      <c r="D690" s="116"/>
      <c r="E690" s="116"/>
      <c r="F690" s="8"/>
      <c r="G690" s="8"/>
      <c r="H690" s="7"/>
      <c r="I690" s="8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80"/>
      <c r="B691" s="7"/>
      <c r="C691" s="7"/>
      <c r="D691" s="116"/>
      <c r="E691" s="116"/>
      <c r="F691" s="8"/>
      <c r="G691" s="8"/>
      <c r="H691" s="7"/>
      <c r="I691" s="8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A692" s="80"/>
      <c r="B692" s="7"/>
      <c r="C692" s="7"/>
      <c r="D692" s="116"/>
      <c r="E692" s="116"/>
      <c r="F692" s="8"/>
      <c r="G692" s="8"/>
      <c r="H692" s="7"/>
      <c r="I692" s="8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>
      <c r="A693" s="80"/>
      <c r="B693" s="7"/>
      <c r="C693" s="7"/>
      <c r="D693" s="116"/>
      <c r="E693" s="116"/>
      <c r="F693" s="8"/>
      <c r="G693" s="8"/>
      <c r="H693" s="7"/>
      <c r="I693" s="8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>
      <c r="A694" s="80"/>
      <c r="B694" s="7"/>
      <c r="C694" s="7"/>
      <c r="D694" s="116"/>
      <c r="E694" s="116"/>
      <c r="F694" s="8"/>
      <c r="G694" s="8"/>
      <c r="H694" s="7"/>
      <c r="I694" s="8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>
      <c r="A695" s="80"/>
      <c r="B695" s="7"/>
      <c r="C695" s="7"/>
      <c r="D695" s="116"/>
      <c r="E695" s="116"/>
      <c r="F695" s="8"/>
      <c r="G695" s="8"/>
      <c r="H695" s="7"/>
      <c r="I695" s="8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>
      <c r="A696" s="80"/>
      <c r="B696" s="7"/>
      <c r="C696" s="7"/>
      <c r="D696" s="116"/>
      <c r="E696" s="116"/>
      <c r="F696" s="8"/>
      <c r="G696" s="8"/>
      <c r="H696" s="7"/>
      <c r="I696" s="8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>
      <c r="A697" s="80"/>
      <c r="B697" s="7"/>
      <c r="C697" s="7"/>
      <c r="D697" s="116"/>
      <c r="E697" s="116"/>
      <c r="F697" s="8"/>
      <c r="G697" s="8"/>
      <c r="H697" s="7"/>
      <c r="I697" s="8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>
      <c r="A698" s="80"/>
      <c r="B698" s="7"/>
      <c r="C698" s="7"/>
      <c r="D698" s="116"/>
      <c r="E698" s="116"/>
      <c r="F698" s="8"/>
      <c r="G698" s="8"/>
      <c r="H698" s="7"/>
      <c r="I698" s="8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>
      <c r="A699" s="80"/>
      <c r="B699" s="7"/>
      <c r="C699" s="7"/>
      <c r="D699" s="116"/>
      <c r="E699" s="116"/>
      <c r="F699" s="8"/>
      <c r="G699" s="8"/>
      <c r="H699" s="7"/>
      <c r="I699" s="8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>
      <c r="A700" s="80"/>
      <c r="B700" s="7"/>
      <c r="C700" s="7"/>
      <c r="D700" s="116"/>
      <c r="E700" s="116"/>
      <c r="F700" s="8"/>
      <c r="G700" s="8"/>
      <c r="H700" s="7"/>
      <c r="I700" s="8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>
      <c r="A701" s="80"/>
      <c r="B701" s="7"/>
      <c r="C701" s="7"/>
      <c r="D701" s="116"/>
      <c r="E701" s="116"/>
      <c r="F701" s="8"/>
      <c r="G701" s="8"/>
      <c r="H701" s="7"/>
      <c r="I701" s="8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>
      <c r="A702" s="80"/>
      <c r="B702" s="7"/>
      <c r="C702" s="7"/>
      <c r="D702" s="116"/>
      <c r="E702" s="116"/>
      <c r="F702" s="8"/>
      <c r="G702" s="8"/>
      <c r="H702" s="7"/>
      <c r="I702" s="8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>
      <c r="A703" s="80"/>
      <c r="B703" s="7"/>
      <c r="C703" s="7"/>
      <c r="D703" s="116"/>
      <c r="E703" s="116"/>
      <c r="F703" s="8"/>
      <c r="G703" s="8"/>
      <c r="H703" s="7"/>
      <c r="I703" s="8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>
      <c r="A704" s="80"/>
      <c r="B704" s="7"/>
      <c r="C704" s="7"/>
      <c r="D704" s="116"/>
      <c r="E704" s="116"/>
      <c r="F704" s="8"/>
      <c r="G704" s="8"/>
      <c r="H704" s="7"/>
      <c r="I704" s="8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>
      <c r="A705" s="80"/>
      <c r="B705" s="7"/>
      <c r="C705" s="7"/>
      <c r="D705" s="116"/>
      <c r="E705" s="116"/>
      <c r="F705" s="8"/>
      <c r="G705" s="8"/>
      <c r="H705" s="7"/>
      <c r="I705" s="8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>
      <c r="A706" s="80"/>
      <c r="B706" s="7"/>
      <c r="C706" s="7"/>
      <c r="D706" s="116"/>
      <c r="E706" s="116"/>
      <c r="F706" s="8"/>
      <c r="G706" s="8"/>
      <c r="H706" s="7"/>
      <c r="I706" s="8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>
      <c r="A707" s="80"/>
      <c r="B707" s="7"/>
      <c r="C707" s="7"/>
      <c r="D707" s="116"/>
      <c r="E707" s="116"/>
      <c r="F707" s="8"/>
      <c r="G707" s="8"/>
      <c r="H707" s="7"/>
      <c r="I707" s="8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>
      <c r="A708" s="80"/>
      <c r="B708" s="7"/>
      <c r="C708" s="7"/>
      <c r="D708" s="116"/>
      <c r="E708" s="116"/>
      <c r="F708" s="8"/>
      <c r="G708" s="8"/>
      <c r="H708" s="7"/>
      <c r="I708" s="8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>
      <c r="A709" s="80"/>
      <c r="B709" s="7"/>
      <c r="C709" s="7"/>
      <c r="D709" s="116"/>
      <c r="E709" s="116"/>
      <c r="F709" s="8"/>
      <c r="G709" s="8"/>
      <c r="H709" s="7"/>
      <c r="I709" s="8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>
      <c r="A710" s="80"/>
      <c r="B710" s="7"/>
      <c r="C710" s="7"/>
      <c r="D710" s="116"/>
      <c r="E710" s="116"/>
      <c r="F710" s="8"/>
      <c r="G710" s="8"/>
      <c r="H710" s="7"/>
      <c r="I710" s="8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>
      <c r="A711" s="80"/>
      <c r="B711" s="7"/>
      <c r="C711" s="7"/>
      <c r="D711" s="116"/>
      <c r="E711" s="116"/>
      <c r="F711" s="8"/>
      <c r="G711" s="8"/>
      <c r="H711" s="7"/>
      <c r="I711" s="8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>
      <c r="A712" s="80"/>
      <c r="B712" s="7"/>
      <c r="C712" s="7"/>
      <c r="D712" s="116"/>
      <c r="E712" s="116"/>
      <c r="F712" s="8"/>
      <c r="G712" s="8"/>
      <c r="H712" s="7"/>
      <c r="I712" s="8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>
      <c r="A713" s="80"/>
      <c r="B713" s="7"/>
      <c r="C713" s="7"/>
      <c r="D713" s="116"/>
      <c r="E713" s="116"/>
      <c r="F713" s="8"/>
      <c r="G713" s="8"/>
      <c r="H713" s="7"/>
      <c r="I713" s="8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>
      <c r="A714" s="80"/>
      <c r="B714" s="7"/>
      <c r="C714" s="7"/>
      <c r="D714" s="116"/>
      <c r="E714" s="116"/>
      <c r="F714" s="8"/>
      <c r="G714" s="8"/>
      <c r="H714" s="7"/>
      <c r="I714" s="8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>
      <c r="A715" s="80"/>
      <c r="B715" s="7"/>
      <c r="C715" s="7"/>
      <c r="D715" s="116"/>
      <c r="E715" s="116"/>
      <c r="F715" s="8"/>
      <c r="G715" s="8"/>
      <c r="H715" s="7"/>
      <c r="I715" s="8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>
      <c r="A716" s="80"/>
      <c r="B716" s="7"/>
      <c r="C716" s="7"/>
      <c r="D716" s="116"/>
      <c r="E716" s="116"/>
      <c r="F716" s="8"/>
      <c r="G716" s="8"/>
      <c r="H716" s="7"/>
      <c r="I716" s="8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>
      <c r="A717" s="80"/>
      <c r="B717" s="7"/>
      <c r="C717" s="7"/>
      <c r="D717" s="116"/>
      <c r="E717" s="116"/>
      <c r="F717" s="8"/>
      <c r="G717" s="8"/>
      <c r="H717" s="7"/>
      <c r="I717" s="8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>
      <c r="A718" s="80"/>
      <c r="B718" s="7"/>
      <c r="C718" s="7"/>
      <c r="D718" s="116"/>
      <c r="E718" s="116"/>
      <c r="F718" s="8"/>
      <c r="G718" s="8"/>
      <c r="H718" s="7"/>
      <c r="I718" s="8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>
      <c r="A719" s="80"/>
      <c r="B719" s="7"/>
      <c r="C719" s="7"/>
      <c r="D719" s="116"/>
      <c r="E719" s="116"/>
      <c r="F719" s="8"/>
      <c r="G719" s="8"/>
      <c r="H719" s="7"/>
      <c r="I719" s="8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>
      <c r="A720" s="80"/>
      <c r="B720" s="7"/>
      <c r="C720" s="7"/>
      <c r="D720" s="116"/>
      <c r="E720" s="116"/>
      <c r="F720" s="8"/>
      <c r="G720" s="8"/>
      <c r="H720" s="7"/>
      <c r="I720" s="8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>
      <c r="A721" s="80"/>
      <c r="B721" s="7"/>
      <c r="C721" s="7"/>
      <c r="D721" s="116"/>
      <c r="E721" s="116"/>
      <c r="F721" s="8"/>
      <c r="G721" s="8"/>
      <c r="H721" s="7"/>
      <c r="I721" s="8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>
      <c r="A722" s="80"/>
      <c r="B722" s="7"/>
      <c r="C722" s="7"/>
      <c r="D722" s="116"/>
      <c r="E722" s="116"/>
      <c r="F722" s="8"/>
      <c r="G722" s="8"/>
      <c r="H722" s="7"/>
      <c r="I722" s="8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>
      <c r="A723" s="80"/>
      <c r="B723" s="7"/>
      <c r="C723" s="7"/>
      <c r="D723" s="116"/>
      <c r="E723" s="116"/>
      <c r="F723" s="8"/>
      <c r="G723" s="8"/>
      <c r="H723" s="7"/>
      <c r="I723" s="8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>
      <c r="A724" s="80"/>
      <c r="B724" s="7"/>
      <c r="C724" s="7"/>
      <c r="D724" s="116"/>
      <c r="E724" s="116"/>
      <c r="F724" s="8"/>
      <c r="G724" s="8"/>
      <c r="H724" s="7"/>
      <c r="I724" s="8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>
      <c r="A725" s="80"/>
      <c r="B725" s="7"/>
      <c r="C725" s="7"/>
      <c r="D725" s="116"/>
      <c r="E725" s="116"/>
      <c r="F725" s="8"/>
      <c r="G725" s="8"/>
      <c r="H725" s="7"/>
      <c r="I725" s="8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80"/>
      <c r="B726" s="7"/>
      <c r="C726" s="7"/>
      <c r="D726" s="116"/>
      <c r="E726" s="116"/>
      <c r="F726" s="8"/>
      <c r="G726" s="8"/>
      <c r="H726" s="7"/>
      <c r="I726" s="8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80"/>
      <c r="B727" s="7"/>
      <c r="C727" s="7"/>
      <c r="D727" s="116"/>
      <c r="E727" s="116"/>
      <c r="F727" s="8"/>
      <c r="G727" s="8"/>
      <c r="H727" s="7"/>
      <c r="I727" s="8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80"/>
      <c r="B728" s="7"/>
      <c r="C728" s="7"/>
      <c r="D728" s="116"/>
      <c r="E728" s="116"/>
      <c r="F728" s="8"/>
      <c r="G728" s="8"/>
      <c r="H728" s="7"/>
      <c r="I728" s="8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80"/>
      <c r="B729" s="7"/>
      <c r="C729" s="7"/>
      <c r="D729" s="116"/>
      <c r="E729" s="116"/>
      <c r="F729" s="8"/>
      <c r="G729" s="8"/>
      <c r="H729" s="7"/>
      <c r="I729" s="8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80"/>
      <c r="B730" s="7"/>
      <c r="C730" s="7"/>
      <c r="D730" s="116"/>
      <c r="E730" s="116"/>
      <c r="F730" s="8"/>
      <c r="G730" s="8"/>
      <c r="H730" s="7"/>
      <c r="I730" s="8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80"/>
      <c r="B731" s="7"/>
      <c r="C731" s="7"/>
      <c r="D731" s="116"/>
      <c r="E731" s="116"/>
      <c r="F731" s="8"/>
      <c r="G731" s="8"/>
      <c r="H731" s="7"/>
      <c r="I731" s="8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80"/>
      <c r="B732" s="7"/>
      <c r="C732" s="7"/>
      <c r="D732" s="116"/>
      <c r="E732" s="116"/>
      <c r="F732" s="8"/>
      <c r="G732" s="8"/>
      <c r="H732" s="7"/>
      <c r="I732" s="8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80"/>
      <c r="B733" s="7"/>
      <c r="C733" s="7"/>
      <c r="D733" s="116"/>
      <c r="E733" s="116"/>
      <c r="F733" s="8"/>
      <c r="G733" s="8"/>
      <c r="H733" s="7"/>
      <c r="I733" s="8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80"/>
      <c r="B734" s="7"/>
      <c r="C734" s="7"/>
      <c r="D734" s="116"/>
      <c r="E734" s="116"/>
      <c r="F734" s="8"/>
      <c r="G734" s="8"/>
      <c r="H734" s="7"/>
      <c r="I734" s="8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>
      <c r="A735" s="80"/>
      <c r="B735" s="7"/>
      <c r="C735" s="7"/>
      <c r="D735" s="116"/>
      <c r="E735" s="116"/>
      <c r="F735" s="8"/>
      <c r="G735" s="8"/>
      <c r="H735" s="7"/>
      <c r="I735" s="8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>
      <c r="A736" s="80"/>
      <c r="B736" s="7"/>
      <c r="C736" s="7"/>
      <c r="D736" s="116"/>
      <c r="E736" s="116"/>
      <c r="F736" s="8"/>
      <c r="G736" s="8"/>
      <c r="H736" s="7"/>
      <c r="I736" s="8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>
      <c r="A737" s="80"/>
      <c r="B737" s="7"/>
      <c r="C737" s="7"/>
      <c r="D737" s="116"/>
      <c r="E737" s="116"/>
      <c r="F737" s="8"/>
      <c r="G737" s="8"/>
      <c r="H737" s="7"/>
      <c r="I737" s="8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>
      <c r="A738" s="80"/>
      <c r="B738" s="7"/>
      <c r="C738" s="7"/>
      <c r="D738" s="116"/>
      <c r="E738" s="116"/>
      <c r="F738" s="8"/>
      <c r="G738" s="8"/>
      <c r="H738" s="7"/>
      <c r="I738" s="8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>
      <c r="A739" s="80"/>
      <c r="B739" s="7"/>
      <c r="C739" s="7"/>
      <c r="D739" s="116"/>
      <c r="E739" s="116"/>
      <c r="F739" s="8"/>
      <c r="G739" s="8"/>
      <c r="H739" s="7"/>
      <c r="I739" s="8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>
      <c r="A740" s="80"/>
      <c r="B740" s="7"/>
      <c r="C740" s="7"/>
      <c r="D740" s="116"/>
      <c r="E740" s="116"/>
      <c r="F740" s="8"/>
      <c r="G740" s="8"/>
      <c r="H740" s="7"/>
      <c r="I740" s="8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>
      <c r="A741" s="80"/>
      <c r="B741" s="7"/>
      <c r="C741" s="7"/>
      <c r="D741" s="116"/>
      <c r="E741" s="116"/>
      <c r="F741" s="8"/>
      <c r="G741" s="8"/>
      <c r="H741" s="7"/>
      <c r="I741" s="8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>
      <c r="A742" s="80"/>
      <c r="B742" s="7"/>
      <c r="C742" s="7"/>
      <c r="D742" s="116"/>
      <c r="E742" s="116"/>
      <c r="F742" s="8"/>
      <c r="G742" s="8"/>
      <c r="H742" s="7"/>
      <c r="I742" s="8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>
      <c r="A743" s="80"/>
      <c r="B743" s="7"/>
      <c r="C743" s="7"/>
      <c r="D743" s="116"/>
      <c r="E743" s="116"/>
      <c r="F743" s="8"/>
      <c r="G743" s="8"/>
      <c r="H743" s="7"/>
      <c r="I743" s="8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>
      <c r="A744" s="80"/>
      <c r="B744" s="7"/>
      <c r="C744" s="7"/>
      <c r="D744" s="116"/>
      <c r="E744" s="116"/>
      <c r="F744" s="8"/>
      <c r="G744" s="8"/>
      <c r="H744" s="7"/>
      <c r="I744" s="8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>
      <c r="A745" s="80"/>
      <c r="B745" s="7"/>
      <c r="C745" s="7"/>
      <c r="D745" s="116"/>
      <c r="E745" s="116"/>
      <c r="F745" s="8"/>
      <c r="G745" s="8"/>
      <c r="H745" s="7"/>
      <c r="I745" s="8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>
      <c r="A746" s="80"/>
      <c r="B746" s="7"/>
      <c r="C746" s="7"/>
      <c r="D746" s="116"/>
      <c r="E746" s="116"/>
      <c r="F746" s="8"/>
      <c r="G746" s="8"/>
      <c r="H746" s="7"/>
      <c r="I746" s="8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>
      <c r="A747" s="80"/>
      <c r="B747" s="7"/>
      <c r="C747" s="7"/>
      <c r="D747" s="116"/>
      <c r="E747" s="116"/>
      <c r="F747" s="8"/>
      <c r="G747" s="8"/>
      <c r="H747" s="7"/>
      <c r="I747" s="8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>
      <c r="A748" s="80"/>
      <c r="B748" s="7"/>
      <c r="C748" s="7"/>
      <c r="D748" s="116"/>
      <c r="E748" s="116"/>
      <c r="F748" s="8"/>
      <c r="G748" s="8"/>
      <c r="H748" s="7"/>
      <c r="I748" s="8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>
      <c r="A749" s="80"/>
      <c r="B749" s="7"/>
      <c r="C749" s="7"/>
      <c r="D749" s="116"/>
      <c r="E749" s="116"/>
      <c r="F749" s="8"/>
      <c r="G749" s="8"/>
      <c r="H749" s="7"/>
      <c r="I749" s="8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>
      <c r="A750" s="80"/>
      <c r="B750" s="7"/>
      <c r="C750" s="7"/>
      <c r="D750" s="116"/>
      <c r="E750" s="116"/>
      <c r="F750" s="8"/>
      <c r="G750" s="8"/>
      <c r="H750" s="7"/>
      <c r="I750" s="8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>
      <c r="A751" s="80"/>
      <c r="B751" s="7"/>
      <c r="C751" s="7"/>
      <c r="D751" s="116"/>
      <c r="E751" s="116"/>
      <c r="F751" s="8"/>
      <c r="G751" s="8"/>
      <c r="H751" s="7"/>
      <c r="I751" s="8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>
      <c r="A752" s="80"/>
      <c r="B752" s="7"/>
      <c r="C752" s="7"/>
      <c r="D752" s="116"/>
      <c r="E752" s="116"/>
      <c r="F752" s="8"/>
      <c r="G752" s="8"/>
      <c r="H752" s="7"/>
      <c r="I752" s="8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>
      <c r="A753" s="80"/>
      <c r="B753" s="7"/>
      <c r="C753" s="7"/>
      <c r="D753" s="116"/>
      <c r="E753" s="116"/>
      <c r="F753" s="8"/>
      <c r="G753" s="8"/>
      <c r="H753" s="7"/>
      <c r="I753" s="8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>
      <c r="A754" s="80"/>
      <c r="B754" s="7"/>
      <c r="C754" s="7"/>
      <c r="D754" s="116"/>
      <c r="E754" s="116"/>
      <c r="F754" s="8"/>
      <c r="G754" s="8"/>
      <c r="H754" s="7"/>
      <c r="I754" s="8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>
      <c r="A755" s="80"/>
      <c r="B755" s="7"/>
      <c r="C755" s="7"/>
      <c r="D755" s="116"/>
      <c r="E755" s="116"/>
      <c r="F755" s="8"/>
      <c r="G755" s="8"/>
      <c r="H755" s="7"/>
      <c r="I755" s="8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>
      <c r="A756" s="80"/>
      <c r="B756" s="7"/>
      <c r="C756" s="7"/>
      <c r="D756" s="116"/>
      <c r="E756" s="116"/>
      <c r="F756" s="8"/>
      <c r="G756" s="8"/>
      <c r="H756" s="7"/>
      <c r="I756" s="8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>
      <c r="A757" s="80"/>
      <c r="B757" s="7"/>
      <c r="C757" s="7"/>
      <c r="D757" s="116"/>
      <c r="E757" s="116"/>
      <c r="F757" s="8"/>
      <c r="G757" s="8"/>
      <c r="H757" s="7"/>
      <c r="I757" s="8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>
      <c r="A758" s="80"/>
      <c r="B758" s="7"/>
      <c r="C758" s="7"/>
      <c r="D758" s="116"/>
      <c r="E758" s="116"/>
      <c r="F758" s="8"/>
      <c r="G758" s="8"/>
      <c r="H758" s="7"/>
      <c r="I758" s="8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>
      <c r="A759" s="80"/>
      <c r="B759" s="7"/>
      <c r="C759" s="7"/>
      <c r="D759" s="116"/>
      <c r="E759" s="116"/>
      <c r="F759" s="8"/>
      <c r="G759" s="8"/>
      <c r="H759" s="7"/>
      <c r="I759" s="8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>
      <c r="A760" s="80"/>
      <c r="B760" s="7"/>
      <c r="C760" s="7"/>
      <c r="D760" s="116"/>
      <c r="E760" s="116"/>
      <c r="F760" s="8"/>
      <c r="G760" s="8"/>
      <c r="H760" s="7"/>
      <c r="I760" s="8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>
      <c r="A761" s="80"/>
      <c r="B761" s="7"/>
      <c r="C761" s="7"/>
      <c r="D761" s="116"/>
      <c r="E761" s="116"/>
      <c r="F761" s="8"/>
      <c r="G761" s="8"/>
      <c r="H761" s="7"/>
      <c r="I761" s="8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>
      <c r="A762" s="80"/>
      <c r="B762" s="7"/>
      <c r="C762" s="7"/>
      <c r="D762" s="116"/>
      <c r="E762" s="116"/>
      <c r="F762" s="8"/>
      <c r="G762" s="8"/>
      <c r="H762" s="7"/>
      <c r="I762" s="8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>
      <c r="A763" s="80"/>
      <c r="B763" s="7"/>
      <c r="C763" s="7"/>
      <c r="D763" s="116"/>
      <c r="E763" s="116"/>
      <c r="F763" s="8"/>
      <c r="G763" s="8"/>
      <c r="H763" s="7"/>
      <c r="I763" s="8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>
      <c r="A764" s="80"/>
      <c r="B764" s="7"/>
      <c r="C764" s="7"/>
      <c r="D764" s="116"/>
      <c r="E764" s="116"/>
      <c r="F764" s="8"/>
      <c r="G764" s="8"/>
      <c r="H764" s="7"/>
      <c r="I764" s="8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>
      <c r="A765" s="80"/>
      <c r="B765" s="7"/>
      <c r="C765" s="7"/>
      <c r="D765" s="116"/>
      <c r="E765" s="116"/>
      <c r="F765" s="8"/>
      <c r="G765" s="8"/>
      <c r="H765" s="7"/>
      <c r="I765" s="8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>
      <c r="A766" s="80"/>
      <c r="B766" s="7"/>
      <c r="C766" s="7"/>
      <c r="D766" s="116"/>
      <c r="E766" s="116"/>
      <c r="F766" s="8"/>
      <c r="G766" s="8"/>
      <c r="H766" s="7"/>
      <c r="I766" s="8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>
      <c r="A767" s="80"/>
      <c r="B767" s="7"/>
      <c r="C767" s="7"/>
      <c r="D767" s="116"/>
      <c r="E767" s="116"/>
      <c r="F767" s="8"/>
      <c r="G767" s="8"/>
      <c r="H767" s="7"/>
      <c r="I767" s="8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>
      <c r="A768" s="80"/>
      <c r="B768" s="7"/>
      <c r="C768" s="7"/>
      <c r="D768" s="116"/>
      <c r="E768" s="116"/>
      <c r="F768" s="8"/>
      <c r="G768" s="8"/>
      <c r="H768" s="7"/>
      <c r="I768" s="8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>
      <c r="A769" s="80"/>
      <c r="B769" s="7"/>
      <c r="C769" s="7"/>
      <c r="D769" s="116"/>
      <c r="E769" s="116"/>
      <c r="F769" s="8"/>
      <c r="G769" s="8"/>
      <c r="H769" s="7"/>
      <c r="I769" s="8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>
      <c r="A770" s="80"/>
      <c r="B770" s="7"/>
      <c r="C770" s="7"/>
      <c r="D770" s="116"/>
      <c r="E770" s="116"/>
      <c r="F770" s="8"/>
      <c r="G770" s="8"/>
      <c r="H770" s="7"/>
      <c r="I770" s="8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>
      <c r="A771" s="80"/>
      <c r="B771" s="7"/>
      <c r="C771" s="7"/>
      <c r="D771" s="116"/>
      <c r="E771" s="116"/>
      <c r="F771" s="8"/>
      <c r="G771" s="8"/>
      <c r="H771" s="7"/>
      <c r="I771" s="8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>
      <c r="A772" s="80"/>
      <c r="B772" s="7"/>
      <c r="C772" s="7"/>
      <c r="D772" s="116"/>
      <c r="E772" s="116"/>
      <c r="F772" s="8"/>
      <c r="G772" s="8"/>
      <c r="H772" s="7"/>
      <c r="I772" s="8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>
      <c r="A773" s="80"/>
      <c r="B773" s="7"/>
      <c r="C773" s="7"/>
      <c r="D773" s="116"/>
      <c r="E773" s="116"/>
      <c r="F773" s="8"/>
      <c r="G773" s="8"/>
      <c r="H773" s="7"/>
      <c r="I773" s="8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>
      <c r="A774" s="80"/>
      <c r="B774" s="7"/>
      <c r="C774" s="7"/>
      <c r="D774" s="116"/>
      <c r="E774" s="116"/>
      <c r="F774" s="8"/>
      <c r="G774" s="8"/>
      <c r="H774" s="7"/>
      <c r="I774" s="8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>
      <c r="A775" s="80"/>
      <c r="B775" s="7"/>
      <c r="C775" s="7"/>
      <c r="D775" s="116"/>
      <c r="E775" s="116"/>
      <c r="F775" s="8"/>
      <c r="G775" s="8"/>
      <c r="H775" s="7"/>
      <c r="I775" s="8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>
      <c r="A776" s="80"/>
      <c r="B776" s="7"/>
      <c r="C776" s="7"/>
      <c r="D776" s="116"/>
      <c r="E776" s="116"/>
      <c r="F776" s="8"/>
      <c r="G776" s="8"/>
      <c r="H776" s="7"/>
      <c r="I776" s="8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>
      <c r="A777" s="80"/>
      <c r="B777" s="7"/>
      <c r="C777" s="7"/>
      <c r="D777" s="116"/>
      <c r="E777" s="116"/>
      <c r="F777" s="8"/>
      <c r="G777" s="8"/>
      <c r="H777" s="7"/>
      <c r="I777" s="8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>
      <c r="A778" s="80"/>
      <c r="B778" s="7"/>
      <c r="C778" s="7"/>
      <c r="D778" s="116"/>
      <c r="E778" s="116"/>
      <c r="F778" s="8"/>
      <c r="G778" s="8"/>
      <c r="H778" s="7"/>
      <c r="I778" s="8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>
      <c r="A779" s="80"/>
      <c r="B779" s="7"/>
      <c r="C779" s="7"/>
      <c r="D779" s="116"/>
      <c r="E779" s="116"/>
      <c r="F779" s="8"/>
      <c r="G779" s="8"/>
      <c r="H779" s="7"/>
      <c r="I779" s="8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>
      <c r="A780" s="80"/>
      <c r="B780" s="7"/>
      <c r="C780" s="7"/>
      <c r="D780" s="116"/>
      <c r="E780" s="116"/>
      <c r="F780" s="8"/>
      <c r="G780" s="8"/>
      <c r="H780" s="7"/>
      <c r="I780" s="8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>
      <c r="A781" s="80"/>
      <c r="B781" s="7"/>
      <c r="C781" s="7"/>
      <c r="D781" s="116"/>
      <c r="E781" s="116"/>
      <c r="F781" s="8"/>
      <c r="G781" s="8"/>
      <c r="H781" s="7"/>
      <c r="I781" s="8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>
      <c r="A782" s="80"/>
      <c r="B782" s="7"/>
      <c r="C782" s="7"/>
      <c r="D782" s="116"/>
      <c r="E782" s="116"/>
      <c r="F782" s="8"/>
      <c r="G782" s="8"/>
      <c r="H782" s="7"/>
      <c r="I782" s="8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>
      <c r="A783" s="80"/>
      <c r="B783" s="7"/>
      <c r="C783" s="7"/>
      <c r="D783" s="116"/>
      <c r="E783" s="116"/>
      <c r="F783" s="8"/>
      <c r="G783" s="8"/>
      <c r="H783" s="7"/>
      <c r="I783" s="8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>
      <c r="A784" s="80"/>
      <c r="B784" s="7"/>
      <c r="C784" s="7"/>
      <c r="D784" s="116"/>
      <c r="E784" s="116"/>
      <c r="F784" s="8"/>
      <c r="G784" s="8"/>
      <c r="H784" s="7"/>
      <c r="I784" s="8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>
      <c r="A785" s="80"/>
      <c r="B785" s="7"/>
      <c r="C785" s="7"/>
      <c r="D785" s="116"/>
      <c r="E785" s="116"/>
      <c r="F785" s="8"/>
      <c r="G785" s="8"/>
      <c r="H785" s="7"/>
      <c r="I785" s="8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>
      <c r="A786" s="80"/>
      <c r="B786" s="7"/>
      <c r="C786" s="7"/>
      <c r="D786" s="116"/>
      <c r="E786" s="116"/>
      <c r="F786" s="8"/>
      <c r="G786" s="8"/>
      <c r="H786" s="7"/>
      <c r="I786" s="8"/>
      <c r="J786" s="8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>
      <c r="A787" s="80"/>
      <c r="B787" s="7"/>
      <c r="C787" s="7"/>
      <c r="D787" s="116"/>
      <c r="E787" s="116"/>
      <c r="F787" s="8"/>
      <c r="G787" s="8"/>
      <c r="H787" s="7"/>
      <c r="I787" s="8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>
      <c r="A788" s="80"/>
      <c r="B788" s="7"/>
      <c r="C788" s="7"/>
      <c r="D788" s="116"/>
      <c r="E788" s="116"/>
      <c r="F788" s="8"/>
      <c r="G788" s="8"/>
      <c r="H788" s="7"/>
      <c r="I788" s="8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>
      <c r="A789" s="80"/>
      <c r="B789" s="7"/>
      <c r="C789" s="7"/>
      <c r="D789" s="116"/>
      <c r="E789" s="116"/>
      <c r="F789" s="8"/>
      <c r="G789" s="8"/>
      <c r="H789" s="7"/>
      <c r="I789" s="8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>
      <c r="A790" s="80"/>
      <c r="B790" s="7"/>
      <c r="C790" s="7"/>
      <c r="D790" s="116"/>
      <c r="E790" s="116"/>
      <c r="F790" s="8"/>
      <c r="G790" s="8"/>
      <c r="H790" s="7"/>
      <c r="I790" s="8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>
      <c r="A791" s="80"/>
      <c r="B791" s="7"/>
      <c r="C791" s="7"/>
      <c r="D791" s="116"/>
      <c r="E791" s="116"/>
      <c r="F791" s="8"/>
      <c r="G791" s="8"/>
      <c r="H791" s="7"/>
      <c r="I791" s="8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>
      <c r="A792" s="80"/>
      <c r="B792" s="7"/>
      <c r="C792" s="7"/>
      <c r="D792" s="116"/>
      <c r="E792" s="116"/>
      <c r="F792" s="8"/>
      <c r="G792" s="8"/>
      <c r="H792" s="7"/>
      <c r="I792" s="8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>
      <c r="A793" s="80"/>
      <c r="B793" s="7"/>
      <c r="C793" s="7"/>
      <c r="D793" s="116"/>
      <c r="E793" s="116"/>
      <c r="F793" s="8"/>
      <c r="G793" s="8"/>
      <c r="H793" s="7"/>
      <c r="I793" s="8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>
      <c r="A794" s="80"/>
      <c r="B794" s="7"/>
      <c r="C794" s="7"/>
      <c r="D794" s="116"/>
      <c r="E794" s="116"/>
      <c r="F794" s="8"/>
      <c r="G794" s="8"/>
      <c r="H794" s="7"/>
      <c r="I794" s="8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>
      <c r="A795" s="80"/>
      <c r="B795" s="7"/>
      <c r="C795" s="7"/>
      <c r="D795" s="116"/>
      <c r="E795" s="116"/>
      <c r="F795" s="8"/>
      <c r="G795" s="8"/>
      <c r="H795" s="7"/>
      <c r="I795" s="8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>
      <c r="A796" s="80"/>
      <c r="B796" s="7"/>
      <c r="C796" s="7"/>
      <c r="D796" s="116"/>
      <c r="E796" s="116"/>
      <c r="F796" s="8"/>
      <c r="G796" s="8"/>
      <c r="H796" s="7"/>
      <c r="I796" s="8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>
      <c r="A797" s="80"/>
      <c r="B797" s="7"/>
      <c r="C797" s="7"/>
      <c r="D797" s="116"/>
      <c r="E797" s="116"/>
      <c r="F797" s="8"/>
      <c r="G797" s="8"/>
      <c r="H797" s="7"/>
      <c r="I797" s="8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>
      <c r="A798" s="80"/>
      <c r="B798" s="7"/>
      <c r="C798" s="7"/>
      <c r="D798" s="116"/>
      <c r="E798" s="116"/>
      <c r="F798" s="8"/>
      <c r="G798" s="8"/>
      <c r="H798" s="7"/>
      <c r="I798" s="8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>
      <c r="A799" s="80"/>
      <c r="B799" s="7"/>
      <c r="C799" s="7"/>
      <c r="D799" s="116"/>
      <c r="E799" s="116"/>
      <c r="F799" s="8"/>
      <c r="G799" s="8"/>
      <c r="H799" s="7"/>
      <c r="I799" s="8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>
      <c r="A800" s="80"/>
      <c r="B800" s="7"/>
      <c r="C800" s="7"/>
      <c r="D800" s="116"/>
      <c r="E800" s="116"/>
      <c r="F800" s="8"/>
      <c r="G800" s="8"/>
      <c r="H800" s="7"/>
      <c r="I800" s="8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>
      <c r="A801" s="80"/>
      <c r="B801" s="7"/>
      <c r="C801" s="7"/>
      <c r="D801" s="116"/>
      <c r="E801" s="116"/>
      <c r="F801" s="8"/>
      <c r="G801" s="8"/>
      <c r="H801" s="7"/>
      <c r="I801" s="8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>
      <c r="A802" s="80"/>
      <c r="B802" s="7"/>
      <c r="C802" s="7"/>
      <c r="D802" s="116"/>
      <c r="E802" s="116"/>
      <c r="F802" s="8"/>
      <c r="G802" s="8"/>
      <c r="H802" s="7"/>
      <c r="I802" s="8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>
      <c r="A803" s="80"/>
      <c r="B803" s="7"/>
      <c r="C803" s="7"/>
      <c r="D803" s="116"/>
      <c r="E803" s="116"/>
      <c r="F803" s="8"/>
      <c r="G803" s="8"/>
      <c r="H803" s="7"/>
      <c r="I803" s="8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>
      <c r="A804" s="80"/>
      <c r="B804" s="7"/>
      <c r="C804" s="7"/>
      <c r="D804" s="116"/>
      <c r="E804" s="116"/>
      <c r="F804" s="8"/>
      <c r="G804" s="8"/>
      <c r="H804" s="7"/>
      <c r="I804" s="8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>
      <c r="A805" s="80"/>
      <c r="B805" s="7"/>
      <c r="C805" s="7"/>
      <c r="D805" s="116"/>
      <c r="E805" s="116"/>
      <c r="F805" s="8"/>
      <c r="G805" s="8"/>
      <c r="H805" s="7"/>
      <c r="I805" s="8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>
      <c r="A806" s="80"/>
      <c r="B806" s="7"/>
      <c r="C806" s="7"/>
      <c r="D806" s="116"/>
      <c r="E806" s="116"/>
      <c r="F806" s="8"/>
      <c r="G806" s="8"/>
      <c r="H806" s="7"/>
      <c r="I806" s="8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>
      <c r="A807" s="80"/>
      <c r="B807" s="7"/>
      <c r="C807" s="7"/>
      <c r="D807" s="116"/>
      <c r="E807" s="116"/>
      <c r="F807" s="8"/>
      <c r="G807" s="8"/>
      <c r="H807" s="7"/>
      <c r="I807" s="8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>
      <c r="A808" s="80"/>
      <c r="B808" s="7"/>
      <c r="C808" s="7"/>
      <c r="D808" s="116"/>
      <c r="E808" s="116"/>
      <c r="F808" s="8"/>
      <c r="G808" s="8"/>
      <c r="H808" s="7"/>
      <c r="I808" s="8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>
      <c r="A809" s="80"/>
      <c r="B809" s="7"/>
      <c r="C809" s="7"/>
      <c r="D809" s="116"/>
      <c r="E809" s="116"/>
      <c r="F809" s="8"/>
      <c r="G809" s="8"/>
      <c r="H809" s="7"/>
      <c r="I809" s="8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>
      <c r="A810" s="80"/>
      <c r="B810" s="7"/>
      <c r="C810" s="7"/>
      <c r="D810" s="116"/>
      <c r="E810" s="116"/>
      <c r="F810" s="8"/>
      <c r="G810" s="8"/>
      <c r="H810" s="7"/>
      <c r="I810" s="8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>
      <c r="A811" s="80"/>
      <c r="B811" s="7"/>
      <c r="C811" s="7"/>
      <c r="D811" s="116"/>
      <c r="E811" s="116"/>
      <c r="F811" s="8"/>
      <c r="G811" s="8"/>
      <c r="H811" s="7"/>
      <c r="I811" s="8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>
      <c r="A812" s="80"/>
      <c r="B812" s="7"/>
      <c r="C812" s="7"/>
      <c r="D812" s="116"/>
      <c r="E812" s="116"/>
      <c r="F812" s="8"/>
      <c r="G812" s="8"/>
      <c r="H812" s="7"/>
      <c r="I812" s="8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>
      <c r="A813" s="80"/>
      <c r="B813" s="7"/>
      <c r="C813" s="7"/>
      <c r="D813" s="116"/>
      <c r="E813" s="116"/>
      <c r="F813" s="8"/>
      <c r="G813" s="8"/>
      <c r="H813" s="7"/>
      <c r="I813" s="8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>
      <c r="A814" s="80"/>
      <c r="B814" s="7"/>
      <c r="C814" s="7"/>
      <c r="D814" s="116"/>
      <c r="E814" s="116"/>
      <c r="F814" s="8"/>
      <c r="G814" s="8"/>
      <c r="H814" s="7"/>
      <c r="I814" s="8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>
      <c r="A815" s="80"/>
      <c r="B815" s="7"/>
      <c r="C815" s="7"/>
      <c r="D815" s="116"/>
      <c r="E815" s="116"/>
      <c r="F815" s="8"/>
      <c r="G815" s="8"/>
      <c r="H815" s="7"/>
      <c r="I815" s="8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>
      <c r="A816" s="80"/>
      <c r="B816" s="7"/>
      <c r="C816" s="7"/>
      <c r="D816" s="116"/>
      <c r="E816" s="116"/>
      <c r="F816" s="8"/>
      <c r="G816" s="8"/>
      <c r="H816" s="7"/>
      <c r="I816" s="8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>
      <c r="A817" s="80"/>
      <c r="B817" s="7"/>
      <c r="C817" s="7"/>
      <c r="D817" s="116"/>
      <c r="E817" s="116"/>
      <c r="F817" s="8"/>
      <c r="G817" s="8"/>
      <c r="H817" s="7"/>
      <c r="I817" s="8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>
      <c r="A818" s="80"/>
      <c r="B818" s="7"/>
      <c r="C818" s="7"/>
      <c r="D818" s="116"/>
      <c r="E818" s="116"/>
      <c r="F818" s="8"/>
      <c r="G818" s="8"/>
      <c r="H818" s="7"/>
      <c r="I818" s="8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>
      <c r="A819" s="80"/>
      <c r="B819" s="7"/>
      <c r="C819" s="7"/>
      <c r="D819" s="116"/>
      <c r="E819" s="116"/>
      <c r="F819" s="8"/>
      <c r="G819" s="8"/>
      <c r="H819" s="7"/>
      <c r="I819" s="8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>
      <c r="A820" s="80"/>
      <c r="B820" s="7"/>
      <c r="C820" s="7"/>
      <c r="D820" s="116"/>
      <c r="E820" s="116"/>
      <c r="F820" s="8"/>
      <c r="G820" s="8"/>
      <c r="H820" s="7"/>
      <c r="I820" s="8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>
      <c r="A821" s="80"/>
      <c r="B821" s="7"/>
      <c r="C821" s="7"/>
      <c r="D821" s="116"/>
      <c r="E821" s="116"/>
      <c r="F821" s="8"/>
      <c r="G821" s="8"/>
      <c r="H821" s="7"/>
      <c r="I821" s="8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>
      <c r="A822" s="80"/>
      <c r="B822" s="7"/>
      <c r="C822" s="7"/>
      <c r="D822" s="116"/>
      <c r="E822" s="116"/>
      <c r="F822" s="8"/>
      <c r="G822" s="8"/>
      <c r="H822" s="7"/>
      <c r="I822" s="8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>
      <c r="A823" s="80"/>
      <c r="B823" s="7"/>
      <c r="C823" s="7"/>
      <c r="D823" s="116"/>
      <c r="E823" s="116"/>
      <c r="F823" s="8"/>
      <c r="G823" s="8"/>
      <c r="H823" s="7"/>
      <c r="I823" s="8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>
      <c r="A824" s="80"/>
      <c r="B824" s="7"/>
      <c r="C824" s="7"/>
      <c r="D824" s="116"/>
      <c r="E824" s="116"/>
      <c r="F824" s="8"/>
      <c r="G824" s="8"/>
      <c r="H824" s="7"/>
      <c r="I824" s="8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>
      <c r="A825" s="80"/>
      <c r="B825" s="7"/>
      <c r="C825" s="7"/>
      <c r="D825" s="116"/>
      <c r="E825" s="116"/>
      <c r="F825" s="8"/>
      <c r="G825" s="8"/>
      <c r="H825" s="7"/>
      <c r="I825" s="8"/>
      <c r="J825" s="8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>
      <c r="A826" s="80"/>
      <c r="B826" s="7"/>
      <c r="C826" s="7"/>
      <c r="D826" s="116"/>
      <c r="E826" s="116"/>
      <c r="F826" s="8"/>
      <c r="G826" s="8"/>
      <c r="H826" s="7"/>
      <c r="I826" s="8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>
      <c r="A827" s="80"/>
      <c r="B827" s="7"/>
      <c r="C827" s="7"/>
      <c r="D827" s="116"/>
      <c r="E827" s="116"/>
      <c r="F827" s="8"/>
      <c r="G827" s="8"/>
      <c r="H827" s="7"/>
      <c r="I827" s="8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>
      <c r="A828" s="80"/>
      <c r="B828" s="7"/>
      <c r="C828" s="7"/>
      <c r="D828" s="116"/>
      <c r="E828" s="116"/>
      <c r="F828" s="8"/>
      <c r="G828" s="8"/>
      <c r="H828" s="7"/>
      <c r="I828" s="8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>
      <c r="A829" s="80"/>
      <c r="B829" s="7"/>
      <c r="C829" s="7"/>
      <c r="D829" s="116"/>
      <c r="E829" s="116"/>
      <c r="F829" s="8"/>
      <c r="G829" s="8"/>
      <c r="H829" s="7"/>
      <c r="I829" s="8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>
      <c r="A830" s="80"/>
      <c r="B830" s="7"/>
      <c r="C830" s="7"/>
      <c r="D830" s="116"/>
      <c r="E830" s="116"/>
      <c r="F830" s="8"/>
      <c r="G830" s="8"/>
      <c r="H830" s="7"/>
      <c r="I830" s="8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>
      <c r="A831" s="80"/>
      <c r="B831" s="7"/>
      <c r="C831" s="7"/>
      <c r="D831" s="116"/>
      <c r="E831" s="116"/>
      <c r="F831" s="8"/>
      <c r="G831" s="8"/>
      <c r="H831" s="7"/>
      <c r="I831" s="8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>
      <c r="A832" s="80"/>
      <c r="B832" s="7"/>
      <c r="C832" s="7"/>
      <c r="D832" s="116"/>
      <c r="E832" s="116"/>
      <c r="F832" s="8"/>
      <c r="G832" s="8"/>
      <c r="H832" s="7"/>
      <c r="I832" s="8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>
      <c r="A833" s="80"/>
      <c r="B833" s="7"/>
      <c r="C833" s="7"/>
      <c r="D833" s="116"/>
      <c r="E833" s="116"/>
      <c r="F833" s="8"/>
      <c r="G833" s="8"/>
      <c r="H833" s="7"/>
      <c r="I833" s="8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>
      <c r="A834" s="80"/>
      <c r="B834" s="7"/>
      <c r="C834" s="7"/>
      <c r="D834" s="116"/>
      <c r="E834" s="116"/>
      <c r="F834" s="8"/>
      <c r="G834" s="8"/>
      <c r="H834" s="7"/>
      <c r="I834" s="8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>
      <c r="A835" s="80"/>
      <c r="B835" s="7"/>
      <c r="C835" s="7"/>
      <c r="D835" s="116"/>
      <c r="E835" s="116"/>
      <c r="F835" s="8"/>
      <c r="G835" s="8"/>
      <c r="H835" s="7"/>
      <c r="I835" s="8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>
      <c r="A836" s="80"/>
      <c r="B836" s="7"/>
      <c r="C836" s="7"/>
      <c r="D836" s="116"/>
      <c r="E836" s="116"/>
      <c r="F836" s="8"/>
      <c r="G836" s="8"/>
      <c r="H836" s="7"/>
      <c r="I836" s="8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>
      <c r="A837" s="80"/>
      <c r="B837" s="7"/>
      <c r="C837" s="7"/>
      <c r="D837" s="116"/>
      <c r="E837" s="116"/>
      <c r="F837" s="8"/>
      <c r="G837" s="8"/>
      <c r="H837" s="7"/>
      <c r="I837" s="8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>
      <c r="A838" s="80"/>
      <c r="B838" s="7"/>
      <c r="C838" s="7"/>
      <c r="D838" s="116"/>
      <c r="E838" s="116"/>
      <c r="F838" s="8"/>
      <c r="G838" s="8"/>
      <c r="H838" s="7"/>
      <c r="I838" s="8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>
      <c r="A839" s="80"/>
      <c r="B839" s="7"/>
      <c r="C839" s="7"/>
      <c r="D839" s="116"/>
      <c r="E839" s="116"/>
      <c r="F839" s="8"/>
      <c r="G839" s="8"/>
      <c r="H839" s="7"/>
      <c r="I839" s="8"/>
      <c r="J839" s="8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>
      <c r="A840" s="80"/>
      <c r="B840" s="7"/>
      <c r="C840" s="7"/>
      <c r="D840" s="116"/>
      <c r="E840" s="116"/>
      <c r="F840" s="8"/>
      <c r="G840" s="8"/>
      <c r="H840" s="7"/>
      <c r="I840" s="8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>
      <c r="A841" s="80"/>
      <c r="B841" s="7"/>
      <c r="C841" s="7"/>
      <c r="D841" s="116"/>
      <c r="E841" s="116"/>
      <c r="F841" s="8"/>
      <c r="G841" s="8"/>
      <c r="H841" s="7"/>
      <c r="I841" s="8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>
      <c r="A842" s="80"/>
      <c r="B842" s="7"/>
      <c r="C842" s="7"/>
      <c r="D842" s="116"/>
      <c r="E842" s="116"/>
      <c r="F842" s="8"/>
      <c r="G842" s="8"/>
      <c r="H842" s="7"/>
      <c r="I842" s="8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>
      <c r="A843" s="80"/>
      <c r="B843" s="7"/>
      <c r="C843" s="7"/>
      <c r="D843" s="116"/>
      <c r="E843" s="116"/>
      <c r="F843" s="8"/>
      <c r="G843" s="8"/>
      <c r="H843" s="7"/>
      <c r="I843" s="8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>
      <c r="A844" s="80"/>
      <c r="B844" s="7"/>
      <c r="C844" s="7"/>
      <c r="D844" s="116"/>
      <c r="E844" s="116"/>
      <c r="F844" s="8"/>
      <c r="G844" s="8"/>
      <c r="H844" s="7"/>
      <c r="I844" s="8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>
      <c r="A845" s="80"/>
      <c r="B845" s="7"/>
      <c r="C845" s="7"/>
      <c r="D845" s="116"/>
      <c r="E845" s="116"/>
      <c r="F845" s="8"/>
      <c r="G845" s="8"/>
      <c r="H845" s="7"/>
      <c r="I845" s="8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>
      <c r="A846" s="80"/>
      <c r="B846" s="7"/>
      <c r="C846" s="7"/>
      <c r="D846" s="116"/>
      <c r="E846" s="116"/>
      <c r="F846" s="8"/>
      <c r="G846" s="8"/>
      <c r="H846" s="7"/>
      <c r="I846" s="8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>
      <c r="A847" s="80"/>
      <c r="B847" s="7"/>
      <c r="C847" s="7"/>
      <c r="D847" s="116"/>
      <c r="E847" s="116"/>
      <c r="F847" s="8"/>
      <c r="G847" s="8"/>
      <c r="H847" s="7"/>
      <c r="I847" s="8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>
      <c r="A848" s="80"/>
      <c r="B848" s="7"/>
      <c r="C848" s="7"/>
      <c r="D848" s="116"/>
      <c r="E848" s="116"/>
      <c r="F848" s="8"/>
      <c r="G848" s="8"/>
      <c r="H848" s="7"/>
      <c r="I848" s="8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>
      <c r="A849" s="80"/>
      <c r="B849" s="7"/>
      <c r="C849" s="7"/>
      <c r="D849" s="116"/>
      <c r="E849" s="116"/>
      <c r="F849" s="8"/>
      <c r="G849" s="8"/>
      <c r="H849" s="7"/>
      <c r="I849" s="8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>
      <c r="A850" s="80"/>
      <c r="B850" s="7"/>
      <c r="C850" s="7"/>
      <c r="D850" s="116"/>
      <c r="E850" s="116"/>
      <c r="F850" s="8"/>
      <c r="G850" s="8"/>
      <c r="H850" s="7"/>
      <c r="I850" s="8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>
      <c r="A851" s="80"/>
      <c r="B851" s="7"/>
      <c r="C851" s="7"/>
      <c r="D851" s="116"/>
      <c r="E851" s="116"/>
      <c r="F851" s="8"/>
      <c r="G851" s="8"/>
      <c r="H851" s="7"/>
      <c r="I851" s="8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>
      <c r="A852" s="80"/>
      <c r="B852" s="7"/>
      <c r="C852" s="7"/>
      <c r="D852" s="116"/>
      <c r="E852" s="116"/>
      <c r="F852" s="8"/>
      <c r="G852" s="8"/>
      <c r="H852" s="7"/>
      <c r="I852" s="8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>
      <c r="A853" s="80"/>
      <c r="B853" s="7"/>
      <c r="C853" s="7"/>
      <c r="D853" s="116"/>
      <c r="E853" s="116"/>
      <c r="F853" s="8"/>
      <c r="G853" s="8"/>
      <c r="H853" s="7"/>
      <c r="I853" s="8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>
      <c r="A854" s="80"/>
      <c r="B854" s="7"/>
      <c r="C854" s="7"/>
      <c r="D854" s="116"/>
      <c r="E854" s="116"/>
      <c r="F854" s="8"/>
      <c r="G854" s="8"/>
      <c r="H854" s="7"/>
      <c r="I854" s="8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>
      <c r="A855" s="80"/>
      <c r="B855" s="7"/>
      <c r="C855" s="7"/>
      <c r="D855" s="116"/>
      <c r="E855" s="116"/>
      <c r="F855" s="8"/>
      <c r="G855" s="8"/>
      <c r="H855" s="7"/>
      <c r="I855" s="8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>
      <c r="A856" s="80"/>
      <c r="B856" s="7"/>
      <c r="C856" s="7"/>
      <c r="D856" s="116"/>
      <c r="E856" s="116"/>
      <c r="F856" s="8"/>
      <c r="G856" s="8"/>
      <c r="H856" s="7"/>
      <c r="I856" s="8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>
      <c r="A857" s="80"/>
      <c r="B857" s="7"/>
      <c r="C857" s="7"/>
      <c r="D857" s="116"/>
      <c r="E857" s="116"/>
      <c r="F857" s="8"/>
      <c r="G857" s="8"/>
      <c r="H857" s="7"/>
      <c r="I857" s="8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>
      <c r="A858" s="80"/>
      <c r="B858" s="7"/>
      <c r="C858" s="7"/>
      <c r="D858" s="116"/>
      <c r="E858" s="116"/>
      <c r="F858" s="8"/>
      <c r="G858" s="8"/>
      <c r="H858" s="7"/>
      <c r="I858" s="8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>
      <c r="A859" s="80"/>
      <c r="B859" s="7"/>
      <c r="C859" s="7"/>
      <c r="D859" s="116"/>
      <c r="E859" s="116"/>
      <c r="F859" s="8"/>
      <c r="G859" s="8"/>
      <c r="H859" s="7"/>
      <c r="I859" s="8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>
      <c r="A860" s="80"/>
      <c r="B860" s="7"/>
      <c r="C860" s="7"/>
      <c r="D860" s="116"/>
      <c r="E860" s="116"/>
      <c r="F860" s="8"/>
      <c r="G860" s="8"/>
      <c r="H860" s="7"/>
      <c r="I860" s="8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>
      <c r="A861" s="80"/>
      <c r="B861" s="7"/>
      <c r="C861" s="7"/>
      <c r="D861" s="116"/>
      <c r="E861" s="116"/>
      <c r="F861" s="8"/>
      <c r="G861" s="8"/>
      <c r="H861" s="7"/>
      <c r="I861" s="8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>
      <c r="A862" s="80"/>
      <c r="B862" s="7"/>
      <c r="C862" s="7"/>
      <c r="D862" s="116"/>
      <c r="E862" s="116"/>
      <c r="F862" s="8"/>
      <c r="G862" s="8"/>
      <c r="H862" s="7"/>
      <c r="I862" s="8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>
      <c r="A863" s="80"/>
      <c r="B863" s="7"/>
      <c r="C863" s="7"/>
      <c r="D863" s="116"/>
      <c r="E863" s="116"/>
      <c r="F863" s="8"/>
      <c r="G863" s="8"/>
      <c r="H863" s="7"/>
      <c r="I863" s="8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>
      <c r="A864" s="80"/>
      <c r="B864" s="7"/>
      <c r="C864" s="7"/>
      <c r="D864" s="116"/>
      <c r="E864" s="116"/>
      <c r="F864" s="8"/>
      <c r="G864" s="8"/>
      <c r="H864" s="7"/>
      <c r="I864" s="8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>
      <c r="A865" s="80"/>
      <c r="B865" s="7"/>
      <c r="C865" s="7"/>
      <c r="D865" s="116"/>
      <c r="E865" s="116"/>
      <c r="F865" s="8"/>
      <c r="G865" s="8"/>
      <c r="H865" s="7"/>
      <c r="I865" s="8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>
      <c r="A866" s="80"/>
      <c r="B866" s="7"/>
      <c r="C866" s="7"/>
      <c r="D866" s="116"/>
      <c r="E866" s="116"/>
      <c r="F866" s="8"/>
      <c r="G866" s="8"/>
      <c r="H866" s="7"/>
      <c r="I866" s="8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>
      <c r="A867" s="80"/>
      <c r="B867" s="7"/>
      <c r="C867" s="7"/>
      <c r="D867" s="116"/>
      <c r="E867" s="116"/>
      <c r="F867" s="8"/>
      <c r="G867" s="8"/>
      <c r="H867" s="7"/>
      <c r="I867" s="8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>
      <c r="A868" s="80"/>
      <c r="B868" s="7"/>
      <c r="C868" s="7"/>
      <c r="D868" s="116"/>
      <c r="E868" s="116"/>
      <c r="F868" s="8"/>
      <c r="G868" s="8"/>
      <c r="H868" s="7"/>
      <c r="I868" s="8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>
      <c r="A869" s="80"/>
      <c r="B869" s="7"/>
      <c r="C869" s="7"/>
      <c r="D869" s="116"/>
      <c r="E869" s="116"/>
      <c r="F869" s="8"/>
      <c r="G869" s="8"/>
      <c r="H869" s="7"/>
      <c r="I869" s="8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>
      <c r="A870" s="80"/>
      <c r="B870" s="7"/>
      <c r="C870" s="7"/>
      <c r="D870" s="116"/>
      <c r="E870" s="116"/>
      <c r="F870" s="8"/>
      <c r="G870" s="8"/>
      <c r="H870" s="7"/>
      <c r="I870" s="8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>
      <c r="A871" s="80"/>
      <c r="B871" s="7"/>
      <c r="C871" s="7"/>
      <c r="D871" s="116"/>
      <c r="E871" s="116"/>
      <c r="F871" s="8"/>
      <c r="G871" s="8"/>
      <c r="H871" s="7"/>
      <c r="I871" s="8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>
      <c r="A872" s="80"/>
      <c r="B872" s="7"/>
      <c r="C872" s="7"/>
      <c r="D872" s="116"/>
      <c r="E872" s="116"/>
      <c r="F872" s="8"/>
      <c r="G872" s="8"/>
      <c r="H872" s="7"/>
      <c r="I872" s="8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>
      <c r="A873" s="80"/>
      <c r="B873" s="7"/>
      <c r="C873" s="7"/>
      <c r="D873" s="116"/>
      <c r="E873" s="116"/>
      <c r="F873" s="8"/>
      <c r="G873" s="8"/>
      <c r="H873" s="7"/>
      <c r="I873" s="8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>
      <c r="A874" s="80"/>
      <c r="B874" s="7"/>
      <c r="C874" s="7"/>
      <c r="D874" s="116"/>
      <c r="E874" s="116"/>
      <c r="F874" s="8"/>
      <c r="G874" s="8"/>
      <c r="H874" s="7"/>
      <c r="I874" s="8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>
      <c r="A875" s="80"/>
      <c r="B875" s="7"/>
      <c r="C875" s="7"/>
      <c r="D875" s="116"/>
      <c r="E875" s="116"/>
      <c r="F875" s="8"/>
      <c r="G875" s="8"/>
      <c r="H875" s="7"/>
      <c r="I875" s="8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>
      <c r="A876" s="80"/>
      <c r="B876" s="7"/>
      <c r="C876" s="7"/>
      <c r="D876" s="116"/>
      <c r="E876" s="116"/>
      <c r="F876" s="8"/>
      <c r="G876" s="8"/>
      <c r="H876" s="7"/>
      <c r="I876" s="8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>
      <c r="A877" s="80"/>
      <c r="B877" s="7"/>
      <c r="C877" s="7"/>
      <c r="D877" s="116"/>
      <c r="E877" s="116"/>
      <c r="F877" s="8"/>
      <c r="G877" s="8"/>
      <c r="H877" s="7"/>
      <c r="I877" s="8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>
      <c r="A878" s="80"/>
      <c r="B878" s="7"/>
      <c r="C878" s="7"/>
      <c r="D878" s="116"/>
      <c r="E878" s="116"/>
      <c r="F878" s="8"/>
      <c r="G878" s="8"/>
      <c r="H878" s="7"/>
      <c r="I878" s="8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>
      <c r="A879" s="80"/>
      <c r="B879" s="7"/>
      <c r="C879" s="7"/>
      <c r="D879" s="116"/>
      <c r="E879" s="116"/>
      <c r="F879" s="8"/>
      <c r="G879" s="8"/>
      <c r="H879" s="7"/>
      <c r="I879" s="8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>
      <c r="A880" s="80"/>
      <c r="B880" s="7"/>
      <c r="C880" s="7"/>
      <c r="D880" s="116"/>
      <c r="E880" s="116"/>
      <c r="F880" s="8"/>
      <c r="G880" s="8"/>
      <c r="H880" s="7"/>
      <c r="I880" s="8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>
      <c r="A881" s="80"/>
      <c r="B881" s="7"/>
      <c r="C881" s="7"/>
      <c r="D881" s="116"/>
      <c r="E881" s="116"/>
      <c r="F881" s="8"/>
      <c r="G881" s="8"/>
      <c r="H881" s="7"/>
      <c r="I881" s="8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>
      <c r="A882" s="80"/>
      <c r="B882" s="7"/>
      <c r="C882" s="7"/>
      <c r="D882" s="116"/>
      <c r="E882" s="116"/>
      <c r="F882" s="8"/>
      <c r="G882" s="8"/>
      <c r="H882" s="7"/>
      <c r="I882" s="8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>
      <c r="A883" s="80"/>
      <c r="B883" s="7"/>
      <c r="C883" s="7"/>
      <c r="D883" s="116"/>
      <c r="E883" s="116"/>
      <c r="F883" s="8"/>
      <c r="G883" s="8"/>
      <c r="H883" s="7"/>
      <c r="I883" s="8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>
      <c r="A884" s="80"/>
      <c r="B884" s="7"/>
      <c r="C884" s="7"/>
      <c r="D884" s="116"/>
      <c r="E884" s="116"/>
      <c r="F884" s="8"/>
      <c r="G884" s="8"/>
      <c r="H884" s="7"/>
      <c r="I884" s="8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>
      <c r="A885" s="80"/>
      <c r="B885" s="7"/>
      <c r="C885" s="7"/>
      <c r="D885" s="116"/>
      <c r="E885" s="116"/>
      <c r="F885" s="8"/>
      <c r="G885" s="8"/>
      <c r="H885" s="7"/>
      <c r="I885" s="8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>
      <c r="A886" s="80"/>
      <c r="B886" s="7"/>
      <c r="C886" s="7"/>
      <c r="D886" s="116"/>
      <c r="E886" s="116"/>
      <c r="F886" s="8"/>
      <c r="G886" s="8"/>
      <c r="H886" s="7"/>
      <c r="I886" s="8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>
      <c r="A887" s="80"/>
      <c r="B887" s="7"/>
      <c r="C887" s="7"/>
      <c r="D887" s="116"/>
      <c r="E887" s="116"/>
      <c r="F887" s="8"/>
      <c r="G887" s="8"/>
      <c r="H887" s="7"/>
      <c r="I887" s="8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>
      <c r="A888" s="80"/>
      <c r="B888" s="7"/>
      <c r="C888" s="7"/>
      <c r="D888" s="116"/>
      <c r="E888" s="116"/>
      <c r="F888" s="8"/>
      <c r="G888" s="8"/>
      <c r="H888" s="7"/>
      <c r="I888" s="8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>
      <c r="A889" s="80"/>
      <c r="B889" s="7"/>
      <c r="C889" s="7"/>
      <c r="D889" s="116"/>
      <c r="E889" s="116"/>
      <c r="F889" s="8"/>
      <c r="G889" s="8"/>
      <c r="H889" s="7"/>
      <c r="I889" s="8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>
      <c r="A890" s="80"/>
      <c r="B890" s="7"/>
      <c r="C890" s="7"/>
      <c r="D890" s="116"/>
      <c r="E890" s="116"/>
      <c r="F890" s="8"/>
      <c r="G890" s="8"/>
      <c r="H890" s="7"/>
      <c r="I890" s="8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>
      <c r="A891" s="80"/>
      <c r="B891" s="7"/>
      <c r="C891" s="7"/>
      <c r="D891" s="116"/>
      <c r="E891" s="116"/>
      <c r="F891" s="8"/>
      <c r="G891" s="8"/>
      <c r="H891" s="7"/>
      <c r="I891" s="8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>
      <c r="A892" s="80"/>
      <c r="B892" s="7"/>
      <c r="C892" s="7"/>
      <c r="D892" s="116"/>
      <c r="E892" s="116"/>
      <c r="F892" s="8"/>
      <c r="G892" s="8"/>
      <c r="H892" s="7"/>
      <c r="I892" s="8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>
      <c r="A893" s="80"/>
      <c r="B893" s="7"/>
      <c r="C893" s="7"/>
      <c r="D893" s="116"/>
      <c r="E893" s="116"/>
      <c r="F893" s="8"/>
      <c r="G893" s="8"/>
      <c r="H893" s="7"/>
      <c r="I893" s="8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>
      <c r="A894" s="80"/>
      <c r="B894" s="7"/>
      <c r="C894" s="7"/>
      <c r="D894" s="116"/>
      <c r="E894" s="116"/>
      <c r="F894" s="8"/>
      <c r="G894" s="8"/>
      <c r="H894" s="7"/>
      <c r="I894" s="8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>
      <c r="A895" s="80"/>
      <c r="B895" s="7"/>
      <c r="C895" s="7"/>
      <c r="D895" s="116"/>
      <c r="E895" s="116"/>
      <c r="F895" s="8"/>
      <c r="G895" s="8"/>
      <c r="H895" s="7"/>
      <c r="I895" s="8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>
      <c r="A896" s="80"/>
      <c r="B896" s="7"/>
      <c r="C896" s="7"/>
      <c r="D896" s="116"/>
      <c r="E896" s="116"/>
      <c r="F896" s="8"/>
      <c r="G896" s="8"/>
      <c r="H896" s="7"/>
      <c r="I896" s="8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>
      <c r="A897" s="80"/>
      <c r="B897" s="7"/>
      <c r="C897" s="7"/>
      <c r="D897" s="116"/>
      <c r="E897" s="116"/>
      <c r="F897" s="8"/>
      <c r="G897" s="8"/>
      <c r="H897" s="7"/>
      <c r="I897" s="8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>
      <c r="A898" s="80"/>
      <c r="B898" s="7"/>
      <c r="C898" s="7"/>
      <c r="D898" s="116"/>
      <c r="E898" s="116"/>
      <c r="F898" s="8"/>
      <c r="G898" s="8"/>
      <c r="H898" s="7"/>
      <c r="I898" s="8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>
      <c r="A899" s="80"/>
      <c r="B899" s="7"/>
      <c r="C899" s="7"/>
      <c r="D899" s="116"/>
      <c r="E899" s="116"/>
      <c r="F899" s="8"/>
      <c r="G899" s="8"/>
      <c r="H899" s="7"/>
      <c r="I899" s="8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>
      <c r="A900" s="80"/>
      <c r="B900" s="7"/>
      <c r="C900" s="7"/>
      <c r="D900" s="116"/>
      <c r="E900" s="116"/>
      <c r="F900" s="8"/>
      <c r="G900" s="8"/>
      <c r="H900" s="7"/>
      <c r="I900" s="8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>
      <c r="A901" s="80"/>
      <c r="B901" s="7"/>
      <c r="C901" s="7"/>
      <c r="D901" s="116"/>
      <c r="E901" s="116"/>
      <c r="F901" s="8"/>
      <c r="G901" s="8"/>
      <c r="H901" s="7"/>
      <c r="I901" s="8"/>
      <c r="J901" s="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>
      <c r="A902" s="80"/>
      <c r="B902" s="7"/>
      <c r="C902" s="7"/>
      <c r="D902" s="116"/>
      <c r="E902" s="116"/>
      <c r="F902" s="8"/>
      <c r="G902" s="8"/>
      <c r="H902" s="7"/>
      <c r="I902" s="8"/>
      <c r="J902" s="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>
      <c r="A903" s="80"/>
      <c r="B903" s="7"/>
      <c r="C903" s="7"/>
      <c r="D903" s="116"/>
      <c r="E903" s="116"/>
      <c r="F903" s="8"/>
      <c r="G903" s="8"/>
      <c r="H903" s="7"/>
      <c r="I903" s="8"/>
      <c r="J903" s="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>
      <c r="A904" s="80"/>
      <c r="B904" s="7"/>
      <c r="C904" s="7"/>
      <c r="D904" s="116"/>
      <c r="E904" s="116"/>
      <c r="F904" s="8"/>
      <c r="G904" s="8"/>
      <c r="H904" s="7"/>
      <c r="I904" s="8"/>
      <c r="J904" s="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>
      <c r="A905" s="80"/>
      <c r="B905" s="7"/>
      <c r="C905" s="7"/>
      <c r="D905" s="116"/>
      <c r="E905" s="116"/>
      <c r="F905" s="8"/>
      <c r="G905" s="8"/>
      <c r="H905" s="7"/>
      <c r="I905" s="8"/>
      <c r="J905" s="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>
      <c r="A906" s="80"/>
      <c r="B906" s="7"/>
      <c r="C906" s="7"/>
      <c r="D906" s="116"/>
      <c r="E906" s="116"/>
      <c r="F906" s="8"/>
      <c r="G906" s="8"/>
      <c r="H906" s="7"/>
      <c r="I906" s="8"/>
      <c r="J906" s="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>
      <c r="A907" s="80"/>
      <c r="B907" s="7"/>
      <c r="C907" s="7"/>
      <c r="D907" s="116"/>
      <c r="E907" s="116"/>
      <c r="F907" s="8"/>
      <c r="G907" s="8"/>
      <c r="H907" s="7"/>
      <c r="I907" s="8"/>
      <c r="J907" s="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>
      <c r="A908" s="80"/>
      <c r="B908" s="7"/>
      <c r="C908" s="7"/>
      <c r="D908" s="116"/>
      <c r="E908" s="116"/>
      <c r="F908" s="8"/>
      <c r="G908" s="8"/>
      <c r="H908" s="7"/>
      <c r="I908" s="8"/>
      <c r="J908" s="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>
      <c r="A909" s="80"/>
      <c r="B909" s="7"/>
      <c r="C909" s="7"/>
      <c r="D909" s="116"/>
      <c r="E909" s="116"/>
      <c r="F909" s="8"/>
      <c r="G909" s="8"/>
      <c r="H909" s="7"/>
      <c r="I909" s="8"/>
      <c r="J909" s="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>
      <c r="A910" s="80"/>
      <c r="B910" s="7"/>
      <c r="C910" s="7"/>
      <c r="D910" s="116"/>
      <c r="E910" s="116"/>
      <c r="F910" s="8"/>
      <c r="G910" s="8"/>
      <c r="H910" s="7"/>
      <c r="I910" s="8"/>
      <c r="J910" s="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>
      <c r="A911" s="80"/>
      <c r="B911" s="7"/>
      <c r="C911" s="7"/>
      <c r="D911" s="116"/>
      <c r="E911" s="116"/>
      <c r="F911" s="8"/>
      <c r="G911" s="8"/>
      <c r="H911" s="7"/>
      <c r="I911" s="8"/>
      <c r="J911" s="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>
      <c r="A912" s="80"/>
      <c r="B912" s="7"/>
      <c r="C912" s="7"/>
      <c r="D912" s="116"/>
      <c r="E912" s="116"/>
      <c r="F912" s="8"/>
      <c r="G912" s="8"/>
      <c r="H912" s="7"/>
      <c r="I912" s="8"/>
      <c r="J912" s="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>
      <c r="A913" s="80"/>
      <c r="B913" s="7"/>
      <c r="C913" s="7"/>
      <c r="D913" s="116"/>
      <c r="E913" s="116"/>
      <c r="F913" s="8"/>
      <c r="G913" s="8"/>
      <c r="H913" s="7"/>
      <c r="I913" s="8"/>
      <c r="J913" s="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>
      <c r="A914" s="80"/>
      <c r="B914" s="7"/>
      <c r="C914" s="7"/>
      <c r="D914" s="116"/>
      <c r="E914" s="116"/>
      <c r="F914" s="8"/>
      <c r="G914" s="8"/>
      <c r="H914" s="7"/>
      <c r="I914" s="8"/>
      <c r="J914" s="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>
      <c r="A915" s="80"/>
      <c r="B915" s="7"/>
      <c r="C915" s="7"/>
      <c r="D915" s="116"/>
      <c r="E915" s="116"/>
      <c r="F915" s="8"/>
      <c r="G915" s="8"/>
      <c r="H915" s="7"/>
      <c r="I915" s="8"/>
      <c r="J915" s="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>
      <c r="A916" s="80"/>
      <c r="B916" s="7"/>
      <c r="C916" s="7"/>
      <c r="D916" s="116"/>
      <c r="E916" s="116"/>
      <c r="F916" s="8"/>
      <c r="G916" s="8"/>
      <c r="H916" s="7"/>
      <c r="I916" s="8"/>
      <c r="J916" s="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>
      <c r="A917" s="80"/>
      <c r="B917" s="7"/>
      <c r="C917" s="7"/>
      <c r="D917" s="116"/>
      <c r="E917" s="116"/>
      <c r="F917" s="8"/>
      <c r="G917" s="8"/>
      <c r="H917" s="7"/>
      <c r="I917" s="8"/>
      <c r="J917" s="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>
      <c r="A918" s="80"/>
      <c r="B918" s="7"/>
      <c r="C918" s="7"/>
      <c r="D918" s="116"/>
      <c r="E918" s="116"/>
      <c r="F918" s="8"/>
      <c r="G918" s="8"/>
      <c r="H918" s="7"/>
      <c r="I918" s="8"/>
      <c r="J918" s="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>
      <c r="A919" s="80"/>
      <c r="B919" s="7"/>
      <c r="C919" s="7"/>
      <c r="D919" s="116"/>
      <c r="E919" s="116"/>
      <c r="F919" s="8"/>
      <c r="G919" s="8"/>
      <c r="H919" s="7"/>
      <c r="I919" s="8"/>
      <c r="J919" s="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>
      <c r="A920" s="80"/>
      <c r="B920" s="7"/>
      <c r="C920" s="7"/>
      <c r="D920" s="116"/>
      <c r="E920" s="116"/>
      <c r="F920" s="8"/>
      <c r="G920" s="8"/>
      <c r="H920" s="7"/>
      <c r="I920" s="8"/>
      <c r="J920" s="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>
      <c r="A921" s="80"/>
      <c r="B921" s="7"/>
      <c r="C921" s="7"/>
      <c r="D921" s="116"/>
      <c r="E921" s="116"/>
      <c r="F921" s="8"/>
      <c r="G921" s="8"/>
      <c r="H921" s="7"/>
      <c r="I921" s="8"/>
      <c r="J921" s="8"/>
      <c r="K921" s="80"/>
      <c r="L921" s="80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>
      <c r="A922" s="80"/>
      <c r="B922" s="7"/>
      <c r="C922" s="7"/>
      <c r="D922" s="116"/>
      <c r="E922" s="116"/>
      <c r="F922" s="8"/>
      <c r="G922" s="8"/>
      <c r="H922" s="7"/>
      <c r="I922" s="8"/>
      <c r="J922" s="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>
      <c r="A923" s="80"/>
      <c r="B923" s="7"/>
      <c r="C923" s="7"/>
      <c r="D923" s="116"/>
      <c r="E923" s="116"/>
      <c r="F923" s="8"/>
      <c r="G923" s="8"/>
      <c r="H923" s="7"/>
      <c r="I923" s="8"/>
      <c r="J923" s="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>
      <c r="A924" s="80"/>
      <c r="B924" s="7"/>
      <c r="C924" s="7"/>
      <c r="D924" s="116"/>
      <c r="E924" s="116"/>
      <c r="F924" s="8"/>
      <c r="G924" s="8"/>
      <c r="H924" s="7"/>
      <c r="I924" s="8"/>
      <c r="J924" s="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>
      <c r="A925" s="80"/>
      <c r="B925" s="7"/>
      <c r="C925" s="7"/>
      <c r="D925" s="116"/>
      <c r="E925" s="116"/>
      <c r="F925" s="8"/>
      <c r="G925" s="8"/>
      <c r="H925" s="7"/>
      <c r="I925" s="8"/>
      <c r="J925" s="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>
      <c r="A926" s="80"/>
      <c r="B926" s="7"/>
      <c r="C926" s="7"/>
      <c r="D926" s="116"/>
      <c r="E926" s="116"/>
      <c r="F926" s="8"/>
      <c r="G926" s="8"/>
      <c r="H926" s="7"/>
      <c r="I926" s="8"/>
      <c r="J926" s="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>
      <c r="A927" s="80"/>
      <c r="B927" s="7"/>
      <c r="C927" s="7"/>
      <c r="D927" s="116"/>
      <c r="E927" s="116"/>
      <c r="F927" s="8"/>
      <c r="G927" s="8"/>
      <c r="H927" s="7"/>
      <c r="I927" s="8"/>
      <c r="J927" s="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>
      <c r="A928" s="80"/>
      <c r="B928" s="7"/>
      <c r="C928" s="7"/>
      <c r="D928" s="116"/>
      <c r="E928" s="116"/>
      <c r="F928" s="8"/>
      <c r="G928" s="8"/>
      <c r="H928" s="7"/>
      <c r="I928" s="8"/>
      <c r="J928" s="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>
      <c r="A929" s="80"/>
      <c r="B929" s="7"/>
      <c r="C929" s="7"/>
      <c r="D929" s="116"/>
      <c r="E929" s="116"/>
      <c r="F929" s="8"/>
      <c r="G929" s="8"/>
      <c r="H929" s="7"/>
      <c r="I929" s="8"/>
      <c r="J929" s="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>
      <c r="A930" s="80"/>
      <c r="B930" s="7"/>
      <c r="C930" s="7"/>
      <c r="D930" s="116"/>
      <c r="E930" s="116"/>
      <c r="F930" s="8"/>
      <c r="G930" s="8"/>
      <c r="H930" s="7"/>
      <c r="I930" s="8"/>
      <c r="J930" s="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>
      <c r="A931" s="80"/>
      <c r="B931" s="7"/>
      <c r="C931" s="7"/>
      <c r="D931" s="116"/>
      <c r="E931" s="116"/>
      <c r="F931" s="8"/>
      <c r="G931" s="8"/>
      <c r="H931" s="7"/>
      <c r="I931" s="8"/>
      <c r="J931" s="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>
      <c r="A932" s="80"/>
      <c r="B932" s="7"/>
      <c r="C932" s="7"/>
      <c r="D932" s="116"/>
      <c r="E932" s="116"/>
      <c r="F932" s="8"/>
      <c r="G932" s="8"/>
      <c r="H932" s="7"/>
      <c r="I932" s="8"/>
      <c r="J932" s="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>
      <c r="A933" s="80"/>
      <c r="B933" s="7"/>
      <c r="C933" s="7"/>
      <c r="D933" s="116"/>
      <c r="E933" s="116"/>
      <c r="F933" s="8"/>
      <c r="G933" s="8"/>
      <c r="H933" s="7"/>
      <c r="I933" s="8"/>
      <c r="J933" s="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>
      <c r="A934" s="80"/>
      <c r="B934" s="7"/>
      <c r="C934" s="7"/>
      <c r="D934" s="116"/>
      <c r="E934" s="116"/>
      <c r="F934" s="8"/>
      <c r="G934" s="8"/>
      <c r="H934" s="7"/>
      <c r="I934" s="8"/>
      <c r="J934" s="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>
      <c r="A935" s="80"/>
      <c r="B935" s="7"/>
      <c r="C935" s="7"/>
      <c r="D935" s="116"/>
      <c r="E935" s="116"/>
      <c r="F935" s="8"/>
      <c r="G935" s="8"/>
      <c r="H935" s="7"/>
      <c r="I935" s="8"/>
      <c r="J935" s="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>
      <c r="A936" s="80"/>
      <c r="B936" s="7"/>
      <c r="C936" s="7"/>
      <c r="D936" s="116"/>
      <c r="E936" s="116"/>
      <c r="F936" s="8"/>
      <c r="G936" s="8"/>
      <c r="H936" s="7"/>
      <c r="I936" s="8"/>
      <c r="J936" s="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>
      <c r="A937" s="80"/>
      <c r="B937" s="7"/>
      <c r="C937" s="7"/>
      <c r="D937" s="116"/>
      <c r="E937" s="116"/>
      <c r="F937" s="8"/>
      <c r="G937" s="8"/>
      <c r="H937" s="7"/>
      <c r="I937" s="8"/>
      <c r="J937" s="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>
      <c r="A938" s="80"/>
      <c r="B938" s="7"/>
      <c r="C938" s="7"/>
      <c r="D938" s="116"/>
      <c r="E938" s="116"/>
      <c r="F938" s="8"/>
      <c r="G938" s="8"/>
      <c r="H938" s="7"/>
      <c r="I938" s="8"/>
      <c r="J938" s="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>
      <c r="A939" s="80"/>
      <c r="B939" s="7"/>
      <c r="C939" s="7"/>
      <c r="D939" s="116"/>
      <c r="E939" s="116"/>
      <c r="F939" s="8"/>
      <c r="G939" s="8"/>
      <c r="H939" s="7"/>
      <c r="I939" s="8"/>
      <c r="J939" s="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>
      <c r="A940" s="80"/>
      <c r="B940" s="7"/>
      <c r="C940" s="7"/>
      <c r="D940" s="116"/>
      <c r="E940" s="116"/>
      <c r="F940" s="8"/>
      <c r="G940" s="8"/>
      <c r="H940" s="7"/>
      <c r="I940" s="8"/>
      <c r="J940" s="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>
      <c r="A941" s="80"/>
      <c r="B941" s="7"/>
      <c r="C941" s="7"/>
      <c r="D941" s="116"/>
      <c r="E941" s="116"/>
      <c r="F941" s="8"/>
      <c r="G941" s="8"/>
      <c r="H941" s="7"/>
      <c r="I941" s="8"/>
      <c r="J941" s="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>
      <c r="A942" s="80"/>
      <c r="B942" s="7"/>
      <c r="C942" s="7"/>
      <c r="D942" s="116"/>
      <c r="E942" s="116"/>
      <c r="F942" s="8"/>
      <c r="G942" s="8"/>
      <c r="H942" s="7"/>
      <c r="I942" s="8"/>
      <c r="J942" s="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>
      <c r="A943" s="80"/>
      <c r="B943" s="7"/>
      <c r="C943" s="7"/>
      <c r="D943" s="116"/>
      <c r="E943" s="116"/>
      <c r="F943" s="8"/>
      <c r="G943" s="8"/>
      <c r="H943" s="7"/>
      <c r="I943" s="8"/>
      <c r="J943" s="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>
      <c r="A944" s="80"/>
      <c r="B944" s="7"/>
      <c r="C944" s="7"/>
      <c r="D944" s="116"/>
      <c r="E944" s="116"/>
      <c r="F944" s="8"/>
      <c r="G944" s="8"/>
      <c r="H944" s="7"/>
      <c r="I944" s="8"/>
      <c r="J944" s="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>
      <c r="A945" s="80"/>
      <c r="B945" s="7"/>
      <c r="C945" s="7"/>
      <c r="D945" s="116"/>
      <c r="E945" s="116"/>
      <c r="F945" s="8"/>
      <c r="G945" s="8"/>
      <c r="H945" s="7"/>
      <c r="I945" s="8"/>
      <c r="J945" s="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>
      <c r="A946" s="80"/>
      <c r="B946" s="7"/>
      <c r="C946" s="7"/>
      <c r="D946" s="116"/>
      <c r="E946" s="116"/>
      <c r="F946" s="8"/>
      <c r="G946" s="8"/>
      <c r="H946" s="7"/>
      <c r="I946" s="8"/>
      <c r="J946" s="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>
      <c r="A947" s="80"/>
      <c r="B947" s="7"/>
      <c r="C947" s="7"/>
      <c r="D947" s="116"/>
      <c r="E947" s="116"/>
      <c r="F947" s="8"/>
      <c r="G947" s="8"/>
      <c r="H947" s="7"/>
      <c r="I947" s="8"/>
      <c r="J947" s="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>
      <c r="A948" s="80"/>
      <c r="B948" s="7"/>
      <c r="C948" s="7"/>
      <c r="D948" s="116"/>
      <c r="E948" s="116"/>
      <c r="F948" s="8"/>
      <c r="G948" s="8"/>
      <c r="H948" s="7"/>
      <c r="I948" s="8"/>
      <c r="J948" s="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>
      <c r="A949" s="80"/>
      <c r="B949" s="7"/>
      <c r="C949" s="7"/>
      <c r="D949" s="116"/>
      <c r="E949" s="116"/>
      <c r="F949" s="8"/>
      <c r="G949" s="8"/>
      <c r="H949" s="7"/>
      <c r="I949" s="8"/>
      <c r="J949" s="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>
      <c r="A950" s="80"/>
      <c r="B950" s="7"/>
      <c r="C950" s="7"/>
      <c r="D950" s="116"/>
      <c r="E950" s="116"/>
      <c r="F950" s="8"/>
      <c r="G950" s="8"/>
      <c r="H950" s="7"/>
      <c r="I950" s="8"/>
      <c r="J950" s="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>
      <c r="A951" s="80"/>
      <c r="B951" s="7"/>
      <c r="C951" s="7"/>
      <c r="D951" s="116"/>
      <c r="E951" s="116"/>
      <c r="F951" s="8"/>
      <c r="G951" s="8"/>
      <c r="H951" s="7"/>
      <c r="I951" s="8"/>
      <c r="J951" s="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>
      <c r="A952" s="80"/>
      <c r="B952" s="7"/>
      <c r="C952" s="7"/>
      <c r="D952" s="116"/>
      <c r="E952" s="116"/>
      <c r="F952" s="8"/>
      <c r="G952" s="8"/>
      <c r="H952" s="7"/>
      <c r="I952" s="8"/>
      <c r="J952" s="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>
      <c r="A953" s="80"/>
      <c r="B953" s="7"/>
      <c r="C953" s="7"/>
      <c r="D953" s="116"/>
      <c r="E953" s="116"/>
      <c r="F953" s="8"/>
      <c r="G953" s="8"/>
      <c r="H953" s="7"/>
      <c r="I953" s="8"/>
      <c r="J953" s="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>
      <c r="A954" s="80"/>
      <c r="B954" s="7"/>
      <c r="C954" s="7"/>
      <c r="D954" s="116"/>
      <c r="E954" s="116"/>
      <c r="F954" s="8"/>
      <c r="G954" s="8"/>
      <c r="H954" s="7"/>
      <c r="I954" s="8"/>
      <c r="J954" s="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>
      <c r="A955" s="80"/>
      <c r="B955" s="7"/>
      <c r="C955" s="7"/>
      <c r="D955" s="116"/>
      <c r="E955" s="116"/>
      <c r="F955" s="8"/>
      <c r="G955" s="8"/>
      <c r="H955" s="7"/>
      <c r="I955" s="8"/>
      <c r="J955" s="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>
      <c r="A956" s="80"/>
      <c r="B956" s="7"/>
      <c r="C956" s="7"/>
      <c r="D956" s="116"/>
      <c r="E956" s="116"/>
      <c r="F956" s="8"/>
      <c r="G956" s="8"/>
      <c r="H956" s="7"/>
      <c r="I956" s="8"/>
      <c r="J956" s="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>
      <c r="A957" s="80"/>
      <c r="B957" s="7"/>
      <c r="C957" s="7"/>
      <c r="D957" s="116"/>
      <c r="E957" s="116"/>
      <c r="F957" s="8"/>
      <c r="G957" s="8"/>
      <c r="H957" s="7"/>
      <c r="I957" s="8"/>
      <c r="J957" s="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>
      <c r="A958" s="80"/>
      <c r="B958" s="7"/>
      <c r="C958" s="7"/>
      <c r="D958" s="116"/>
      <c r="E958" s="116"/>
      <c r="F958" s="8"/>
      <c r="G958" s="8"/>
      <c r="H958" s="7"/>
      <c r="I958" s="8"/>
      <c r="J958" s="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>
      <c r="A959" s="80"/>
      <c r="B959" s="7"/>
      <c r="C959" s="7"/>
      <c r="D959" s="116"/>
      <c r="E959" s="116"/>
      <c r="F959" s="8"/>
      <c r="G959" s="8"/>
      <c r="H959" s="7"/>
      <c r="I959" s="8"/>
      <c r="J959" s="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>
      <c r="A960" s="80"/>
      <c r="B960" s="7"/>
      <c r="C960" s="7"/>
      <c r="D960" s="116"/>
      <c r="E960" s="116"/>
      <c r="F960" s="8"/>
      <c r="G960" s="8"/>
      <c r="H960" s="7"/>
      <c r="I960" s="8"/>
      <c r="J960" s="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>
      <c r="A961" s="80"/>
      <c r="B961" s="7"/>
      <c r="C961" s="7"/>
      <c r="D961" s="116"/>
      <c r="E961" s="116"/>
      <c r="F961" s="8"/>
      <c r="G961" s="8"/>
      <c r="H961" s="7"/>
      <c r="I961" s="8"/>
      <c r="J961" s="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>
      <c r="A962" s="80"/>
      <c r="B962" s="7"/>
      <c r="C962" s="7"/>
      <c r="D962" s="116"/>
      <c r="E962" s="116"/>
      <c r="F962" s="8"/>
      <c r="G962" s="8"/>
      <c r="H962" s="7"/>
      <c r="I962" s="8"/>
      <c r="J962" s="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>
      <c r="A963" s="80"/>
      <c r="B963" s="7"/>
      <c r="C963" s="7"/>
      <c r="D963" s="116"/>
      <c r="E963" s="116"/>
      <c r="F963" s="8"/>
      <c r="G963" s="8"/>
      <c r="H963" s="7"/>
      <c r="I963" s="8"/>
      <c r="J963" s="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>
      <c r="A964" s="80"/>
      <c r="B964" s="7"/>
      <c r="C964" s="7"/>
      <c r="D964" s="116"/>
      <c r="E964" s="116"/>
      <c r="F964" s="8"/>
      <c r="G964" s="8"/>
      <c r="H964" s="7"/>
      <c r="I964" s="8"/>
      <c r="J964" s="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>
      <c r="A965" s="80"/>
      <c r="B965" s="7"/>
      <c r="C965" s="7"/>
      <c r="D965" s="116"/>
      <c r="E965" s="116"/>
      <c r="F965" s="8"/>
      <c r="G965" s="8"/>
      <c r="H965" s="7"/>
      <c r="I965" s="8"/>
      <c r="J965" s="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>
      <c r="A966" s="80"/>
      <c r="B966" s="7"/>
      <c r="C966" s="7"/>
      <c r="D966" s="116"/>
      <c r="E966" s="116"/>
      <c r="F966" s="8"/>
      <c r="G966" s="8"/>
      <c r="H966" s="7"/>
      <c r="I966" s="8"/>
      <c r="J966" s="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>
      <c r="A967" s="80"/>
      <c r="B967" s="7"/>
      <c r="C967" s="7"/>
      <c r="D967" s="116"/>
      <c r="E967" s="116"/>
      <c r="F967" s="8"/>
      <c r="G967" s="8"/>
      <c r="H967" s="7"/>
      <c r="I967" s="8"/>
      <c r="J967" s="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>
      <c r="A968" s="80"/>
      <c r="B968" s="7"/>
      <c r="C968" s="7"/>
      <c r="D968" s="116"/>
      <c r="E968" s="116"/>
      <c r="F968" s="8"/>
      <c r="G968" s="8"/>
      <c r="H968" s="7"/>
      <c r="I968" s="8"/>
      <c r="J968" s="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>
      <c r="A969" s="80"/>
      <c r="B969" s="7"/>
      <c r="C969" s="7"/>
      <c r="D969" s="116"/>
      <c r="E969" s="116"/>
      <c r="F969" s="8"/>
      <c r="G969" s="8"/>
      <c r="H969" s="7"/>
      <c r="I969" s="8"/>
      <c r="J969" s="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>
      <c r="A970" s="80"/>
      <c r="B970" s="7"/>
      <c r="C970" s="7"/>
      <c r="D970" s="116"/>
      <c r="E970" s="116"/>
      <c r="F970" s="8"/>
      <c r="G970" s="8"/>
      <c r="H970" s="7"/>
      <c r="I970" s="8"/>
      <c r="J970" s="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>
      <c r="A971" s="80"/>
      <c r="B971" s="7"/>
      <c r="C971" s="7"/>
      <c r="D971" s="116"/>
      <c r="E971" s="116"/>
      <c r="F971" s="8"/>
      <c r="G971" s="8"/>
      <c r="H971" s="7"/>
      <c r="I971" s="8"/>
      <c r="J971" s="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>
      <c r="A972" s="80"/>
      <c r="B972" s="7"/>
      <c r="C972" s="7"/>
      <c r="D972" s="116"/>
      <c r="E972" s="116"/>
      <c r="F972" s="8"/>
      <c r="G972" s="8"/>
      <c r="H972" s="7"/>
      <c r="I972" s="8"/>
      <c r="J972" s="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>
      <c r="A973" s="80"/>
      <c r="B973" s="7"/>
      <c r="C973" s="7"/>
      <c r="D973" s="116"/>
      <c r="E973" s="116"/>
      <c r="F973" s="8"/>
      <c r="G973" s="8"/>
      <c r="H973" s="7"/>
      <c r="I973" s="8"/>
      <c r="J973" s="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>
      <c r="A974" s="80"/>
      <c r="B974" s="7"/>
      <c r="C974" s="7"/>
      <c r="D974" s="116"/>
      <c r="E974" s="116"/>
      <c r="F974" s="8"/>
      <c r="G974" s="8"/>
      <c r="H974" s="7"/>
      <c r="I974" s="8"/>
      <c r="J974" s="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>
      <c r="A975" s="80"/>
      <c r="B975" s="7"/>
      <c r="C975" s="7"/>
      <c r="D975" s="116"/>
      <c r="E975" s="116"/>
      <c r="F975" s="8"/>
      <c r="G975" s="8"/>
      <c r="H975" s="7"/>
      <c r="I975" s="8"/>
      <c r="J975" s="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>
      <c r="A976" s="80"/>
      <c r="B976" s="7"/>
      <c r="C976" s="7"/>
      <c r="D976" s="116"/>
      <c r="E976" s="116"/>
      <c r="F976" s="8"/>
      <c r="G976" s="8"/>
      <c r="H976" s="7"/>
      <c r="I976" s="8"/>
      <c r="J976" s="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>
      <c r="A977" s="80"/>
      <c r="B977" s="7"/>
      <c r="C977" s="7"/>
      <c r="D977" s="116"/>
      <c r="E977" s="116"/>
      <c r="F977" s="8"/>
      <c r="G977" s="8"/>
      <c r="H977" s="7"/>
      <c r="I977" s="8"/>
      <c r="J977" s="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>
      <c r="A978" s="80"/>
      <c r="B978" s="7"/>
      <c r="C978" s="7"/>
      <c r="D978" s="116"/>
      <c r="E978" s="116"/>
      <c r="F978" s="8"/>
      <c r="G978" s="8"/>
      <c r="H978" s="7"/>
      <c r="I978" s="8"/>
      <c r="J978" s="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>
      <c r="A979" s="80"/>
      <c r="B979" s="7"/>
      <c r="C979" s="7"/>
      <c r="D979" s="116"/>
      <c r="E979" s="116"/>
      <c r="F979" s="8"/>
      <c r="G979" s="8"/>
      <c r="H979" s="7"/>
      <c r="I979" s="8"/>
      <c r="J979" s="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>
      <c r="A980" s="80"/>
      <c r="B980" s="7"/>
      <c r="C980" s="7"/>
      <c r="D980" s="116"/>
      <c r="E980" s="116"/>
      <c r="F980" s="8"/>
      <c r="G980" s="8"/>
      <c r="H980" s="7"/>
      <c r="I980" s="8"/>
      <c r="J980" s="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>
      <c r="A981" s="80"/>
      <c r="B981" s="7"/>
      <c r="C981" s="7"/>
      <c r="D981" s="116"/>
      <c r="E981" s="116"/>
      <c r="F981" s="8"/>
      <c r="G981" s="8"/>
      <c r="H981" s="7"/>
      <c r="I981" s="8"/>
      <c r="J981" s="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>
      <c r="A982" s="80"/>
      <c r="B982" s="7"/>
      <c r="C982" s="7"/>
      <c r="D982" s="116"/>
      <c r="E982" s="116"/>
      <c r="F982" s="8"/>
      <c r="G982" s="8"/>
      <c r="H982" s="7"/>
      <c r="I982" s="8"/>
      <c r="J982" s="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>
      <c r="A983" s="80"/>
      <c r="B983" s="7"/>
      <c r="C983" s="7"/>
      <c r="D983" s="116"/>
      <c r="E983" s="116"/>
      <c r="F983" s="8"/>
      <c r="G983" s="8"/>
      <c r="H983" s="7"/>
      <c r="I983" s="8"/>
      <c r="J983" s="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>
      <c r="A984" s="80"/>
      <c r="B984" s="7"/>
      <c r="C984" s="7"/>
      <c r="D984" s="116"/>
      <c r="E984" s="116"/>
      <c r="F984" s="8"/>
      <c r="G984" s="8"/>
      <c r="H984" s="7"/>
      <c r="I984" s="8"/>
      <c r="J984" s="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>
      <c r="A985" s="80"/>
      <c r="B985" s="7"/>
      <c r="C985" s="7"/>
      <c r="D985" s="116"/>
      <c r="E985" s="116"/>
      <c r="F985" s="8"/>
      <c r="G985" s="8"/>
      <c r="H985" s="7"/>
      <c r="I985" s="8"/>
      <c r="J985" s="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>
      <c r="A986" s="80"/>
      <c r="B986" s="7"/>
      <c r="C986" s="7"/>
      <c r="D986" s="116"/>
      <c r="E986" s="116"/>
      <c r="F986" s="8"/>
      <c r="G986" s="8"/>
      <c r="H986" s="7"/>
      <c r="I986" s="8"/>
      <c r="J986" s="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>
      <c r="A987" s="80"/>
      <c r="B987" s="7"/>
      <c r="C987" s="7"/>
      <c r="D987" s="116"/>
      <c r="E987" s="116"/>
      <c r="F987" s="8"/>
      <c r="G987" s="8"/>
      <c r="H987" s="7"/>
      <c r="I987" s="8"/>
      <c r="J987" s="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>
      <c r="A988" s="80"/>
      <c r="B988" s="7"/>
      <c r="C988" s="7"/>
      <c r="D988" s="116"/>
      <c r="E988" s="116"/>
      <c r="F988" s="8"/>
      <c r="G988" s="8"/>
      <c r="H988" s="7"/>
      <c r="I988" s="8"/>
      <c r="J988" s="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>
      <c r="A989" s="80"/>
      <c r="B989" s="7"/>
      <c r="C989" s="7"/>
      <c r="D989" s="116"/>
      <c r="E989" s="116"/>
      <c r="F989" s="8"/>
      <c r="G989" s="8"/>
      <c r="H989" s="7"/>
      <c r="I989" s="8"/>
      <c r="J989" s="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>
      <c r="A990" s="80"/>
      <c r="B990" s="7"/>
      <c r="C990" s="7"/>
      <c r="D990" s="116"/>
      <c r="E990" s="116"/>
      <c r="F990" s="8"/>
      <c r="G990" s="8"/>
      <c r="H990" s="7"/>
      <c r="I990" s="8"/>
      <c r="J990" s="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>
      <c r="A991" s="80"/>
      <c r="B991" s="7"/>
      <c r="C991" s="7"/>
      <c r="D991" s="116"/>
      <c r="E991" s="116"/>
      <c r="F991" s="8"/>
      <c r="G991" s="8"/>
      <c r="H991" s="7"/>
      <c r="I991" s="8"/>
      <c r="J991" s="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>
      <c r="A992" s="80"/>
      <c r="B992" s="7"/>
      <c r="C992" s="7"/>
      <c r="D992" s="116"/>
      <c r="E992" s="116"/>
      <c r="F992" s="8"/>
      <c r="G992" s="8"/>
      <c r="H992" s="7"/>
      <c r="I992" s="8"/>
      <c r="J992" s="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>
      <c r="A993" s="80"/>
      <c r="B993" s="7"/>
      <c r="C993" s="7"/>
      <c r="D993" s="116"/>
      <c r="E993" s="116"/>
      <c r="F993" s="8"/>
      <c r="G993" s="8"/>
      <c r="H993" s="7"/>
      <c r="I993" s="8"/>
      <c r="J993" s="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>
      <c r="A994" s="80"/>
      <c r="B994" s="7"/>
      <c r="C994" s="7"/>
      <c r="D994" s="116"/>
      <c r="E994" s="116"/>
      <c r="F994" s="8"/>
      <c r="G994" s="8"/>
      <c r="H994" s="7"/>
      <c r="I994" s="8"/>
      <c r="J994" s="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>
      <c r="A995" s="80"/>
      <c r="B995" s="7"/>
      <c r="C995" s="7"/>
      <c r="D995" s="116"/>
      <c r="E995" s="116"/>
      <c r="F995" s="8"/>
      <c r="G995" s="8"/>
      <c r="H995" s="7"/>
      <c r="I995" s="8"/>
      <c r="J995" s="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>
      <c r="A996" s="80"/>
      <c r="B996" s="7"/>
      <c r="C996" s="7"/>
      <c r="D996" s="116"/>
      <c r="E996" s="116"/>
      <c r="F996" s="8"/>
      <c r="G996" s="8"/>
      <c r="H996" s="7"/>
      <c r="I996" s="8"/>
      <c r="J996" s="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>
      <c r="A997" s="80"/>
      <c r="B997" s="7"/>
      <c r="C997" s="7"/>
      <c r="D997" s="116"/>
      <c r="E997" s="116"/>
      <c r="F997" s="8"/>
      <c r="G997" s="8"/>
      <c r="H997" s="7"/>
      <c r="I997" s="8"/>
      <c r="J997" s="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>
      <c r="A998" s="80"/>
      <c r="B998" s="7"/>
      <c r="C998" s="7"/>
      <c r="D998" s="116"/>
      <c r="E998" s="116"/>
      <c r="F998" s="8"/>
      <c r="G998" s="8"/>
      <c r="H998" s="7"/>
      <c r="I998" s="8"/>
      <c r="J998" s="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>
      <c r="A999" s="80"/>
      <c r="B999" s="7"/>
      <c r="C999" s="7"/>
      <c r="D999" s="116"/>
      <c r="E999" s="116"/>
      <c r="F999" s="8"/>
      <c r="G999" s="8"/>
      <c r="H999" s="7"/>
      <c r="I999" s="8"/>
      <c r="J999" s="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>
      <c r="A1000" s="80"/>
      <c r="B1000" s="7"/>
      <c r="C1000" s="7"/>
      <c r="D1000" s="116"/>
      <c r="E1000" s="116"/>
      <c r="F1000" s="8"/>
      <c r="G1000" s="8"/>
      <c r="H1000" s="7"/>
      <c r="I1000" s="8"/>
      <c r="J1000" s="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>
      <c r="A1001" s="80"/>
      <c r="B1001" s="7"/>
      <c r="C1001" s="7"/>
      <c r="D1001" s="116"/>
      <c r="E1001" s="116"/>
      <c r="F1001" s="8"/>
      <c r="G1001" s="8"/>
      <c r="H1001" s="7"/>
      <c r="I1001" s="8"/>
      <c r="J1001" s="8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>
      <c r="A1002" s="80"/>
      <c r="B1002" s="7"/>
      <c r="C1002" s="7"/>
      <c r="D1002" s="116"/>
      <c r="E1002" s="116"/>
      <c r="F1002" s="8"/>
      <c r="G1002" s="8"/>
      <c r="H1002" s="7"/>
      <c r="I1002" s="8"/>
      <c r="J1002" s="8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>
      <c r="A1003" s="80"/>
      <c r="B1003" s="7"/>
      <c r="C1003" s="7"/>
      <c r="D1003" s="116"/>
      <c r="E1003" s="116"/>
      <c r="F1003" s="8"/>
      <c r="G1003" s="8"/>
      <c r="H1003" s="7"/>
      <c r="I1003" s="8"/>
      <c r="J1003" s="8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  <row r="1004">
      <c r="A1004" s="80"/>
      <c r="B1004" s="7"/>
      <c r="C1004" s="7"/>
      <c r="D1004" s="116"/>
      <c r="E1004" s="116"/>
      <c r="F1004" s="8"/>
      <c r="G1004" s="8"/>
      <c r="H1004" s="7"/>
      <c r="I1004" s="8"/>
      <c r="J1004" s="8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</row>
    <row r="1005">
      <c r="A1005" s="80"/>
      <c r="B1005" s="7"/>
      <c r="C1005" s="7"/>
      <c r="D1005" s="116"/>
      <c r="E1005" s="116"/>
      <c r="F1005" s="8"/>
      <c r="G1005" s="8"/>
      <c r="H1005" s="7"/>
      <c r="I1005" s="8"/>
      <c r="J1005" s="8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</row>
    <row r="1006">
      <c r="A1006" s="80"/>
      <c r="B1006" s="7"/>
      <c r="C1006" s="7"/>
      <c r="D1006" s="116"/>
      <c r="E1006" s="116"/>
      <c r="F1006" s="8"/>
      <c r="G1006" s="8"/>
      <c r="H1006" s="7"/>
      <c r="I1006" s="8"/>
      <c r="J1006" s="8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</row>
    <row r="1007">
      <c r="A1007" s="80"/>
      <c r="B1007" s="7"/>
      <c r="C1007" s="7"/>
      <c r="D1007" s="116"/>
      <c r="E1007" s="116"/>
      <c r="F1007" s="8"/>
      <c r="G1007" s="8"/>
      <c r="H1007" s="7"/>
      <c r="I1007" s="8"/>
      <c r="J1007" s="8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</row>
    <row r="1008">
      <c r="A1008" s="80"/>
      <c r="B1008" s="7"/>
      <c r="C1008" s="7"/>
      <c r="D1008" s="116"/>
      <c r="E1008" s="116"/>
      <c r="F1008" s="8"/>
      <c r="G1008" s="8"/>
      <c r="H1008" s="7"/>
      <c r="I1008" s="8"/>
      <c r="J1008" s="8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</row>
    <row r="1009">
      <c r="A1009" s="80"/>
      <c r="B1009" s="7"/>
      <c r="C1009" s="7"/>
      <c r="D1009" s="116"/>
      <c r="E1009" s="116"/>
      <c r="F1009" s="8"/>
      <c r="G1009" s="8"/>
      <c r="H1009" s="7"/>
      <c r="I1009" s="8"/>
      <c r="J1009" s="8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</row>
    <row r="1010">
      <c r="A1010" s="80"/>
      <c r="B1010" s="7"/>
      <c r="C1010" s="7"/>
      <c r="D1010" s="116"/>
      <c r="E1010" s="116"/>
      <c r="F1010" s="8"/>
      <c r="G1010" s="8"/>
      <c r="H1010" s="7"/>
      <c r="I1010" s="8"/>
      <c r="J1010" s="8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</row>
    <row r="1011">
      <c r="A1011" s="80"/>
      <c r="B1011" s="7"/>
      <c r="C1011" s="7"/>
      <c r="D1011" s="116"/>
      <c r="E1011" s="116"/>
      <c r="F1011" s="8"/>
      <c r="G1011" s="8"/>
      <c r="H1011" s="7"/>
      <c r="I1011" s="8"/>
      <c r="J1011" s="8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</row>
    <row r="1012">
      <c r="A1012" s="80"/>
      <c r="B1012" s="7"/>
      <c r="C1012" s="7"/>
      <c r="D1012" s="116"/>
      <c r="E1012" s="116"/>
      <c r="F1012" s="8"/>
      <c r="G1012" s="8"/>
      <c r="H1012" s="7"/>
      <c r="I1012" s="8"/>
      <c r="J1012" s="8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</row>
    <row r="1013">
      <c r="A1013" s="80"/>
      <c r="B1013" s="7"/>
      <c r="C1013" s="7"/>
      <c r="D1013" s="116"/>
      <c r="E1013" s="116"/>
      <c r="F1013" s="8"/>
      <c r="G1013" s="8"/>
      <c r="H1013" s="7"/>
      <c r="I1013" s="8"/>
      <c r="J1013" s="8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</row>
    <row r="1014">
      <c r="A1014" s="80"/>
      <c r="B1014" s="7"/>
      <c r="C1014" s="7"/>
      <c r="D1014" s="116"/>
      <c r="E1014" s="116"/>
      <c r="F1014" s="8"/>
      <c r="G1014" s="8"/>
      <c r="H1014" s="7"/>
      <c r="I1014" s="8"/>
      <c r="J1014" s="8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</row>
    <row r="1015">
      <c r="A1015" s="80"/>
      <c r="B1015" s="7"/>
      <c r="C1015" s="7"/>
      <c r="D1015" s="116"/>
      <c r="E1015" s="116"/>
      <c r="F1015" s="8"/>
      <c r="G1015" s="8"/>
      <c r="H1015" s="7"/>
      <c r="I1015" s="8"/>
      <c r="J1015" s="8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</row>
    <row r="1016">
      <c r="A1016" s="80"/>
      <c r="B1016" s="7"/>
      <c r="C1016" s="7"/>
      <c r="D1016" s="116"/>
      <c r="E1016" s="116"/>
      <c r="F1016" s="8"/>
      <c r="G1016" s="8"/>
      <c r="H1016" s="7"/>
      <c r="I1016" s="8"/>
      <c r="J1016" s="8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</row>
    <row r="1017">
      <c r="A1017" s="80"/>
      <c r="B1017" s="7"/>
      <c r="C1017" s="7"/>
      <c r="D1017" s="116"/>
      <c r="E1017" s="116"/>
      <c r="F1017" s="8"/>
      <c r="G1017" s="8"/>
      <c r="H1017" s="7"/>
      <c r="I1017" s="8"/>
      <c r="J1017" s="8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</row>
    <row r="1018">
      <c r="A1018" s="80"/>
      <c r="B1018" s="7"/>
      <c r="C1018" s="7"/>
      <c r="D1018" s="116"/>
      <c r="E1018" s="116"/>
      <c r="F1018" s="8"/>
      <c r="G1018" s="8"/>
      <c r="H1018" s="7"/>
      <c r="I1018" s="8"/>
      <c r="J1018" s="8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</row>
    <row r="1019">
      <c r="A1019" s="80"/>
      <c r="B1019" s="7"/>
      <c r="C1019" s="7"/>
      <c r="D1019" s="116"/>
      <c r="E1019" s="116"/>
      <c r="F1019" s="8"/>
      <c r="G1019" s="8"/>
      <c r="H1019" s="7"/>
      <c r="I1019" s="8"/>
      <c r="J1019" s="8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</row>
    <row r="1020">
      <c r="A1020" s="80"/>
      <c r="B1020" s="7"/>
      <c r="C1020" s="7"/>
      <c r="D1020" s="116"/>
      <c r="E1020" s="116"/>
      <c r="F1020" s="8"/>
      <c r="G1020" s="8"/>
      <c r="H1020" s="7"/>
      <c r="I1020" s="8"/>
      <c r="J1020" s="8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</row>
    <row r="1021">
      <c r="A1021" s="80"/>
      <c r="B1021" s="7"/>
      <c r="C1021" s="7"/>
      <c r="D1021" s="116"/>
      <c r="E1021" s="116"/>
      <c r="F1021" s="8"/>
      <c r="G1021" s="8"/>
      <c r="H1021" s="7"/>
      <c r="I1021" s="8"/>
      <c r="J1021" s="8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</row>
    <row r="1022">
      <c r="A1022" s="80"/>
      <c r="B1022" s="7"/>
      <c r="C1022" s="7"/>
      <c r="D1022" s="116"/>
      <c r="E1022" s="116"/>
      <c r="F1022" s="8"/>
      <c r="G1022" s="8"/>
      <c r="H1022" s="7"/>
      <c r="I1022" s="8"/>
      <c r="J1022" s="8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</row>
    <row r="1023">
      <c r="A1023" s="7"/>
      <c r="B1023" s="7"/>
      <c r="C1023" s="7"/>
      <c r="D1023" s="116"/>
      <c r="E1023" s="116"/>
      <c r="F1023" s="8"/>
      <c r="G1023" s="8"/>
      <c r="H1023" s="7"/>
      <c r="I1023" s="8"/>
      <c r="J1023" s="8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</row>
    <row r="1024">
      <c r="A1024" s="7"/>
      <c r="B1024" s="7"/>
      <c r="C1024" s="7"/>
      <c r="D1024" s="116"/>
      <c r="E1024" s="116"/>
      <c r="F1024" s="8"/>
      <c r="G1024" s="8"/>
      <c r="H1024" s="7"/>
      <c r="I1024" s="8"/>
      <c r="J1024" s="8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5"/>
    <col customWidth="1" min="2" max="2" width="27.75"/>
    <col customWidth="1" min="3" max="3" width="56.63"/>
    <col customWidth="1" min="4" max="4" width="14.38"/>
    <col customWidth="1" min="5" max="5" width="18.25"/>
    <col customWidth="1" min="7" max="7" width="16.25"/>
    <col customWidth="1" min="10" max="10" width="18.75"/>
  </cols>
  <sheetData>
    <row r="1">
      <c r="A1" s="111" t="s">
        <v>29</v>
      </c>
      <c r="B1" s="111" t="s">
        <v>87</v>
      </c>
      <c r="C1" s="111" t="s">
        <v>88</v>
      </c>
      <c r="D1" s="61" t="s">
        <v>89</v>
      </c>
      <c r="E1" s="61" t="s">
        <v>90</v>
      </c>
      <c r="F1" s="60" t="s">
        <v>30</v>
      </c>
      <c r="G1" s="60" t="s">
        <v>91</v>
      </c>
      <c r="H1" s="111" t="s">
        <v>92</v>
      </c>
      <c r="I1" s="60" t="s">
        <v>93</v>
      </c>
      <c r="J1" s="60" t="s">
        <v>39</v>
      </c>
      <c r="K1" s="111" t="s">
        <v>40</v>
      </c>
      <c r="L1" s="111" t="s">
        <v>41</v>
      </c>
      <c r="M1" s="111" t="s">
        <v>42</v>
      </c>
      <c r="N1" s="111" t="s">
        <v>43</v>
      </c>
      <c r="O1" s="111" t="s">
        <v>486</v>
      </c>
      <c r="P1" s="111" t="s">
        <v>487</v>
      </c>
      <c r="Q1" s="111" t="s">
        <v>488</v>
      </c>
      <c r="R1" s="111" t="s">
        <v>489</v>
      </c>
      <c r="S1" s="111" t="s">
        <v>45</v>
      </c>
      <c r="T1" s="7"/>
      <c r="U1" s="7"/>
    </row>
    <row r="2">
      <c r="A2" s="45">
        <v>45898.165625</v>
      </c>
      <c r="B2" s="7" t="s">
        <v>1863</v>
      </c>
      <c r="C2" s="7" t="s">
        <v>1864</v>
      </c>
      <c r="D2" s="74">
        <v>1.0</v>
      </c>
      <c r="E2" s="46"/>
      <c r="F2" s="47">
        <v>34.46</v>
      </c>
      <c r="G2" s="47">
        <v>0.0</v>
      </c>
      <c r="H2" s="7"/>
      <c r="I2" s="47">
        <v>1.3</v>
      </c>
      <c r="J2" s="8"/>
      <c r="K2" s="7"/>
      <c r="L2" s="7"/>
      <c r="M2" s="7"/>
      <c r="N2" s="7"/>
      <c r="O2" s="7" t="s">
        <v>1865</v>
      </c>
      <c r="P2" s="7"/>
      <c r="Q2" s="7" t="s">
        <v>1866</v>
      </c>
      <c r="R2" s="7" t="s">
        <v>493</v>
      </c>
      <c r="S2" s="65">
        <v>3503.0</v>
      </c>
      <c r="T2" s="7"/>
      <c r="U2" s="7"/>
    </row>
    <row r="3">
      <c r="A3" s="45">
        <v>45898.15586805555</v>
      </c>
      <c r="B3" s="7" t="s">
        <v>122</v>
      </c>
      <c r="C3" s="7" t="s">
        <v>1864</v>
      </c>
      <c r="D3" s="74">
        <v>1.0</v>
      </c>
      <c r="E3" s="46"/>
      <c r="F3" s="47">
        <v>34.46</v>
      </c>
      <c r="G3" s="47">
        <v>0.0</v>
      </c>
      <c r="H3" s="7"/>
      <c r="I3" s="47">
        <v>1.3</v>
      </c>
      <c r="J3" s="8"/>
      <c r="K3" s="7"/>
      <c r="L3" s="7"/>
      <c r="M3" s="7"/>
      <c r="N3" s="7"/>
      <c r="O3" s="7" t="s">
        <v>1867</v>
      </c>
      <c r="P3" s="7"/>
      <c r="Q3" s="7" t="s">
        <v>1868</v>
      </c>
      <c r="R3" s="7" t="s">
        <v>493</v>
      </c>
      <c r="S3" s="65">
        <v>3502.0</v>
      </c>
      <c r="T3" s="7"/>
      <c r="U3" s="7"/>
    </row>
    <row r="4">
      <c r="A4" s="45">
        <v>45898.147835648146</v>
      </c>
      <c r="B4" s="7" t="s">
        <v>1869</v>
      </c>
      <c r="C4" s="7" t="s">
        <v>1864</v>
      </c>
      <c r="D4" s="74">
        <v>1.0</v>
      </c>
      <c r="E4" s="46"/>
      <c r="F4" s="47">
        <v>36.65</v>
      </c>
      <c r="G4" s="47">
        <v>0.0</v>
      </c>
      <c r="H4" s="7"/>
      <c r="I4" s="47">
        <v>1.36</v>
      </c>
      <c r="J4" s="8"/>
      <c r="K4" s="7"/>
      <c r="L4" s="7"/>
      <c r="M4" s="7"/>
      <c r="N4" s="7"/>
      <c r="O4" s="7" t="s">
        <v>1870</v>
      </c>
      <c r="P4" s="7"/>
      <c r="Q4" s="7" t="s">
        <v>1871</v>
      </c>
      <c r="R4" s="7" t="s">
        <v>493</v>
      </c>
      <c r="S4" s="65">
        <v>3500.0</v>
      </c>
      <c r="T4" s="7"/>
      <c r="U4" s="7"/>
    </row>
    <row r="5">
      <c r="A5" s="45">
        <v>45898.140231481484</v>
      </c>
      <c r="B5" s="7" t="s">
        <v>107</v>
      </c>
      <c r="C5" s="7" t="s">
        <v>1864</v>
      </c>
      <c r="D5" s="74">
        <v>1.0</v>
      </c>
      <c r="E5" s="46"/>
      <c r="F5" s="47">
        <v>24.99</v>
      </c>
      <c r="G5" s="47">
        <v>0.0</v>
      </c>
      <c r="H5" s="7"/>
      <c r="I5" s="47">
        <v>1.02</v>
      </c>
      <c r="J5" s="8"/>
      <c r="K5" s="7"/>
      <c r="L5" s="7"/>
      <c r="M5" s="7"/>
      <c r="N5" s="7"/>
      <c r="O5" s="7" t="s">
        <v>810</v>
      </c>
      <c r="P5" s="7"/>
      <c r="Q5" s="7" t="s">
        <v>811</v>
      </c>
      <c r="R5" s="7" t="s">
        <v>493</v>
      </c>
      <c r="S5" s="65">
        <v>3499.0</v>
      </c>
      <c r="T5" s="7"/>
      <c r="U5" s="7"/>
    </row>
    <row r="6">
      <c r="A6" s="45">
        <v>45898.11924768519</v>
      </c>
      <c r="B6" s="7" t="s">
        <v>1494</v>
      </c>
      <c r="C6" s="7" t="s">
        <v>1864</v>
      </c>
      <c r="D6" s="74">
        <v>1.0</v>
      </c>
      <c r="E6" s="46"/>
      <c r="F6" s="47">
        <v>24.99</v>
      </c>
      <c r="G6" s="47">
        <v>0.0</v>
      </c>
      <c r="H6" s="7"/>
      <c r="I6" s="47">
        <v>1.02</v>
      </c>
      <c r="J6" s="8"/>
      <c r="K6" s="7"/>
      <c r="L6" s="7"/>
      <c r="M6" s="7"/>
      <c r="N6" s="7"/>
      <c r="O6" s="7" t="s">
        <v>1710</v>
      </c>
      <c r="P6" s="7"/>
      <c r="Q6" s="7" t="s">
        <v>1711</v>
      </c>
      <c r="R6" s="7" t="s">
        <v>493</v>
      </c>
      <c r="S6" s="65">
        <v>3497.0</v>
      </c>
      <c r="T6" s="7"/>
      <c r="U6" s="7"/>
    </row>
    <row r="7">
      <c r="A7" s="45">
        <v>45898.108773148146</v>
      </c>
      <c r="B7" s="7" t="s">
        <v>251</v>
      </c>
      <c r="C7" s="7" t="s">
        <v>1864</v>
      </c>
      <c r="D7" s="74">
        <v>1.0</v>
      </c>
      <c r="E7" s="46"/>
      <c r="F7" s="47">
        <v>24.99</v>
      </c>
      <c r="G7" s="47">
        <v>0.0</v>
      </c>
      <c r="H7" s="7"/>
      <c r="I7" s="47">
        <v>1.4</v>
      </c>
      <c r="J7" s="8"/>
      <c r="K7" s="7"/>
      <c r="L7" s="7"/>
      <c r="M7" s="7"/>
      <c r="N7" s="7"/>
      <c r="O7" s="7" t="s">
        <v>1592</v>
      </c>
      <c r="P7" s="7" t="s">
        <v>1593</v>
      </c>
      <c r="Q7" s="7" t="s">
        <v>572</v>
      </c>
      <c r="R7" s="7" t="s">
        <v>510</v>
      </c>
      <c r="S7" s="65">
        <v>3496.0</v>
      </c>
      <c r="T7" s="7"/>
      <c r="U7" s="7"/>
    </row>
    <row r="8">
      <c r="A8" s="45">
        <v>45898.08840277778</v>
      </c>
      <c r="B8" s="7" t="s">
        <v>831</v>
      </c>
      <c r="C8" s="7" t="s">
        <v>1864</v>
      </c>
      <c r="D8" s="74">
        <v>1.0</v>
      </c>
      <c r="E8" s="46"/>
      <c r="F8" s="47">
        <v>34.46</v>
      </c>
      <c r="G8" s="47">
        <v>0.0</v>
      </c>
      <c r="H8" s="7"/>
      <c r="I8" s="47">
        <v>1.3</v>
      </c>
      <c r="J8" s="8"/>
      <c r="K8" s="7"/>
      <c r="L8" s="7"/>
      <c r="M8" s="7"/>
      <c r="N8" s="7"/>
      <c r="O8" s="7" t="s">
        <v>1872</v>
      </c>
      <c r="P8" s="7" t="s">
        <v>1873</v>
      </c>
      <c r="Q8" s="7" t="s">
        <v>834</v>
      </c>
      <c r="R8" s="7" t="s">
        <v>493</v>
      </c>
      <c r="S8" s="65">
        <v>3495.0</v>
      </c>
      <c r="T8" s="7"/>
      <c r="U8" s="7"/>
    </row>
    <row r="9">
      <c r="A9" s="45">
        <v>45897.772569444445</v>
      </c>
      <c r="B9" s="7" t="s">
        <v>529</v>
      </c>
      <c r="C9" s="7" t="s">
        <v>1864</v>
      </c>
      <c r="D9" s="74">
        <v>1.0</v>
      </c>
      <c r="E9" s="46"/>
      <c r="F9" s="47">
        <v>24.99</v>
      </c>
      <c r="G9" s="47">
        <v>0.0</v>
      </c>
      <c r="H9" s="7"/>
      <c r="I9" s="47">
        <v>1.02</v>
      </c>
      <c r="J9" s="8"/>
      <c r="K9" s="7"/>
      <c r="L9" s="7"/>
      <c r="M9" s="7"/>
      <c r="N9" s="7"/>
      <c r="O9" s="7" t="s">
        <v>530</v>
      </c>
      <c r="P9" s="7"/>
      <c r="Q9" s="7" t="s">
        <v>531</v>
      </c>
      <c r="R9" s="7" t="s">
        <v>493</v>
      </c>
      <c r="S9" s="65">
        <v>3485.0</v>
      </c>
      <c r="T9" s="7"/>
      <c r="U9" s="7"/>
    </row>
    <row r="10">
      <c r="A10" s="45">
        <v>45897.67681712963</v>
      </c>
      <c r="B10" s="7" t="s">
        <v>108</v>
      </c>
      <c r="C10" s="7" t="s">
        <v>1864</v>
      </c>
      <c r="D10" s="74">
        <v>1.0</v>
      </c>
      <c r="E10" s="46"/>
      <c r="F10" s="47">
        <v>24.99</v>
      </c>
      <c r="G10" s="47">
        <v>0.0</v>
      </c>
      <c r="H10" s="7"/>
      <c r="I10" s="47">
        <v>1.4</v>
      </c>
      <c r="J10" s="8"/>
      <c r="K10" s="7"/>
      <c r="L10" s="7"/>
      <c r="M10" s="7"/>
      <c r="N10" s="7"/>
      <c r="O10" s="7" t="s">
        <v>543</v>
      </c>
      <c r="P10" s="7"/>
      <c r="Q10" s="7" t="s">
        <v>544</v>
      </c>
      <c r="R10" s="7" t="s">
        <v>545</v>
      </c>
      <c r="S10" s="65">
        <v>3483.0</v>
      </c>
      <c r="T10" s="7"/>
      <c r="U10" s="7"/>
    </row>
    <row r="11">
      <c r="A11" s="45">
        <v>45897.61633101852</v>
      </c>
      <c r="B11" s="7" t="s">
        <v>1874</v>
      </c>
      <c r="C11" s="7" t="s">
        <v>1864</v>
      </c>
      <c r="D11" s="74">
        <v>1.0</v>
      </c>
      <c r="E11" s="46"/>
      <c r="F11" s="47">
        <v>34.46</v>
      </c>
      <c r="G11" s="47">
        <v>0.0</v>
      </c>
      <c r="H11" s="7"/>
      <c r="I11" s="47">
        <v>1.3</v>
      </c>
      <c r="J11" s="8"/>
      <c r="K11" s="7"/>
      <c r="L11" s="7"/>
      <c r="M11" s="7"/>
      <c r="N11" s="7"/>
      <c r="O11" s="7" t="s">
        <v>1875</v>
      </c>
      <c r="P11" s="7"/>
      <c r="Q11" s="7" t="s">
        <v>1876</v>
      </c>
      <c r="R11" s="7" t="s">
        <v>493</v>
      </c>
      <c r="S11" s="65">
        <v>3482.0</v>
      </c>
      <c r="T11" s="7"/>
      <c r="U11" s="7"/>
    </row>
    <row r="12">
      <c r="A12" s="45">
        <v>45897.55023148148</v>
      </c>
      <c r="B12" s="7" t="s">
        <v>152</v>
      </c>
      <c r="C12" s="7" t="s">
        <v>1864</v>
      </c>
      <c r="D12" s="74">
        <v>1.0</v>
      </c>
      <c r="E12" s="46"/>
      <c r="F12" s="47">
        <v>24.99</v>
      </c>
      <c r="G12" s="47">
        <v>0.0</v>
      </c>
      <c r="H12" s="7"/>
      <c r="I12" s="47">
        <v>1.02</v>
      </c>
      <c r="J12" s="8"/>
      <c r="K12" s="7"/>
      <c r="L12" s="7"/>
      <c r="M12" s="7"/>
      <c r="N12" s="7"/>
      <c r="O12" s="7" t="s">
        <v>568</v>
      </c>
      <c r="P12" s="7"/>
      <c r="Q12" s="7" t="s">
        <v>569</v>
      </c>
      <c r="R12" s="7" t="s">
        <v>493</v>
      </c>
      <c r="S12" s="65">
        <v>3481.0</v>
      </c>
      <c r="T12" s="7"/>
      <c r="U12" s="7"/>
    </row>
    <row r="13">
      <c r="A13" s="45">
        <v>45897.304074074076</v>
      </c>
      <c r="B13" s="7" t="s">
        <v>1742</v>
      </c>
      <c r="C13" s="7" t="s">
        <v>1864</v>
      </c>
      <c r="D13" s="74">
        <v>1.0</v>
      </c>
      <c r="E13" s="46"/>
      <c r="F13" s="47">
        <v>24.99</v>
      </c>
      <c r="G13" s="47">
        <v>0.0</v>
      </c>
      <c r="H13" s="7"/>
      <c r="I13" s="47">
        <v>1.02</v>
      </c>
      <c r="J13" s="8"/>
      <c r="K13" s="7"/>
      <c r="L13" s="7"/>
      <c r="M13" s="7"/>
      <c r="N13" s="7"/>
      <c r="O13" s="7" t="s">
        <v>731</v>
      </c>
      <c r="P13" s="7"/>
      <c r="Q13" s="7" t="s">
        <v>732</v>
      </c>
      <c r="R13" s="7" t="s">
        <v>493</v>
      </c>
      <c r="S13" s="65">
        <v>3480.0</v>
      </c>
      <c r="T13" s="7"/>
      <c r="U13" s="7"/>
    </row>
    <row r="14">
      <c r="A14" s="45">
        <v>45897.290601851855</v>
      </c>
      <c r="B14" s="7" t="s">
        <v>697</v>
      </c>
      <c r="C14" s="7" t="s">
        <v>1864</v>
      </c>
      <c r="D14" s="74">
        <v>1.0</v>
      </c>
      <c r="E14" s="46"/>
      <c r="F14" s="47">
        <v>24.99</v>
      </c>
      <c r="G14" s="47">
        <v>0.0</v>
      </c>
      <c r="H14" s="7"/>
      <c r="I14" s="47">
        <v>1.4</v>
      </c>
      <c r="J14" s="8"/>
      <c r="K14" s="7"/>
      <c r="L14" s="7"/>
      <c r="M14" s="7"/>
      <c r="N14" s="7"/>
      <c r="O14" s="7" t="s">
        <v>698</v>
      </c>
      <c r="P14" s="7"/>
      <c r="Q14" s="7" t="s">
        <v>699</v>
      </c>
      <c r="R14" s="7" t="s">
        <v>542</v>
      </c>
      <c r="S14" s="65">
        <v>3479.0</v>
      </c>
      <c r="T14" s="7"/>
      <c r="U14" s="7"/>
    </row>
    <row r="15">
      <c r="A15" s="45">
        <v>45897.27790509259</v>
      </c>
      <c r="B15" s="7" t="s">
        <v>1877</v>
      </c>
      <c r="C15" s="7" t="s">
        <v>1864</v>
      </c>
      <c r="D15" s="74">
        <v>1.0</v>
      </c>
      <c r="E15" s="46"/>
      <c r="F15" s="47">
        <v>68.38</v>
      </c>
      <c r="G15" s="47">
        <v>0.0</v>
      </c>
      <c r="H15" s="7"/>
      <c r="I15" s="47">
        <v>3.31</v>
      </c>
      <c r="J15" s="8"/>
      <c r="K15" s="7"/>
      <c r="L15" s="7"/>
      <c r="M15" s="7"/>
      <c r="N15" s="7"/>
      <c r="O15" s="7" t="s">
        <v>1878</v>
      </c>
      <c r="P15" s="7" t="s">
        <v>1879</v>
      </c>
      <c r="Q15" s="7" t="s">
        <v>509</v>
      </c>
      <c r="R15" s="7" t="s">
        <v>510</v>
      </c>
      <c r="S15" s="65">
        <v>3478.0</v>
      </c>
      <c r="T15" s="7"/>
      <c r="U15" s="7"/>
    </row>
    <row r="16">
      <c r="A16" s="45">
        <v>45897.20710648148</v>
      </c>
      <c r="B16" s="7" t="s">
        <v>1482</v>
      </c>
      <c r="C16" s="7" t="s">
        <v>1864</v>
      </c>
      <c r="D16" s="74">
        <v>1.0</v>
      </c>
      <c r="E16" s="46"/>
      <c r="F16" s="47">
        <v>24.99</v>
      </c>
      <c r="G16" s="47">
        <v>0.0</v>
      </c>
      <c r="H16" s="7"/>
      <c r="I16" s="47">
        <v>1.02</v>
      </c>
      <c r="J16" s="8"/>
      <c r="K16" s="7"/>
      <c r="L16" s="7"/>
      <c r="M16" s="7"/>
      <c r="N16" s="7"/>
      <c r="O16" s="7" t="s">
        <v>721</v>
      </c>
      <c r="P16" s="7"/>
      <c r="Q16" s="7" t="s">
        <v>722</v>
      </c>
      <c r="R16" s="7" t="s">
        <v>493</v>
      </c>
      <c r="S16" s="65">
        <v>3477.0</v>
      </c>
      <c r="T16" s="7"/>
      <c r="U16" s="7"/>
    </row>
    <row r="17">
      <c r="A17" s="45">
        <v>45897.105266203704</v>
      </c>
      <c r="B17" s="7" t="s">
        <v>1766</v>
      </c>
      <c r="C17" s="7" t="s">
        <v>1864</v>
      </c>
      <c r="D17" s="74">
        <v>1.0</v>
      </c>
      <c r="E17" s="46"/>
      <c r="F17" s="47">
        <v>24.99</v>
      </c>
      <c r="G17" s="47">
        <v>0.0</v>
      </c>
      <c r="H17" s="7"/>
      <c r="I17" s="47">
        <v>1.4</v>
      </c>
      <c r="J17" s="8"/>
      <c r="K17" s="7"/>
      <c r="L17" s="7"/>
      <c r="M17" s="7"/>
      <c r="N17" s="7"/>
      <c r="O17" s="7" t="s">
        <v>1767</v>
      </c>
      <c r="P17" s="7"/>
      <c r="Q17" s="7" t="s">
        <v>1768</v>
      </c>
      <c r="R17" s="7" t="s">
        <v>542</v>
      </c>
      <c r="S17" s="65">
        <v>3474.0</v>
      </c>
      <c r="T17" s="7"/>
      <c r="U17" s="7"/>
    </row>
    <row r="18">
      <c r="A18" s="45">
        <v>45897.09605324074</v>
      </c>
      <c r="B18" s="7" t="s">
        <v>1880</v>
      </c>
      <c r="C18" s="7" t="s">
        <v>1864</v>
      </c>
      <c r="D18" s="74">
        <v>1.0</v>
      </c>
      <c r="E18" s="46"/>
      <c r="F18" s="47">
        <v>34.46</v>
      </c>
      <c r="G18" s="47">
        <v>0.0</v>
      </c>
      <c r="H18" s="7"/>
      <c r="I18" s="47">
        <v>1.3</v>
      </c>
      <c r="J18" s="8"/>
      <c r="K18" s="7"/>
      <c r="L18" s="7"/>
      <c r="M18" s="7"/>
      <c r="N18" s="7"/>
      <c r="O18" s="7" t="s">
        <v>1881</v>
      </c>
      <c r="P18" s="7" t="s">
        <v>1882</v>
      </c>
      <c r="Q18" s="7" t="s">
        <v>1883</v>
      </c>
      <c r="R18" s="7" t="s">
        <v>493</v>
      </c>
      <c r="S18" s="65">
        <v>3471.0</v>
      </c>
      <c r="T18" s="7"/>
      <c r="U18" s="7"/>
    </row>
    <row r="19">
      <c r="A19" s="45">
        <v>45897.053252314814</v>
      </c>
      <c r="B19" s="7" t="s">
        <v>337</v>
      </c>
      <c r="C19" s="7" t="s">
        <v>1884</v>
      </c>
      <c r="D19" s="74">
        <v>2.0</v>
      </c>
      <c r="E19" s="46"/>
      <c r="F19" s="47">
        <v>59.45</v>
      </c>
      <c r="G19" s="47">
        <v>0.0</v>
      </c>
      <c r="H19" s="7"/>
      <c r="I19" s="47">
        <v>2.02</v>
      </c>
      <c r="J19" s="8"/>
      <c r="K19" s="7"/>
      <c r="L19" s="7"/>
      <c r="M19" s="7"/>
      <c r="N19" s="7"/>
      <c r="O19" s="7" t="s">
        <v>1885</v>
      </c>
      <c r="P19" s="7"/>
      <c r="Q19" s="7" t="s">
        <v>1147</v>
      </c>
      <c r="R19" s="7" t="s">
        <v>493</v>
      </c>
      <c r="S19" s="65">
        <v>3470.0</v>
      </c>
      <c r="T19" s="7"/>
      <c r="U19" s="7"/>
    </row>
    <row r="20">
      <c r="A20" s="45">
        <v>45897.0315625</v>
      </c>
      <c r="B20" s="7" t="s">
        <v>667</v>
      </c>
      <c r="C20" s="7" t="s">
        <v>1864</v>
      </c>
      <c r="D20" s="74">
        <v>1.0</v>
      </c>
      <c r="E20" s="46"/>
      <c r="F20" s="47">
        <v>24.99</v>
      </c>
      <c r="G20" s="47">
        <v>0.0</v>
      </c>
      <c r="H20" s="7"/>
      <c r="I20" s="47">
        <v>1.02</v>
      </c>
      <c r="J20" s="8"/>
      <c r="K20" s="7"/>
      <c r="L20" s="7"/>
      <c r="M20" s="7"/>
      <c r="N20" s="7"/>
      <c r="O20" s="7" t="s">
        <v>668</v>
      </c>
      <c r="P20" s="7"/>
      <c r="Q20" s="7" t="s">
        <v>669</v>
      </c>
      <c r="R20" s="7" t="s">
        <v>493</v>
      </c>
      <c r="S20" s="65">
        <v>3469.0</v>
      </c>
      <c r="T20" s="7"/>
      <c r="U20" s="7"/>
    </row>
    <row r="21">
      <c r="A21" s="45">
        <v>45896.98143518518</v>
      </c>
      <c r="B21" s="7" t="s">
        <v>1886</v>
      </c>
      <c r="C21" s="7" t="s">
        <v>1864</v>
      </c>
      <c r="D21" s="74">
        <v>1.0</v>
      </c>
      <c r="E21" s="46"/>
      <c r="F21" s="47">
        <v>36.96</v>
      </c>
      <c r="G21" s="47">
        <v>0.0</v>
      </c>
      <c r="H21" s="7"/>
      <c r="I21" s="47">
        <v>1.37</v>
      </c>
      <c r="J21" s="8"/>
      <c r="K21" s="7"/>
      <c r="L21" s="7"/>
      <c r="M21" s="7"/>
      <c r="N21" s="7"/>
      <c r="O21" s="7" t="s">
        <v>1887</v>
      </c>
      <c r="P21" s="7" t="s">
        <v>1888</v>
      </c>
      <c r="Q21" s="7" t="s">
        <v>1889</v>
      </c>
      <c r="R21" s="7" t="s">
        <v>493</v>
      </c>
      <c r="S21" s="65">
        <v>3468.0</v>
      </c>
      <c r="T21" s="7"/>
      <c r="U21" s="7"/>
    </row>
    <row r="22">
      <c r="A22" s="45">
        <v>45896.94630787037</v>
      </c>
      <c r="B22" s="7" t="s">
        <v>1890</v>
      </c>
      <c r="C22" s="7" t="s">
        <v>1864</v>
      </c>
      <c r="D22" s="74">
        <v>1.0</v>
      </c>
      <c r="E22" s="46"/>
      <c r="F22" s="47">
        <v>34.46</v>
      </c>
      <c r="G22" s="47">
        <v>0.0</v>
      </c>
      <c r="H22" s="7"/>
      <c r="I22" s="47">
        <v>1.3</v>
      </c>
      <c r="J22" s="8"/>
      <c r="K22" s="7"/>
      <c r="L22" s="7"/>
      <c r="M22" s="7"/>
      <c r="N22" s="7"/>
      <c r="O22" s="7" t="s">
        <v>1891</v>
      </c>
      <c r="P22" s="7"/>
      <c r="Q22" s="7" t="s">
        <v>1892</v>
      </c>
      <c r="R22" s="7" t="s">
        <v>493</v>
      </c>
      <c r="S22" s="65">
        <v>3467.0</v>
      </c>
      <c r="T22" s="7"/>
      <c r="U22" s="7"/>
    </row>
    <row r="23">
      <c r="A23" s="45">
        <v>45896.8225</v>
      </c>
      <c r="B23" s="7" t="s">
        <v>1893</v>
      </c>
      <c r="C23" s="7" t="s">
        <v>1864</v>
      </c>
      <c r="D23" s="74">
        <v>1.0</v>
      </c>
      <c r="E23" s="46"/>
      <c r="F23" s="47">
        <v>37.15</v>
      </c>
      <c r="G23" s="47">
        <v>0.0</v>
      </c>
      <c r="H23" s="7"/>
      <c r="I23" s="47">
        <v>1.38</v>
      </c>
      <c r="J23" s="8"/>
      <c r="K23" s="7"/>
      <c r="L23" s="7"/>
      <c r="M23" s="7"/>
      <c r="N23" s="7"/>
      <c r="O23" s="7" t="s">
        <v>1894</v>
      </c>
      <c r="P23" s="7"/>
      <c r="Q23" s="7" t="s">
        <v>1895</v>
      </c>
      <c r="R23" s="7" t="s">
        <v>493</v>
      </c>
      <c r="S23" s="65">
        <v>3458.0</v>
      </c>
      <c r="T23" s="7"/>
      <c r="U23" s="7"/>
    </row>
    <row r="24">
      <c r="A24" s="45">
        <v>45896.82084490741</v>
      </c>
      <c r="B24" s="7" t="s">
        <v>1896</v>
      </c>
      <c r="C24" s="7" t="s">
        <v>1864</v>
      </c>
      <c r="D24" s="74">
        <v>1.0</v>
      </c>
      <c r="E24" s="46"/>
      <c r="F24" s="47">
        <v>34.46</v>
      </c>
      <c r="G24" s="47">
        <v>0.0</v>
      </c>
      <c r="H24" s="7"/>
      <c r="I24" s="47">
        <v>1.3</v>
      </c>
      <c r="J24" s="8"/>
      <c r="K24" s="7"/>
      <c r="L24" s="7"/>
      <c r="M24" s="7"/>
      <c r="N24" s="7"/>
      <c r="O24" s="7" t="s">
        <v>1897</v>
      </c>
      <c r="P24" s="7"/>
      <c r="Q24" s="7" t="s">
        <v>895</v>
      </c>
      <c r="R24" s="7" t="s">
        <v>493</v>
      </c>
      <c r="S24" s="65">
        <v>3457.0</v>
      </c>
      <c r="T24" s="7"/>
      <c r="U24" s="7"/>
    </row>
    <row r="25">
      <c r="A25" s="45">
        <v>45896.81810185185</v>
      </c>
      <c r="B25" s="7" t="s">
        <v>302</v>
      </c>
      <c r="C25" s="7" t="s">
        <v>1864</v>
      </c>
      <c r="D25" s="74">
        <v>1.0</v>
      </c>
      <c r="E25" s="46"/>
      <c r="F25" s="47">
        <v>24.99</v>
      </c>
      <c r="G25" s="47">
        <v>0.0</v>
      </c>
      <c r="H25" s="7"/>
      <c r="I25" s="47">
        <v>1.02</v>
      </c>
      <c r="J25" s="8"/>
      <c r="K25" s="7"/>
      <c r="L25" s="7"/>
      <c r="M25" s="7"/>
      <c r="N25" s="7"/>
      <c r="O25" s="7" t="s">
        <v>1253</v>
      </c>
      <c r="P25" s="7"/>
      <c r="Q25" s="7" t="s">
        <v>1254</v>
      </c>
      <c r="R25" s="7" t="s">
        <v>493</v>
      </c>
      <c r="S25" s="65">
        <v>3455.0</v>
      </c>
      <c r="T25" s="7"/>
      <c r="U25" s="7"/>
    </row>
    <row r="26">
      <c r="A26" s="45">
        <v>45896.775405092594</v>
      </c>
      <c r="B26" s="7" t="s">
        <v>1898</v>
      </c>
      <c r="C26" s="7" t="s">
        <v>1864</v>
      </c>
      <c r="D26" s="74">
        <v>1.0</v>
      </c>
      <c r="E26" s="46"/>
      <c r="F26" s="47">
        <v>62.55</v>
      </c>
      <c r="G26" s="47">
        <v>0.0</v>
      </c>
      <c r="H26" s="7"/>
      <c r="I26" s="47">
        <v>3.05</v>
      </c>
      <c r="J26" s="8"/>
      <c r="K26" s="7"/>
      <c r="L26" s="7"/>
      <c r="M26" s="7"/>
      <c r="N26" s="7"/>
      <c r="O26" s="7" t="s">
        <v>1899</v>
      </c>
      <c r="P26" s="7"/>
      <c r="Q26" s="7" t="s">
        <v>901</v>
      </c>
      <c r="R26" s="7" t="s">
        <v>902</v>
      </c>
      <c r="S26" s="65">
        <v>3452.0</v>
      </c>
      <c r="T26" s="7"/>
      <c r="U26" s="7"/>
    </row>
    <row r="27">
      <c r="A27" s="45">
        <v>45896.6325</v>
      </c>
      <c r="B27" s="7" t="s">
        <v>401</v>
      </c>
      <c r="C27" s="7" t="s">
        <v>1864</v>
      </c>
      <c r="D27" s="74">
        <v>1.0</v>
      </c>
      <c r="E27" s="46"/>
      <c r="F27" s="47">
        <v>34.46</v>
      </c>
      <c r="G27" s="47">
        <v>0.0</v>
      </c>
      <c r="H27" s="7"/>
      <c r="I27" s="47">
        <v>1.3</v>
      </c>
      <c r="J27" s="8"/>
      <c r="K27" s="7"/>
      <c r="L27" s="7"/>
      <c r="M27" s="7"/>
      <c r="N27" s="7"/>
      <c r="O27" s="7" t="s">
        <v>1900</v>
      </c>
      <c r="P27" s="7"/>
      <c r="Q27" s="7" t="s">
        <v>1147</v>
      </c>
      <c r="R27" s="7" t="s">
        <v>493</v>
      </c>
      <c r="S27" s="65">
        <v>3450.0</v>
      </c>
      <c r="T27" s="7"/>
      <c r="U27" s="7"/>
    </row>
    <row r="28">
      <c r="A28" s="45">
        <v>45896.14928240741</v>
      </c>
      <c r="B28" s="7" t="s">
        <v>304</v>
      </c>
      <c r="C28" s="7" t="s">
        <v>1864</v>
      </c>
      <c r="D28" s="74">
        <v>1.0</v>
      </c>
      <c r="E28" s="46"/>
      <c r="F28" s="47">
        <v>24.99</v>
      </c>
      <c r="G28" s="47">
        <v>0.0</v>
      </c>
      <c r="H28" s="7"/>
      <c r="I28" s="47">
        <v>1.02</v>
      </c>
      <c r="J28" s="8"/>
      <c r="K28" s="7"/>
      <c r="L28" s="7"/>
      <c r="M28" s="7"/>
      <c r="N28" s="7"/>
      <c r="O28" s="7" t="s">
        <v>774</v>
      </c>
      <c r="P28" s="7"/>
      <c r="Q28" s="7" t="s">
        <v>775</v>
      </c>
      <c r="R28" s="7" t="s">
        <v>493</v>
      </c>
      <c r="S28" s="65">
        <v>3446.0</v>
      </c>
      <c r="T28" s="7"/>
      <c r="U28" s="7"/>
    </row>
    <row r="29">
      <c r="A29" s="45">
        <v>45895.92420138889</v>
      </c>
      <c r="B29" s="7" t="s">
        <v>1901</v>
      </c>
      <c r="C29" s="7" t="s">
        <v>1864</v>
      </c>
      <c r="D29" s="74">
        <v>1.0</v>
      </c>
      <c r="E29" s="46"/>
      <c r="F29" s="47">
        <v>46.46</v>
      </c>
      <c r="G29" s="47">
        <v>0.0</v>
      </c>
      <c r="H29" s="7"/>
      <c r="I29" s="47">
        <v>2.34</v>
      </c>
      <c r="J29" s="8"/>
      <c r="K29" s="7"/>
      <c r="L29" s="7"/>
      <c r="M29" s="7"/>
      <c r="N29" s="7"/>
      <c r="O29" s="7" t="s">
        <v>1902</v>
      </c>
      <c r="P29" s="7"/>
      <c r="Q29" s="7" t="s">
        <v>1903</v>
      </c>
      <c r="R29" s="7" t="s">
        <v>545</v>
      </c>
      <c r="S29" s="65">
        <v>3443.0</v>
      </c>
      <c r="T29" s="7"/>
      <c r="U29" s="7"/>
    </row>
    <row r="30">
      <c r="A30" s="45">
        <v>45895.76810185185</v>
      </c>
      <c r="B30" s="7" t="s">
        <v>780</v>
      </c>
      <c r="C30" s="7" t="s">
        <v>1864</v>
      </c>
      <c r="D30" s="74">
        <v>1.0</v>
      </c>
      <c r="E30" s="46"/>
      <c r="F30" s="47">
        <v>24.99</v>
      </c>
      <c r="G30" s="47">
        <v>0.0</v>
      </c>
      <c r="H30" s="7"/>
      <c r="I30" s="47">
        <v>1.4</v>
      </c>
      <c r="J30" s="8"/>
      <c r="K30" s="7"/>
      <c r="L30" s="7"/>
      <c r="M30" s="7"/>
      <c r="N30" s="7"/>
      <c r="O30" s="7" t="s">
        <v>781</v>
      </c>
      <c r="P30" s="7"/>
      <c r="Q30" s="7" t="s">
        <v>782</v>
      </c>
      <c r="R30" s="7" t="s">
        <v>525</v>
      </c>
      <c r="S30" s="65">
        <v>3437.0</v>
      </c>
      <c r="T30" s="7"/>
      <c r="U30" s="7"/>
    </row>
    <row r="31">
      <c r="A31" s="45">
        <v>45895.62082175926</v>
      </c>
      <c r="B31" s="7" t="s">
        <v>621</v>
      </c>
      <c r="C31" s="7" t="s">
        <v>1864</v>
      </c>
      <c r="D31" s="74">
        <v>1.0</v>
      </c>
      <c r="E31" s="46"/>
      <c r="F31" s="47">
        <v>24.99</v>
      </c>
      <c r="G31" s="47">
        <v>0.0</v>
      </c>
      <c r="H31" s="7"/>
      <c r="I31" s="47">
        <v>1.4</v>
      </c>
      <c r="J31" s="8"/>
      <c r="K31" s="7"/>
      <c r="L31" s="7"/>
      <c r="M31" s="7"/>
      <c r="N31" s="7"/>
      <c r="O31" s="7"/>
      <c r="P31" s="7"/>
      <c r="Q31" s="7"/>
      <c r="R31" s="7" t="s">
        <v>622</v>
      </c>
      <c r="S31" s="65">
        <v>3435.0</v>
      </c>
      <c r="T31" s="7"/>
      <c r="U31" s="7"/>
    </row>
    <row r="32">
      <c r="A32" s="45">
        <v>45895.408784722225</v>
      </c>
      <c r="B32" s="7" t="s">
        <v>1244</v>
      </c>
      <c r="C32" s="7" t="s">
        <v>1864</v>
      </c>
      <c r="D32" s="74">
        <v>1.0</v>
      </c>
      <c r="E32" s="46"/>
      <c r="F32" s="47">
        <v>24.99</v>
      </c>
      <c r="G32" s="47">
        <v>0.0</v>
      </c>
      <c r="H32" s="7"/>
      <c r="I32" s="47">
        <v>1.4</v>
      </c>
      <c r="J32" s="8"/>
      <c r="K32" s="7"/>
      <c r="L32" s="7"/>
      <c r="M32" s="7"/>
      <c r="N32" s="7"/>
      <c r="O32" s="7" t="s">
        <v>1770</v>
      </c>
      <c r="P32" s="7"/>
      <c r="Q32" s="7" t="s">
        <v>1771</v>
      </c>
      <c r="R32" s="7" t="s">
        <v>542</v>
      </c>
      <c r="S32" s="65">
        <v>3433.0</v>
      </c>
      <c r="T32" s="7"/>
      <c r="U32" s="7"/>
    </row>
    <row r="33">
      <c r="A33" s="45">
        <v>45895.316469907404</v>
      </c>
      <c r="B33" s="7" t="s">
        <v>1904</v>
      </c>
      <c r="C33" s="7" t="s">
        <v>1864</v>
      </c>
      <c r="D33" s="74">
        <v>1.0</v>
      </c>
      <c r="E33" s="46"/>
      <c r="F33" s="47">
        <v>38.77</v>
      </c>
      <c r="G33" s="47">
        <v>0.0</v>
      </c>
      <c r="H33" s="7"/>
      <c r="I33" s="47">
        <v>1.42</v>
      </c>
      <c r="J33" s="8"/>
      <c r="K33" s="7"/>
      <c r="L33" s="7"/>
      <c r="M33" s="7"/>
      <c r="N33" s="7"/>
      <c r="O33" s="7" t="s">
        <v>1905</v>
      </c>
      <c r="P33" s="7" t="s">
        <v>1906</v>
      </c>
      <c r="Q33" s="7" t="s">
        <v>1787</v>
      </c>
      <c r="R33" s="7" t="s">
        <v>493</v>
      </c>
      <c r="S33" s="65">
        <v>3432.0</v>
      </c>
      <c r="T33" s="7"/>
      <c r="U33" s="7"/>
    </row>
    <row r="34">
      <c r="A34" s="45">
        <v>45895.222453703704</v>
      </c>
      <c r="B34" s="7" t="s">
        <v>1907</v>
      </c>
      <c r="C34" s="7" t="s">
        <v>1864</v>
      </c>
      <c r="D34" s="74">
        <v>1.0</v>
      </c>
      <c r="E34" s="46"/>
      <c r="F34" s="47">
        <v>34.46</v>
      </c>
      <c r="G34" s="47">
        <v>0.0</v>
      </c>
      <c r="H34" s="7"/>
      <c r="I34" s="47">
        <v>1.3</v>
      </c>
      <c r="J34" s="8"/>
      <c r="K34" s="7"/>
      <c r="L34" s="7"/>
      <c r="M34" s="7"/>
      <c r="N34" s="7"/>
      <c r="O34" s="7" t="s">
        <v>1908</v>
      </c>
      <c r="P34" s="7"/>
      <c r="Q34" s="7" t="s">
        <v>1909</v>
      </c>
      <c r="R34" s="7" t="s">
        <v>493</v>
      </c>
      <c r="S34" s="65">
        <v>3431.0</v>
      </c>
      <c r="T34" s="7"/>
      <c r="U34" s="7"/>
    </row>
    <row r="35">
      <c r="A35" s="45">
        <v>45895.18561342593</v>
      </c>
      <c r="B35" s="7" t="s">
        <v>1910</v>
      </c>
      <c r="C35" s="7" t="s">
        <v>1864</v>
      </c>
      <c r="D35" s="74">
        <v>1.0</v>
      </c>
      <c r="E35" s="46"/>
      <c r="F35" s="47">
        <v>38.68</v>
      </c>
      <c r="G35" s="47">
        <v>0.0</v>
      </c>
      <c r="H35" s="7"/>
      <c r="I35" s="47">
        <v>1.42</v>
      </c>
      <c r="J35" s="8"/>
      <c r="K35" s="7"/>
      <c r="L35" s="7"/>
      <c r="M35" s="7"/>
      <c r="N35" s="7"/>
      <c r="O35" s="7" t="s">
        <v>1911</v>
      </c>
      <c r="P35" s="7"/>
      <c r="Q35" s="7" t="s">
        <v>591</v>
      </c>
      <c r="R35" s="7" t="s">
        <v>493</v>
      </c>
      <c r="S35" s="65">
        <v>3430.0</v>
      </c>
      <c r="T35" s="7"/>
      <c r="U35" s="7"/>
    </row>
    <row r="36">
      <c r="A36" s="45">
        <v>45895.17738425926</v>
      </c>
      <c r="B36" s="7" t="s">
        <v>1127</v>
      </c>
      <c r="C36" s="7" t="s">
        <v>1864</v>
      </c>
      <c r="D36" s="74">
        <v>1.0</v>
      </c>
      <c r="E36" s="46"/>
      <c r="F36" s="47">
        <v>24.99</v>
      </c>
      <c r="G36" s="47">
        <v>0.0</v>
      </c>
      <c r="H36" s="7"/>
      <c r="I36" s="47">
        <v>1.02</v>
      </c>
      <c r="J36" s="8"/>
      <c r="K36" s="7"/>
      <c r="L36" s="7"/>
      <c r="M36" s="7"/>
      <c r="N36" s="7"/>
      <c r="O36" s="7" t="s">
        <v>1128</v>
      </c>
      <c r="P36" s="7"/>
      <c r="Q36" s="7" t="s">
        <v>1129</v>
      </c>
      <c r="R36" s="7" t="s">
        <v>493</v>
      </c>
      <c r="S36" s="65">
        <v>3429.0</v>
      </c>
      <c r="T36" s="7"/>
      <c r="U36" s="7"/>
    </row>
    <row r="37">
      <c r="A37" s="45">
        <v>45895.085706018515</v>
      </c>
      <c r="B37" s="7" t="s">
        <v>346</v>
      </c>
      <c r="C37" s="7" t="s">
        <v>1864</v>
      </c>
      <c r="D37" s="74">
        <v>1.0</v>
      </c>
      <c r="E37" s="46"/>
      <c r="F37" s="47">
        <v>34.46</v>
      </c>
      <c r="G37" s="47">
        <v>0.0</v>
      </c>
      <c r="H37" s="7"/>
      <c r="I37" s="47">
        <v>1.3</v>
      </c>
      <c r="J37" s="8"/>
      <c r="K37" s="7"/>
      <c r="L37" s="7"/>
      <c r="M37" s="7"/>
      <c r="N37" s="7"/>
      <c r="O37" s="7" t="s">
        <v>1912</v>
      </c>
      <c r="P37" s="65">
        <v>503.0</v>
      </c>
      <c r="Q37" s="7" t="s">
        <v>1913</v>
      </c>
      <c r="R37" s="7" t="s">
        <v>493</v>
      </c>
      <c r="S37" s="65">
        <v>3428.0</v>
      </c>
      <c r="T37" s="7"/>
      <c r="U37" s="7"/>
    </row>
    <row r="38">
      <c r="A38" s="45">
        <v>45895.06868055555</v>
      </c>
      <c r="B38" s="7" t="s">
        <v>305</v>
      </c>
      <c r="C38" s="7" t="s">
        <v>1864</v>
      </c>
      <c r="D38" s="74">
        <v>1.0</v>
      </c>
      <c r="E38" s="46"/>
      <c r="F38" s="47">
        <v>24.99</v>
      </c>
      <c r="G38" s="47">
        <v>0.0</v>
      </c>
      <c r="H38" s="7"/>
      <c r="I38" s="47">
        <v>1.4</v>
      </c>
      <c r="J38" s="8"/>
      <c r="K38" s="7"/>
      <c r="L38" s="7"/>
      <c r="M38" s="7"/>
      <c r="N38" s="7"/>
      <c r="O38" s="7" t="s">
        <v>1914</v>
      </c>
      <c r="P38" s="7" t="s">
        <v>1717</v>
      </c>
      <c r="Q38" s="7" t="s">
        <v>1506</v>
      </c>
      <c r="R38" s="7" t="s">
        <v>1012</v>
      </c>
      <c r="S38" s="65">
        <v>3427.0</v>
      </c>
      <c r="T38" s="7"/>
      <c r="U38" s="7"/>
    </row>
    <row r="39">
      <c r="A39" s="45">
        <v>45894.99512731482</v>
      </c>
      <c r="B39" s="7" t="s">
        <v>1531</v>
      </c>
      <c r="C39" s="7" t="s">
        <v>1864</v>
      </c>
      <c r="D39" s="74">
        <v>1.0</v>
      </c>
      <c r="E39" s="46"/>
      <c r="F39" s="47">
        <v>24.99</v>
      </c>
      <c r="G39" s="47">
        <v>0.0</v>
      </c>
      <c r="H39" s="7"/>
      <c r="I39" s="47">
        <v>1.02</v>
      </c>
      <c r="J39" s="8"/>
      <c r="K39" s="7"/>
      <c r="L39" s="7"/>
      <c r="M39" s="7"/>
      <c r="N39" s="7"/>
      <c r="O39" s="7" t="s">
        <v>1915</v>
      </c>
      <c r="P39" s="7"/>
      <c r="Q39" s="7" t="s">
        <v>926</v>
      </c>
      <c r="R39" s="7" t="s">
        <v>493</v>
      </c>
      <c r="S39" s="65">
        <v>3426.0</v>
      </c>
      <c r="T39" s="7"/>
      <c r="U39" s="7"/>
    </row>
    <row r="40">
      <c r="A40" s="45">
        <v>45894.93431712963</v>
      </c>
      <c r="B40" s="7" t="s">
        <v>1916</v>
      </c>
      <c r="C40" s="7" t="s">
        <v>1864</v>
      </c>
      <c r="D40" s="74">
        <v>1.0</v>
      </c>
      <c r="E40" s="46"/>
      <c r="F40" s="47">
        <v>59.49</v>
      </c>
      <c r="G40" s="47">
        <v>0.0</v>
      </c>
      <c r="H40" s="7"/>
      <c r="I40" s="47">
        <v>2.92</v>
      </c>
      <c r="J40" s="8"/>
      <c r="K40" s="7"/>
      <c r="L40" s="7"/>
      <c r="M40" s="7"/>
      <c r="N40" s="7"/>
      <c r="O40" s="7" t="s">
        <v>1917</v>
      </c>
      <c r="P40" s="65">
        <v>124.0</v>
      </c>
      <c r="Q40" s="7" t="s">
        <v>1918</v>
      </c>
      <c r="R40" s="7" t="s">
        <v>1821</v>
      </c>
      <c r="S40" s="65">
        <v>3424.0</v>
      </c>
      <c r="T40" s="7"/>
      <c r="U40" s="7"/>
    </row>
    <row r="41">
      <c r="A41" s="45">
        <v>45894.88983796296</v>
      </c>
      <c r="B41" s="7" t="s">
        <v>1919</v>
      </c>
      <c r="C41" s="7" t="s">
        <v>1864</v>
      </c>
      <c r="D41" s="74">
        <v>1.0</v>
      </c>
      <c r="E41" s="46"/>
      <c r="F41" s="47">
        <v>34.46</v>
      </c>
      <c r="G41" s="47">
        <v>0.0</v>
      </c>
      <c r="H41" s="7"/>
      <c r="I41" s="47">
        <v>1.3</v>
      </c>
      <c r="J41" s="8"/>
      <c r="K41" s="7"/>
      <c r="L41" s="7"/>
      <c r="M41" s="7"/>
      <c r="N41" s="7"/>
      <c r="O41" s="7" t="s">
        <v>1920</v>
      </c>
      <c r="P41" s="7"/>
      <c r="Q41" s="7" t="s">
        <v>1921</v>
      </c>
      <c r="R41" s="7" t="s">
        <v>493</v>
      </c>
      <c r="S41" s="65">
        <v>3421.0</v>
      </c>
      <c r="T41" s="7"/>
      <c r="U41" s="7"/>
    </row>
    <row r="42">
      <c r="A42" s="45">
        <v>45894.88868055555</v>
      </c>
      <c r="B42" s="7" t="s">
        <v>727</v>
      </c>
      <c r="C42" s="7" t="s">
        <v>1864</v>
      </c>
      <c r="D42" s="74">
        <v>1.0</v>
      </c>
      <c r="E42" s="46"/>
      <c r="F42" s="47">
        <v>24.99</v>
      </c>
      <c r="G42" s="47">
        <v>0.0</v>
      </c>
      <c r="H42" s="7"/>
      <c r="I42" s="47">
        <v>1.02</v>
      </c>
      <c r="J42" s="8"/>
      <c r="K42" s="7"/>
      <c r="L42" s="7"/>
      <c r="M42" s="7"/>
      <c r="N42" s="7"/>
      <c r="O42" s="7" t="s">
        <v>728</v>
      </c>
      <c r="P42" s="7"/>
      <c r="Q42" s="7" t="s">
        <v>729</v>
      </c>
      <c r="R42" s="7" t="s">
        <v>493</v>
      </c>
      <c r="S42" s="65">
        <v>3420.0</v>
      </c>
      <c r="T42" s="7"/>
      <c r="U42" s="7"/>
    </row>
    <row r="43">
      <c r="A43" s="45">
        <v>45894.85766203704</v>
      </c>
      <c r="B43" s="7" t="s">
        <v>1922</v>
      </c>
      <c r="C43" s="7" t="s">
        <v>1864</v>
      </c>
      <c r="D43" s="74">
        <v>1.0</v>
      </c>
      <c r="E43" s="46"/>
      <c r="F43" s="47">
        <v>59.49</v>
      </c>
      <c r="G43" s="47">
        <v>0.0</v>
      </c>
      <c r="H43" s="7"/>
      <c r="I43" s="47">
        <v>2.92</v>
      </c>
      <c r="J43" s="8"/>
      <c r="K43" s="7"/>
      <c r="L43" s="7"/>
      <c r="M43" s="7"/>
      <c r="N43" s="7"/>
      <c r="O43" s="7" t="s">
        <v>1923</v>
      </c>
      <c r="P43" s="7"/>
      <c r="Q43" s="7" t="s">
        <v>1924</v>
      </c>
      <c r="R43" s="7" t="s">
        <v>555</v>
      </c>
      <c r="S43" s="65">
        <v>3417.0</v>
      </c>
      <c r="T43" s="7"/>
      <c r="U43" s="7"/>
    </row>
    <row r="44">
      <c r="A44" s="45">
        <v>45894.7956712963</v>
      </c>
      <c r="B44" s="7" t="s">
        <v>1925</v>
      </c>
      <c r="C44" s="7" t="s">
        <v>1864</v>
      </c>
      <c r="D44" s="74">
        <v>1.0</v>
      </c>
      <c r="E44" s="46"/>
      <c r="F44" s="47">
        <v>34.46</v>
      </c>
      <c r="G44" s="47">
        <v>0.0</v>
      </c>
      <c r="H44" s="7"/>
      <c r="I44" s="47">
        <v>1.3</v>
      </c>
      <c r="J44" s="8"/>
      <c r="K44" s="7"/>
      <c r="L44" s="7"/>
      <c r="M44" s="7"/>
      <c r="N44" s="7"/>
      <c r="O44" s="7" t="s">
        <v>1926</v>
      </c>
      <c r="P44" s="7" t="s">
        <v>1927</v>
      </c>
      <c r="Q44" s="7" t="s">
        <v>1171</v>
      </c>
      <c r="R44" s="7" t="s">
        <v>493</v>
      </c>
      <c r="S44" s="65">
        <v>3416.0</v>
      </c>
      <c r="T44" s="7"/>
      <c r="U44" s="7"/>
    </row>
    <row r="45">
      <c r="A45" s="45">
        <v>45894.78071759259</v>
      </c>
      <c r="B45" s="7" t="s">
        <v>1928</v>
      </c>
      <c r="C45" s="7" t="s">
        <v>1864</v>
      </c>
      <c r="D45" s="74">
        <v>1.0</v>
      </c>
      <c r="E45" s="46"/>
      <c r="F45" s="47">
        <v>34.46</v>
      </c>
      <c r="G45" s="47">
        <v>0.0</v>
      </c>
      <c r="H45" s="7"/>
      <c r="I45" s="47">
        <v>1.3</v>
      </c>
      <c r="J45" s="8"/>
      <c r="K45" s="7"/>
      <c r="L45" s="7"/>
      <c r="M45" s="7"/>
      <c r="N45" s="7"/>
      <c r="O45" s="7" t="s">
        <v>1929</v>
      </c>
      <c r="P45" s="7"/>
      <c r="Q45" s="7" t="s">
        <v>1930</v>
      </c>
      <c r="R45" s="7" t="s">
        <v>493</v>
      </c>
      <c r="S45" s="65">
        <v>3415.0</v>
      </c>
      <c r="T45" s="7"/>
      <c r="U45" s="7"/>
    </row>
    <row r="46">
      <c r="A46" s="45">
        <v>45894.77929398148</v>
      </c>
      <c r="B46" s="7" t="s">
        <v>456</v>
      </c>
      <c r="C46" s="7" t="s">
        <v>1864</v>
      </c>
      <c r="D46" s="74">
        <v>1.0</v>
      </c>
      <c r="E46" s="46"/>
      <c r="F46" s="47">
        <v>34.46</v>
      </c>
      <c r="G46" s="47">
        <v>0.0</v>
      </c>
      <c r="H46" s="7"/>
      <c r="I46" s="47">
        <v>1.3</v>
      </c>
      <c r="J46" s="8"/>
      <c r="K46" s="7"/>
      <c r="L46" s="7"/>
      <c r="M46" s="7"/>
      <c r="N46" s="7"/>
      <c r="O46" s="7" t="s">
        <v>1931</v>
      </c>
      <c r="P46" s="7"/>
      <c r="Q46" s="7" t="s">
        <v>1932</v>
      </c>
      <c r="R46" s="7" t="s">
        <v>493</v>
      </c>
      <c r="S46" s="65">
        <v>3414.0</v>
      </c>
      <c r="T46" s="7"/>
      <c r="U46" s="7"/>
    </row>
    <row r="47">
      <c r="A47" s="45">
        <v>45894.77857638889</v>
      </c>
      <c r="B47" s="7" t="s">
        <v>1933</v>
      </c>
      <c r="C47" s="7" t="s">
        <v>1864</v>
      </c>
      <c r="D47" s="74">
        <v>1.0</v>
      </c>
      <c r="E47" s="46"/>
      <c r="F47" s="47">
        <v>24.99</v>
      </c>
      <c r="G47" s="47">
        <v>0.0</v>
      </c>
      <c r="H47" s="7"/>
      <c r="I47" s="47">
        <v>1.4</v>
      </c>
      <c r="J47" s="8"/>
      <c r="K47" s="7"/>
      <c r="L47" s="7"/>
      <c r="M47" s="7"/>
      <c r="N47" s="7"/>
      <c r="O47" s="7" t="s">
        <v>1934</v>
      </c>
      <c r="P47" s="7"/>
      <c r="Q47" s="7" t="s">
        <v>572</v>
      </c>
      <c r="R47" s="7" t="s">
        <v>1012</v>
      </c>
      <c r="S47" s="65">
        <v>3413.0</v>
      </c>
      <c r="T47" s="7"/>
      <c r="U47" s="7"/>
    </row>
    <row r="48">
      <c r="A48" s="45">
        <v>45894.673993055556</v>
      </c>
      <c r="B48" s="7" t="s">
        <v>254</v>
      </c>
      <c r="C48" s="7" t="s">
        <v>1864</v>
      </c>
      <c r="D48" s="74">
        <v>1.0</v>
      </c>
      <c r="E48" s="46"/>
      <c r="F48" s="47">
        <v>24.99</v>
      </c>
      <c r="G48" s="47">
        <v>0.0</v>
      </c>
      <c r="H48" s="7"/>
      <c r="I48" s="47">
        <v>1.02</v>
      </c>
      <c r="J48" s="8"/>
      <c r="K48" s="7"/>
      <c r="L48" s="7"/>
      <c r="M48" s="7"/>
      <c r="N48" s="7"/>
      <c r="O48" s="7"/>
      <c r="P48" s="7"/>
      <c r="Q48" s="7"/>
      <c r="R48" s="7" t="s">
        <v>493</v>
      </c>
      <c r="S48" s="65">
        <v>3405.0</v>
      </c>
      <c r="T48" s="7"/>
      <c r="U48" s="7"/>
    </row>
    <row r="49">
      <c r="A49" s="45">
        <v>45894.51464120371</v>
      </c>
      <c r="B49" s="7" t="s">
        <v>1935</v>
      </c>
      <c r="C49" s="7" t="s">
        <v>1864</v>
      </c>
      <c r="D49" s="74">
        <v>1.0</v>
      </c>
      <c r="E49" s="46"/>
      <c r="F49" s="47">
        <v>34.46</v>
      </c>
      <c r="G49" s="47">
        <v>0.0</v>
      </c>
      <c r="H49" s="7"/>
      <c r="I49" s="47">
        <v>1.3</v>
      </c>
      <c r="J49" s="8"/>
      <c r="K49" s="7"/>
      <c r="L49" s="7"/>
      <c r="M49" s="7"/>
      <c r="N49" s="7"/>
      <c r="O49" s="7"/>
      <c r="P49" s="7"/>
      <c r="Q49" s="7"/>
      <c r="R49" s="7" t="s">
        <v>493</v>
      </c>
      <c r="S49" s="65">
        <v>3404.0</v>
      </c>
      <c r="T49" s="7"/>
      <c r="U49" s="7"/>
    </row>
    <row r="50">
      <c r="A50" s="45">
        <v>45894.34912037037</v>
      </c>
      <c r="B50" s="7" t="s">
        <v>1542</v>
      </c>
      <c r="C50" s="7" t="s">
        <v>1864</v>
      </c>
      <c r="D50" s="74">
        <v>1.0</v>
      </c>
      <c r="E50" s="46"/>
      <c r="F50" s="47">
        <v>24.99</v>
      </c>
      <c r="G50" s="47">
        <v>0.0</v>
      </c>
      <c r="H50" s="7"/>
      <c r="I50" s="47">
        <v>1.4</v>
      </c>
      <c r="J50" s="8"/>
      <c r="K50" s="7"/>
      <c r="L50" s="7"/>
      <c r="M50" s="7"/>
      <c r="N50" s="7"/>
      <c r="O50" s="7" t="s">
        <v>1543</v>
      </c>
      <c r="P50" s="7"/>
      <c r="Q50" s="7" t="s">
        <v>1120</v>
      </c>
      <c r="R50" s="7" t="s">
        <v>617</v>
      </c>
      <c r="S50" s="65">
        <v>3403.0</v>
      </c>
      <c r="T50" s="7"/>
      <c r="U50" s="7"/>
    </row>
    <row r="51">
      <c r="A51" s="45">
        <v>45894.10606481481</v>
      </c>
      <c r="B51" s="7" t="s">
        <v>1936</v>
      </c>
      <c r="C51" s="7" t="s">
        <v>1864</v>
      </c>
      <c r="D51" s="74">
        <v>1.0</v>
      </c>
      <c r="E51" s="46"/>
      <c r="F51" s="47">
        <v>37.22</v>
      </c>
      <c r="G51" s="47">
        <v>0.0</v>
      </c>
      <c r="H51" s="7"/>
      <c r="I51" s="47">
        <v>1.38</v>
      </c>
      <c r="J51" s="8"/>
      <c r="K51" s="7"/>
      <c r="L51" s="7"/>
      <c r="M51" s="7"/>
      <c r="N51" s="7"/>
      <c r="O51" s="7" t="s">
        <v>1937</v>
      </c>
      <c r="P51" s="7"/>
      <c r="Q51" s="7" t="s">
        <v>567</v>
      </c>
      <c r="R51" s="7" t="s">
        <v>493</v>
      </c>
      <c r="S51" s="65">
        <v>3398.0</v>
      </c>
      <c r="T51" s="7"/>
      <c r="U51" s="7"/>
    </row>
    <row r="52">
      <c r="A52" s="45">
        <v>45894.047638888886</v>
      </c>
      <c r="B52" s="7" t="s">
        <v>1938</v>
      </c>
      <c r="C52" s="7" t="s">
        <v>1864</v>
      </c>
      <c r="D52" s="74">
        <v>1.0</v>
      </c>
      <c r="E52" s="46"/>
      <c r="F52" s="47">
        <v>34.46</v>
      </c>
      <c r="G52" s="47">
        <v>0.0</v>
      </c>
      <c r="H52" s="7"/>
      <c r="I52" s="47">
        <v>1.82</v>
      </c>
      <c r="J52" s="8"/>
      <c r="K52" s="7"/>
      <c r="L52" s="7"/>
      <c r="M52" s="7"/>
      <c r="N52" s="7"/>
      <c r="O52" s="7" t="s">
        <v>1939</v>
      </c>
      <c r="P52" s="7" t="s">
        <v>1940</v>
      </c>
      <c r="Q52" s="7" t="s">
        <v>572</v>
      </c>
      <c r="R52" s="7" t="s">
        <v>1941</v>
      </c>
      <c r="S52" s="65">
        <v>3395.0</v>
      </c>
      <c r="T52" s="7"/>
      <c r="U52" s="7"/>
    </row>
    <row r="53">
      <c r="A53" s="45">
        <v>45894.02278935185</v>
      </c>
      <c r="B53" s="7" t="s">
        <v>1942</v>
      </c>
      <c r="C53" s="7" t="s">
        <v>1864</v>
      </c>
      <c r="D53" s="74">
        <v>1.0</v>
      </c>
      <c r="E53" s="46"/>
      <c r="F53" s="47">
        <v>34.46</v>
      </c>
      <c r="G53" s="47">
        <v>0.0</v>
      </c>
      <c r="H53" s="7"/>
      <c r="I53" s="47">
        <v>1.3</v>
      </c>
      <c r="J53" s="8"/>
      <c r="K53" s="7"/>
      <c r="L53" s="7"/>
      <c r="M53" s="7"/>
      <c r="N53" s="7"/>
      <c r="O53" s="7" t="s">
        <v>1943</v>
      </c>
      <c r="P53" s="7"/>
      <c r="Q53" s="7" t="s">
        <v>1944</v>
      </c>
      <c r="R53" s="7" t="s">
        <v>493</v>
      </c>
      <c r="S53" s="65">
        <v>3393.0</v>
      </c>
      <c r="T53" s="7"/>
      <c r="U53" s="7"/>
    </row>
    <row r="54">
      <c r="A54" s="45">
        <v>45893.95684027778</v>
      </c>
      <c r="B54" s="7" t="s">
        <v>752</v>
      </c>
      <c r="C54" s="7" t="s">
        <v>1864</v>
      </c>
      <c r="D54" s="74">
        <v>1.0</v>
      </c>
      <c r="E54" s="46"/>
      <c r="F54" s="47">
        <v>24.99</v>
      </c>
      <c r="G54" s="47">
        <v>0.0</v>
      </c>
      <c r="H54" s="7"/>
      <c r="I54" s="47">
        <v>1.4</v>
      </c>
      <c r="J54" s="8"/>
      <c r="K54" s="7"/>
      <c r="L54" s="7"/>
      <c r="M54" s="7"/>
      <c r="N54" s="7"/>
      <c r="O54" s="7" t="s">
        <v>1532</v>
      </c>
      <c r="P54" s="7" t="s">
        <v>754</v>
      </c>
      <c r="Q54" s="7" t="s">
        <v>755</v>
      </c>
      <c r="R54" s="7" t="s">
        <v>545</v>
      </c>
      <c r="S54" s="65">
        <v>3392.0</v>
      </c>
      <c r="T54" s="7"/>
      <c r="U54" s="7"/>
    </row>
    <row r="55">
      <c r="A55" s="45">
        <v>45893.25693287037</v>
      </c>
      <c r="B55" s="7" t="s">
        <v>139</v>
      </c>
      <c r="C55" s="7" t="s">
        <v>1864</v>
      </c>
      <c r="D55" s="74">
        <v>1.0</v>
      </c>
      <c r="E55" s="46"/>
      <c r="F55" s="47">
        <v>24.99</v>
      </c>
      <c r="G55" s="47">
        <v>0.0</v>
      </c>
      <c r="H55" s="7"/>
      <c r="I55" s="47">
        <v>1.02</v>
      </c>
      <c r="J55" s="8"/>
      <c r="K55" s="7"/>
      <c r="L55" s="7"/>
      <c r="M55" s="7"/>
      <c r="N55" s="7"/>
      <c r="O55" s="7" t="s">
        <v>1310</v>
      </c>
      <c r="P55" s="7"/>
      <c r="Q55" s="7" t="s">
        <v>1311</v>
      </c>
      <c r="R55" s="7" t="s">
        <v>493</v>
      </c>
      <c r="S55" s="65">
        <v>3390.0</v>
      </c>
      <c r="T55" s="7"/>
      <c r="U55" s="7"/>
    </row>
    <row r="56">
      <c r="A56" s="45">
        <v>45893.243101851855</v>
      </c>
      <c r="B56" s="7" t="s">
        <v>498</v>
      </c>
      <c r="C56" s="7" t="s">
        <v>1864</v>
      </c>
      <c r="D56" s="74">
        <v>1.0</v>
      </c>
      <c r="E56" s="46"/>
      <c r="F56" s="47">
        <v>24.99</v>
      </c>
      <c r="G56" s="47">
        <v>0.0</v>
      </c>
      <c r="H56" s="7"/>
      <c r="I56" s="47">
        <v>1.4</v>
      </c>
      <c r="J56" s="8"/>
      <c r="K56" s="7"/>
      <c r="L56" s="7"/>
      <c r="M56" s="7"/>
      <c r="N56" s="7"/>
      <c r="O56" s="7" t="s">
        <v>1945</v>
      </c>
      <c r="P56" s="7"/>
      <c r="Q56" s="7" t="s">
        <v>500</v>
      </c>
      <c r="R56" s="7" t="s">
        <v>501</v>
      </c>
      <c r="S56" s="65">
        <v>3389.0</v>
      </c>
      <c r="T56" s="7"/>
      <c r="U56" s="7"/>
    </row>
    <row r="57">
      <c r="A57" s="45">
        <v>45893.0353125</v>
      </c>
      <c r="B57" s="7" t="s">
        <v>869</v>
      </c>
      <c r="C57" s="7" t="s">
        <v>1864</v>
      </c>
      <c r="D57" s="74">
        <v>1.0</v>
      </c>
      <c r="E57" s="46"/>
      <c r="F57" s="47">
        <v>27.15</v>
      </c>
      <c r="G57" s="47">
        <v>0.0</v>
      </c>
      <c r="H57" s="7"/>
      <c r="I57" s="47">
        <v>1.09</v>
      </c>
      <c r="J57" s="8"/>
      <c r="K57" s="7"/>
      <c r="L57" s="7"/>
      <c r="M57" s="7"/>
      <c r="N57" s="7"/>
      <c r="O57" s="7" t="s">
        <v>870</v>
      </c>
      <c r="P57" s="7"/>
      <c r="Q57" s="7" t="s">
        <v>871</v>
      </c>
      <c r="R57" s="7" t="s">
        <v>493</v>
      </c>
      <c r="S57" s="65">
        <v>3388.0</v>
      </c>
      <c r="T57" s="7"/>
      <c r="U57" s="7"/>
    </row>
    <row r="58">
      <c r="A58" s="45">
        <v>45892.53658564815</v>
      </c>
      <c r="B58" s="7" t="s">
        <v>1946</v>
      </c>
      <c r="C58" s="7" t="s">
        <v>1864</v>
      </c>
      <c r="D58" s="74">
        <v>1.0</v>
      </c>
      <c r="E58" s="46"/>
      <c r="F58" s="47">
        <v>34.46</v>
      </c>
      <c r="G58" s="47">
        <v>0.0</v>
      </c>
      <c r="H58" s="7"/>
      <c r="I58" s="47">
        <v>1.3</v>
      </c>
      <c r="J58" s="8"/>
      <c r="K58" s="7"/>
      <c r="L58" s="7"/>
      <c r="M58" s="7"/>
      <c r="N58" s="7"/>
      <c r="O58" s="7" t="s">
        <v>1947</v>
      </c>
      <c r="P58" s="7"/>
      <c r="Q58" s="7" t="s">
        <v>1948</v>
      </c>
      <c r="R58" s="7" t="s">
        <v>493</v>
      </c>
      <c r="S58" s="65">
        <v>3387.0</v>
      </c>
      <c r="T58" s="7"/>
      <c r="U58" s="7"/>
    </row>
    <row r="59">
      <c r="A59" s="45">
        <v>45892.10034722222</v>
      </c>
      <c r="B59" s="7" t="s">
        <v>440</v>
      </c>
      <c r="C59" s="7" t="s">
        <v>1864</v>
      </c>
      <c r="D59" s="74">
        <v>1.0</v>
      </c>
      <c r="E59" s="46"/>
      <c r="F59" s="47">
        <v>34.46</v>
      </c>
      <c r="G59" s="47">
        <v>0.0</v>
      </c>
      <c r="H59" s="7"/>
      <c r="I59" s="47">
        <v>1.3</v>
      </c>
      <c r="J59" s="8"/>
      <c r="K59" s="7"/>
      <c r="L59" s="7"/>
      <c r="M59" s="7"/>
      <c r="N59" s="7"/>
      <c r="O59" s="7" t="s">
        <v>1949</v>
      </c>
      <c r="P59" s="7"/>
      <c r="Q59" s="7" t="s">
        <v>1745</v>
      </c>
      <c r="R59" s="7" t="s">
        <v>493</v>
      </c>
      <c r="S59" s="65">
        <v>3381.0</v>
      </c>
      <c r="T59" s="7"/>
      <c r="U59" s="7"/>
    </row>
    <row r="60">
      <c r="A60" s="45">
        <v>45892.010462962964</v>
      </c>
      <c r="B60" s="7" t="s">
        <v>1950</v>
      </c>
      <c r="C60" s="7" t="s">
        <v>1864</v>
      </c>
      <c r="D60" s="74">
        <v>1.0</v>
      </c>
      <c r="E60" s="46"/>
      <c r="F60" s="47">
        <v>34.46</v>
      </c>
      <c r="G60" s="47">
        <v>0.0</v>
      </c>
      <c r="H60" s="7"/>
      <c r="I60" s="47">
        <v>1.3</v>
      </c>
      <c r="J60" s="8"/>
      <c r="K60" s="7"/>
      <c r="L60" s="7"/>
      <c r="M60" s="7"/>
      <c r="N60" s="7"/>
      <c r="O60" s="7" t="s">
        <v>1951</v>
      </c>
      <c r="P60" s="7"/>
      <c r="Q60" s="7" t="s">
        <v>1952</v>
      </c>
      <c r="R60" s="7" t="s">
        <v>493</v>
      </c>
      <c r="S60" s="65">
        <v>3379.0</v>
      </c>
      <c r="T60" s="7"/>
      <c r="U60" s="7"/>
    </row>
    <row r="61">
      <c r="A61" s="45">
        <v>45891.994155092594</v>
      </c>
      <c r="B61" s="7" t="s">
        <v>1614</v>
      </c>
      <c r="C61" s="7" t="s">
        <v>1864</v>
      </c>
      <c r="D61" s="74">
        <v>1.0</v>
      </c>
      <c r="E61" s="46"/>
      <c r="F61" s="47">
        <v>27.68</v>
      </c>
      <c r="G61" s="47">
        <v>0.0</v>
      </c>
      <c r="H61" s="7"/>
      <c r="I61" s="47">
        <v>1.1</v>
      </c>
      <c r="J61" s="8"/>
      <c r="K61" s="7"/>
      <c r="L61" s="7"/>
      <c r="M61" s="7"/>
      <c r="N61" s="7"/>
      <c r="O61" s="7" t="s">
        <v>1615</v>
      </c>
      <c r="P61" s="7"/>
      <c r="Q61" s="7" t="s">
        <v>1616</v>
      </c>
      <c r="R61" s="7" t="s">
        <v>493</v>
      </c>
      <c r="S61" s="65">
        <v>3378.0</v>
      </c>
      <c r="T61" s="7"/>
      <c r="U61" s="7"/>
    </row>
    <row r="62">
      <c r="A62" s="45">
        <v>45891.93472222222</v>
      </c>
      <c r="B62" s="7" t="s">
        <v>1085</v>
      </c>
      <c r="C62" s="7" t="s">
        <v>1864</v>
      </c>
      <c r="D62" s="74">
        <v>1.0</v>
      </c>
      <c r="E62" s="46"/>
      <c r="F62" s="47">
        <v>24.99</v>
      </c>
      <c r="G62" s="47">
        <v>0.0</v>
      </c>
      <c r="H62" s="7"/>
      <c r="I62" s="47">
        <v>1.02</v>
      </c>
      <c r="J62" s="8"/>
      <c r="K62" s="7"/>
      <c r="L62" s="7"/>
      <c r="M62" s="7"/>
      <c r="N62" s="7"/>
      <c r="O62" s="7" t="s">
        <v>1086</v>
      </c>
      <c r="P62" s="7"/>
      <c r="Q62" s="7" t="s">
        <v>1087</v>
      </c>
      <c r="R62" s="7" t="s">
        <v>493</v>
      </c>
      <c r="S62" s="65">
        <v>3377.0</v>
      </c>
      <c r="T62" s="7"/>
      <c r="U62" s="7"/>
    </row>
    <row r="63">
      <c r="A63" s="45">
        <v>45891.82365740741</v>
      </c>
      <c r="B63" s="7" t="s">
        <v>148</v>
      </c>
      <c r="C63" s="7" t="s">
        <v>1864</v>
      </c>
      <c r="D63" s="74">
        <v>1.0</v>
      </c>
      <c r="E63" s="46"/>
      <c r="F63" s="47">
        <v>24.99</v>
      </c>
      <c r="G63" s="47">
        <v>0.0</v>
      </c>
      <c r="H63" s="7"/>
      <c r="I63" s="47">
        <v>1.02</v>
      </c>
      <c r="J63" s="8"/>
      <c r="K63" s="7"/>
      <c r="L63" s="7"/>
      <c r="M63" s="7"/>
      <c r="N63" s="7"/>
      <c r="O63" s="7" t="s">
        <v>1140</v>
      </c>
      <c r="P63" s="7"/>
      <c r="Q63" s="7" t="s">
        <v>1141</v>
      </c>
      <c r="R63" s="7" t="s">
        <v>493</v>
      </c>
      <c r="S63" s="65">
        <v>3376.0</v>
      </c>
      <c r="T63" s="7"/>
      <c r="U63" s="7"/>
    </row>
    <row r="64">
      <c r="A64" s="45">
        <v>45891.782476851855</v>
      </c>
      <c r="B64" s="7" t="s">
        <v>1259</v>
      </c>
      <c r="C64" s="7" t="s">
        <v>1864</v>
      </c>
      <c r="D64" s="74">
        <v>1.0</v>
      </c>
      <c r="E64" s="46"/>
      <c r="F64" s="47">
        <v>24.99</v>
      </c>
      <c r="G64" s="47">
        <v>0.0</v>
      </c>
      <c r="H64" s="7"/>
      <c r="I64" s="47">
        <v>1.02</v>
      </c>
      <c r="J64" s="8"/>
      <c r="K64" s="7"/>
      <c r="L64" s="7"/>
      <c r="M64" s="7"/>
      <c r="N64" s="7"/>
      <c r="O64" s="7" t="s">
        <v>1953</v>
      </c>
      <c r="P64" s="7"/>
      <c r="Q64" s="7" t="s">
        <v>1261</v>
      </c>
      <c r="R64" s="7" t="s">
        <v>493</v>
      </c>
      <c r="S64" s="65">
        <v>3375.0</v>
      </c>
      <c r="T64" s="7"/>
      <c r="U64" s="7"/>
    </row>
    <row r="65">
      <c r="A65" s="45">
        <v>45891.77547453704</v>
      </c>
      <c r="B65" s="7" t="s">
        <v>1954</v>
      </c>
      <c r="C65" s="7" t="s">
        <v>1864</v>
      </c>
      <c r="D65" s="74">
        <v>1.0</v>
      </c>
      <c r="E65" s="46"/>
      <c r="F65" s="47">
        <v>56.08</v>
      </c>
      <c r="G65" s="47">
        <v>0.0</v>
      </c>
      <c r="H65" s="7"/>
      <c r="I65" s="47">
        <v>2.77</v>
      </c>
      <c r="J65" s="8"/>
      <c r="K65" s="7"/>
      <c r="L65" s="7"/>
      <c r="M65" s="7"/>
      <c r="N65" s="7"/>
      <c r="O65" s="7" t="s">
        <v>1955</v>
      </c>
      <c r="P65" s="7"/>
      <c r="Q65" s="7" t="s">
        <v>1956</v>
      </c>
      <c r="R65" s="7" t="s">
        <v>939</v>
      </c>
      <c r="S65" s="65">
        <v>3374.0</v>
      </c>
      <c r="T65" s="7"/>
      <c r="U65" s="7"/>
    </row>
    <row r="66">
      <c r="A66" s="45">
        <v>45891.44719907407</v>
      </c>
      <c r="B66" s="7" t="s">
        <v>236</v>
      </c>
      <c r="C66" s="7" t="s">
        <v>1864</v>
      </c>
      <c r="D66" s="74">
        <v>1.0</v>
      </c>
      <c r="E66" s="46"/>
      <c r="F66" s="47">
        <v>24.99</v>
      </c>
      <c r="G66" s="47">
        <v>0.0</v>
      </c>
      <c r="H66" s="7"/>
      <c r="I66" s="47">
        <v>1.02</v>
      </c>
      <c r="J66" s="8"/>
      <c r="K66" s="7"/>
      <c r="L66" s="7"/>
      <c r="M66" s="7"/>
      <c r="N66" s="7"/>
      <c r="O66" s="7" t="s">
        <v>1635</v>
      </c>
      <c r="P66" s="7"/>
      <c r="Q66" s="7" t="s">
        <v>1636</v>
      </c>
      <c r="R66" s="7" t="s">
        <v>493</v>
      </c>
      <c r="S66" s="65">
        <v>3372.0</v>
      </c>
      <c r="T66" s="7"/>
      <c r="U66" s="7"/>
    </row>
    <row r="67">
      <c r="A67" s="45">
        <v>45891.19740740741</v>
      </c>
      <c r="B67" s="7" t="s">
        <v>177</v>
      </c>
      <c r="C67" s="7" t="s">
        <v>1864</v>
      </c>
      <c r="D67" s="74">
        <v>1.0</v>
      </c>
      <c r="E67" s="46"/>
      <c r="F67" s="47">
        <v>24.99</v>
      </c>
      <c r="G67" s="47">
        <v>0.0</v>
      </c>
      <c r="H67" s="7"/>
      <c r="I67" s="47">
        <v>1.4</v>
      </c>
      <c r="J67" s="8"/>
      <c r="K67" s="7"/>
      <c r="L67" s="7"/>
      <c r="M67" s="7"/>
      <c r="N67" s="7"/>
      <c r="O67" s="7" t="s">
        <v>494</v>
      </c>
      <c r="P67" s="7" t="s">
        <v>1503</v>
      </c>
      <c r="Q67" s="7" t="s">
        <v>1504</v>
      </c>
      <c r="R67" s="7" t="s">
        <v>497</v>
      </c>
      <c r="S67" s="65">
        <v>3371.0</v>
      </c>
      <c r="T67" s="7"/>
      <c r="U67" s="7"/>
    </row>
    <row r="68">
      <c r="A68" s="45">
        <v>45891.06133101852</v>
      </c>
      <c r="B68" s="7" t="s">
        <v>221</v>
      </c>
      <c r="C68" s="7" t="s">
        <v>1864</v>
      </c>
      <c r="D68" s="74">
        <v>1.0</v>
      </c>
      <c r="E68" s="46"/>
      <c r="F68" s="47">
        <v>24.99</v>
      </c>
      <c r="G68" s="47">
        <v>0.0</v>
      </c>
      <c r="H68" s="7"/>
      <c r="I68" s="47">
        <v>1.4</v>
      </c>
      <c r="J68" s="8"/>
      <c r="K68" s="7"/>
      <c r="L68" s="7"/>
      <c r="M68" s="7"/>
      <c r="N68" s="7"/>
      <c r="O68" s="7" t="s">
        <v>770</v>
      </c>
      <c r="P68" s="7"/>
      <c r="Q68" s="7" t="s">
        <v>771</v>
      </c>
      <c r="R68" s="7" t="s">
        <v>545</v>
      </c>
      <c r="S68" s="65">
        <v>3370.0</v>
      </c>
      <c r="T68" s="7"/>
      <c r="U68" s="7"/>
    </row>
    <row r="69">
      <c r="A69" s="45">
        <v>45891.017430555556</v>
      </c>
      <c r="B69" s="7" t="s">
        <v>436</v>
      </c>
      <c r="C69" s="7" t="s">
        <v>1864</v>
      </c>
      <c r="D69" s="74">
        <v>1.0</v>
      </c>
      <c r="E69" s="46"/>
      <c r="F69" s="47">
        <v>24.99</v>
      </c>
      <c r="G69" s="47">
        <v>0.0</v>
      </c>
      <c r="H69" s="7"/>
      <c r="I69" s="47">
        <v>1.02</v>
      </c>
      <c r="J69" s="8"/>
      <c r="K69" s="7"/>
      <c r="L69" s="7"/>
      <c r="M69" s="7"/>
      <c r="N69" s="7"/>
      <c r="O69" s="7" t="s">
        <v>1957</v>
      </c>
      <c r="P69" s="7"/>
      <c r="Q69" s="7" t="s">
        <v>1116</v>
      </c>
      <c r="R69" s="7" t="s">
        <v>493</v>
      </c>
      <c r="S69" s="65">
        <v>3369.0</v>
      </c>
      <c r="T69" s="7"/>
      <c r="U69" s="7"/>
    </row>
    <row r="70">
      <c r="A70" s="45">
        <v>45890.55819444444</v>
      </c>
      <c r="B70" s="7" t="s">
        <v>421</v>
      </c>
      <c r="C70" s="7" t="s">
        <v>1864</v>
      </c>
      <c r="D70" s="74">
        <v>1.0</v>
      </c>
      <c r="E70" s="46"/>
      <c r="F70" s="47">
        <v>24.99</v>
      </c>
      <c r="G70" s="47">
        <v>0.0</v>
      </c>
      <c r="H70" s="7"/>
      <c r="I70" s="47">
        <v>1.02</v>
      </c>
      <c r="J70" s="8"/>
      <c r="K70" s="7"/>
      <c r="L70" s="7"/>
      <c r="M70" s="7"/>
      <c r="N70" s="7"/>
      <c r="O70" s="7" t="s">
        <v>1312</v>
      </c>
      <c r="P70" s="7"/>
      <c r="Q70" s="7" t="s">
        <v>1298</v>
      </c>
      <c r="R70" s="7" t="s">
        <v>493</v>
      </c>
      <c r="S70" s="65">
        <v>3365.0</v>
      </c>
      <c r="T70" s="7"/>
      <c r="U70" s="7"/>
    </row>
    <row r="71">
      <c r="A71" s="45">
        <v>45890.36751157408</v>
      </c>
      <c r="B71" s="7" t="s">
        <v>559</v>
      </c>
      <c r="C71" s="7" t="s">
        <v>1864</v>
      </c>
      <c r="D71" s="74">
        <v>1.0</v>
      </c>
      <c r="E71" s="46"/>
      <c r="F71" s="47">
        <v>24.99</v>
      </c>
      <c r="G71" s="47">
        <v>0.0</v>
      </c>
      <c r="H71" s="7"/>
      <c r="I71" s="47">
        <v>1.4</v>
      </c>
      <c r="J71" s="8"/>
      <c r="K71" s="7"/>
      <c r="L71" s="7"/>
      <c r="M71" s="7"/>
      <c r="N71" s="7"/>
      <c r="O71" s="7" t="s">
        <v>1775</v>
      </c>
      <c r="P71" s="7"/>
      <c r="Q71" s="7" t="s">
        <v>1776</v>
      </c>
      <c r="R71" s="7" t="s">
        <v>560</v>
      </c>
      <c r="S71" s="65">
        <v>3364.0</v>
      </c>
      <c r="T71" s="7"/>
      <c r="U71" s="7"/>
    </row>
    <row r="72">
      <c r="A72" s="45">
        <v>45890.15896990741</v>
      </c>
      <c r="B72" s="7" t="s">
        <v>1958</v>
      </c>
      <c r="C72" s="7" t="s">
        <v>1864</v>
      </c>
      <c r="D72" s="74">
        <v>1.0</v>
      </c>
      <c r="E72" s="46"/>
      <c r="F72" s="47">
        <v>34.46</v>
      </c>
      <c r="G72" s="47">
        <v>0.0</v>
      </c>
      <c r="H72" s="7"/>
      <c r="I72" s="47">
        <v>1.3</v>
      </c>
      <c r="J72" s="8"/>
      <c r="K72" s="7"/>
      <c r="L72" s="7"/>
      <c r="M72" s="7"/>
      <c r="N72" s="7"/>
      <c r="O72" s="7" t="s">
        <v>1959</v>
      </c>
      <c r="P72" s="7"/>
      <c r="Q72" s="7" t="s">
        <v>1960</v>
      </c>
      <c r="R72" s="7" t="s">
        <v>493</v>
      </c>
      <c r="S72" s="65">
        <v>3363.0</v>
      </c>
      <c r="T72" s="7"/>
      <c r="U72" s="7"/>
    </row>
    <row r="73">
      <c r="A73" s="45">
        <v>45890.139131944445</v>
      </c>
      <c r="B73" s="7" t="s">
        <v>173</v>
      </c>
      <c r="C73" s="7" t="s">
        <v>1864</v>
      </c>
      <c r="D73" s="74">
        <v>1.0</v>
      </c>
      <c r="E73" s="46"/>
      <c r="F73" s="47">
        <v>24.99</v>
      </c>
      <c r="G73" s="47">
        <v>0.0</v>
      </c>
      <c r="H73" s="7"/>
      <c r="I73" s="47">
        <v>1.4</v>
      </c>
      <c r="J73" s="8"/>
      <c r="K73" s="7"/>
      <c r="L73" s="7"/>
      <c r="M73" s="7"/>
      <c r="N73" s="7"/>
      <c r="O73" s="7" t="s">
        <v>896</v>
      </c>
      <c r="P73" s="7"/>
      <c r="Q73" s="7" t="s">
        <v>897</v>
      </c>
      <c r="R73" s="7" t="s">
        <v>542</v>
      </c>
      <c r="S73" s="65">
        <v>3361.0</v>
      </c>
      <c r="T73" s="7"/>
      <c r="U73" s="7"/>
    </row>
    <row r="74">
      <c r="A74" s="45">
        <v>45890.026342592595</v>
      </c>
      <c r="B74" s="7" t="s">
        <v>614</v>
      </c>
      <c r="C74" s="7" t="s">
        <v>1864</v>
      </c>
      <c r="D74" s="74">
        <v>1.0</v>
      </c>
      <c r="E74" s="46"/>
      <c r="F74" s="47">
        <v>24.99</v>
      </c>
      <c r="G74" s="47">
        <v>0.0</v>
      </c>
      <c r="H74" s="7"/>
      <c r="I74" s="47">
        <v>1.4</v>
      </c>
      <c r="J74" s="8"/>
      <c r="K74" s="7"/>
      <c r="L74" s="7"/>
      <c r="M74" s="7"/>
      <c r="N74" s="7"/>
      <c r="O74" s="7" t="s">
        <v>615</v>
      </c>
      <c r="P74" s="7"/>
      <c r="Q74" s="7" t="s">
        <v>616</v>
      </c>
      <c r="R74" s="7" t="s">
        <v>617</v>
      </c>
      <c r="S74" s="65">
        <v>3357.0</v>
      </c>
      <c r="T74" s="7"/>
      <c r="U74" s="7"/>
    </row>
    <row r="75">
      <c r="A75" s="45">
        <v>45889.96104166667</v>
      </c>
      <c r="B75" s="7" t="s">
        <v>1350</v>
      </c>
      <c r="C75" s="7" t="s">
        <v>1864</v>
      </c>
      <c r="D75" s="74">
        <v>1.0</v>
      </c>
      <c r="E75" s="46"/>
      <c r="F75" s="47">
        <v>24.99</v>
      </c>
      <c r="G75" s="47">
        <v>0.0</v>
      </c>
      <c r="H75" s="7"/>
      <c r="I75" s="47">
        <v>1.4</v>
      </c>
      <c r="J75" s="8"/>
      <c r="K75" s="7"/>
      <c r="L75" s="7"/>
      <c r="M75" s="7"/>
      <c r="N75" s="7"/>
      <c r="O75" s="7" t="s">
        <v>1351</v>
      </c>
      <c r="P75" s="7"/>
      <c r="Q75" s="7" t="s">
        <v>1352</v>
      </c>
      <c r="R75" s="7" t="s">
        <v>545</v>
      </c>
      <c r="S75" s="65">
        <v>3356.0</v>
      </c>
      <c r="T75" s="7"/>
      <c r="U75" s="7"/>
    </row>
    <row r="76">
      <c r="A76" s="45">
        <v>45889.916238425925</v>
      </c>
      <c r="B76" s="7" t="s">
        <v>634</v>
      </c>
      <c r="C76" s="7" t="s">
        <v>1864</v>
      </c>
      <c r="D76" s="74">
        <v>1.0</v>
      </c>
      <c r="E76" s="46"/>
      <c r="F76" s="47">
        <v>24.99</v>
      </c>
      <c r="G76" s="47">
        <v>0.0</v>
      </c>
      <c r="H76" s="7"/>
      <c r="I76" s="47">
        <v>1.4</v>
      </c>
      <c r="J76" s="8"/>
      <c r="K76" s="7"/>
      <c r="L76" s="7"/>
      <c r="M76" s="7"/>
      <c r="N76" s="7"/>
      <c r="O76" s="7" t="s">
        <v>635</v>
      </c>
      <c r="P76" s="7" t="s">
        <v>636</v>
      </c>
      <c r="Q76" s="7" t="s">
        <v>637</v>
      </c>
      <c r="R76" s="7" t="s">
        <v>638</v>
      </c>
      <c r="S76" s="65">
        <v>3355.0</v>
      </c>
      <c r="T76" s="7"/>
      <c r="U76" s="7"/>
    </row>
    <row r="77">
      <c r="A77" s="45">
        <v>45889.8594212963</v>
      </c>
      <c r="B77" s="7" t="s">
        <v>599</v>
      </c>
      <c r="C77" s="7" t="s">
        <v>1864</v>
      </c>
      <c r="D77" s="74">
        <v>1.0</v>
      </c>
      <c r="E77" s="46"/>
      <c r="F77" s="47">
        <v>24.99</v>
      </c>
      <c r="G77" s="47">
        <v>0.0</v>
      </c>
      <c r="H77" s="7"/>
      <c r="I77" s="47">
        <v>1.02</v>
      </c>
      <c r="J77" s="8"/>
      <c r="K77" s="7"/>
      <c r="L77" s="7"/>
      <c r="M77" s="7"/>
      <c r="N77" s="7"/>
      <c r="O77" s="7" t="s">
        <v>600</v>
      </c>
      <c r="P77" s="7"/>
      <c r="Q77" s="7" t="s">
        <v>601</v>
      </c>
      <c r="R77" s="7" t="s">
        <v>493</v>
      </c>
      <c r="S77" s="65">
        <v>3352.0</v>
      </c>
      <c r="T77" s="7"/>
      <c r="U77" s="7"/>
    </row>
    <row r="78">
      <c r="A78" s="45">
        <v>45889.80163194444</v>
      </c>
      <c r="B78" s="7" t="s">
        <v>105</v>
      </c>
      <c r="C78" s="7" t="s">
        <v>1864</v>
      </c>
      <c r="D78" s="74">
        <v>1.0</v>
      </c>
      <c r="E78" s="46"/>
      <c r="F78" s="47">
        <v>24.99</v>
      </c>
      <c r="G78" s="47">
        <v>0.0</v>
      </c>
      <c r="H78" s="7"/>
      <c r="I78" s="47">
        <v>1.02</v>
      </c>
      <c r="J78" s="8"/>
      <c r="K78" s="7"/>
      <c r="L78" s="7"/>
      <c r="M78" s="7"/>
      <c r="N78" s="7"/>
      <c r="O78" s="7" t="s">
        <v>612</v>
      </c>
      <c r="P78" s="7"/>
      <c r="Q78" s="7" t="s">
        <v>613</v>
      </c>
      <c r="R78" s="7" t="s">
        <v>493</v>
      </c>
      <c r="S78" s="65">
        <v>3350.0</v>
      </c>
      <c r="T78" s="7"/>
      <c r="U78" s="7"/>
    </row>
    <row r="79">
      <c r="A79" s="45">
        <v>45889.30427083333</v>
      </c>
      <c r="B79" s="7" t="s">
        <v>827</v>
      </c>
      <c r="C79" s="7" t="s">
        <v>1864</v>
      </c>
      <c r="D79" s="74">
        <v>1.0</v>
      </c>
      <c r="E79" s="46"/>
      <c r="F79" s="47">
        <v>24.99</v>
      </c>
      <c r="G79" s="47">
        <v>0.0</v>
      </c>
      <c r="H79" s="7"/>
      <c r="I79" s="47">
        <v>1.4</v>
      </c>
      <c r="J79" s="8"/>
      <c r="K79" s="7"/>
      <c r="L79" s="7"/>
      <c r="M79" s="7"/>
      <c r="N79" s="7"/>
      <c r="O79" s="7" t="s">
        <v>828</v>
      </c>
      <c r="P79" s="7" t="s">
        <v>829</v>
      </c>
      <c r="Q79" s="7" t="s">
        <v>830</v>
      </c>
      <c r="R79" s="7" t="s">
        <v>542</v>
      </c>
      <c r="S79" s="65">
        <v>3349.0</v>
      </c>
      <c r="T79" s="7"/>
      <c r="U79" s="7"/>
    </row>
    <row r="80">
      <c r="A80" s="45">
        <v>45889.218298611115</v>
      </c>
      <c r="B80" s="7" t="s">
        <v>1961</v>
      </c>
      <c r="C80" s="7" t="s">
        <v>1864</v>
      </c>
      <c r="D80" s="74">
        <v>1.0</v>
      </c>
      <c r="E80" s="46"/>
      <c r="F80" s="47">
        <v>24.99</v>
      </c>
      <c r="G80" s="47">
        <v>0.0</v>
      </c>
      <c r="H80" s="7"/>
      <c r="I80" s="47">
        <v>1.02</v>
      </c>
      <c r="J80" s="8"/>
      <c r="K80" s="7"/>
      <c r="L80" s="7"/>
      <c r="M80" s="7"/>
      <c r="N80" s="7"/>
      <c r="O80" s="7" t="s">
        <v>1962</v>
      </c>
      <c r="P80" s="7"/>
      <c r="Q80" s="7" t="s">
        <v>1497</v>
      </c>
      <c r="R80" s="7" t="s">
        <v>493</v>
      </c>
      <c r="S80" s="65">
        <v>3348.0</v>
      </c>
      <c r="T80" s="7"/>
      <c r="U80" s="7"/>
    </row>
    <row r="81">
      <c r="A81" s="45">
        <v>45889.14127314815</v>
      </c>
      <c r="B81" s="7" t="s">
        <v>233</v>
      </c>
      <c r="C81" s="7" t="s">
        <v>1864</v>
      </c>
      <c r="D81" s="74">
        <v>1.0</v>
      </c>
      <c r="E81" s="46"/>
      <c r="F81" s="47">
        <v>24.99</v>
      </c>
      <c r="G81" s="47">
        <v>0.0</v>
      </c>
      <c r="H81" s="7"/>
      <c r="I81" s="47">
        <v>1.02</v>
      </c>
      <c r="J81" s="8"/>
      <c r="K81" s="7"/>
      <c r="L81" s="7"/>
      <c r="M81" s="7"/>
      <c r="N81" s="7"/>
      <c r="O81" s="7" t="s">
        <v>795</v>
      </c>
      <c r="P81" s="7"/>
      <c r="Q81" s="7" t="s">
        <v>796</v>
      </c>
      <c r="R81" s="7" t="s">
        <v>493</v>
      </c>
      <c r="S81" s="65">
        <v>3346.0</v>
      </c>
      <c r="T81" s="7"/>
      <c r="U81" s="7"/>
    </row>
    <row r="82">
      <c r="A82" s="45">
        <v>45889.023981481485</v>
      </c>
      <c r="B82" s="7" t="s">
        <v>64</v>
      </c>
      <c r="C82" s="7" t="s">
        <v>1864</v>
      </c>
      <c r="D82" s="74">
        <v>1.0</v>
      </c>
      <c r="E82" s="46"/>
      <c r="F82" s="47">
        <v>24.99</v>
      </c>
      <c r="G82" s="47">
        <v>0.0</v>
      </c>
      <c r="H82" s="7"/>
      <c r="I82" s="47">
        <v>1.02</v>
      </c>
      <c r="J82" s="8"/>
      <c r="K82" s="7"/>
      <c r="L82" s="7"/>
      <c r="M82" s="7"/>
      <c r="N82" s="7"/>
      <c r="O82" s="7" t="s">
        <v>990</v>
      </c>
      <c r="P82" s="7" t="s">
        <v>991</v>
      </c>
      <c r="Q82" s="7" t="s">
        <v>992</v>
      </c>
      <c r="R82" s="7" t="s">
        <v>493</v>
      </c>
      <c r="S82" s="65">
        <v>3345.0</v>
      </c>
      <c r="T82" s="7"/>
      <c r="U82" s="7"/>
    </row>
    <row r="83">
      <c r="A83" s="45">
        <v>45888.92408564815</v>
      </c>
      <c r="B83" s="7" t="s">
        <v>1963</v>
      </c>
      <c r="C83" s="7" t="s">
        <v>1864</v>
      </c>
      <c r="D83" s="74">
        <v>1.0</v>
      </c>
      <c r="E83" s="46"/>
      <c r="F83" s="47">
        <v>36.65</v>
      </c>
      <c r="G83" s="47">
        <v>0.0</v>
      </c>
      <c r="H83" s="7"/>
      <c r="I83" s="47">
        <v>1.36</v>
      </c>
      <c r="J83" s="8"/>
      <c r="K83" s="7"/>
      <c r="L83" s="7"/>
      <c r="M83" s="7"/>
      <c r="N83" s="7"/>
      <c r="O83" s="7" t="s">
        <v>1964</v>
      </c>
      <c r="P83" s="7"/>
      <c r="Q83" s="7" t="s">
        <v>1193</v>
      </c>
      <c r="R83" s="7" t="s">
        <v>493</v>
      </c>
      <c r="S83" s="65">
        <v>3344.0</v>
      </c>
      <c r="T83" s="7"/>
      <c r="U83" s="7"/>
    </row>
    <row r="84">
      <c r="A84" s="45">
        <v>45888.906180555554</v>
      </c>
      <c r="B84" s="7" t="s">
        <v>977</v>
      </c>
      <c r="C84" s="7" t="s">
        <v>1864</v>
      </c>
      <c r="D84" s="74">
        <v>1.0</v>
      </c>
      <c r="E84" s="46"/>
      <c r="F84" s="47">
        <v>24.99</v>
      </c>
      <c r="G84" s="47">
        <v>0.0</v>
      </c>
      <c r="H84" s="7"/>
      <c r="I84" s="47">
        <v>1.02</v>
      </c>
      <c r="J84" s="8"/>
      <c r="K84" s="7"/>
      <c r="L84" s="7"/>
      <c r="M84" s="7"/>
      <c r="N84" s="7"/>
      <c r="O84" s="7" t="s">
        <v>978</v>
      </c>
      <c r="P84" s="7" t="s">
        <v>979</v>
      </c>
      <c r="Q84" s="7" t="s">
        <v>980</v>
      </c>
      <c r="R84" s="7" t="s">
        <v>493</v>
      </c>
      <c r="S84" s="65">
        <v>3340.0</v>
      </c>
      <c r="T84" s="7"/>
      <c r="U84" s="7"/>
    </row>
    <row r="85">
      <c r="A85" s="45">
        <v>45888.88079861111</v>
      </c>
      <c r="B85" s="7" t="s">
        <v>1965</v>
      </c>
      <c r="C85" s="7" t="s">
        <v>1864</v>
      </c>
      <c r="D85" s="74">
        <v>1.0</v>
      </c>
      <c r="E85" s="46"/>
      <c r="F85" s="47">
        <v>36.55</v>
      </c>
      <c r="G85" s="47">
        <v>0.0</v>
      </c>
      <c r="H85" s="7"/>
      <c r="I85" s="47">
        <v>1.36</v>
      </c>
      <c r="J85" s="8"/>
      <c r="K85" s="7"/>
      <c r="L85" s="7"/>
      <c r="M85" s="7"/>
      <c r="N85" s="7"/>
      <c r="O85" s="7" t="s">
        <v>1966</v>
      </c>
      <c r="P85" s="7"/>
      <c r="Q85" s="7" t="s">
        <v>1147</v>
      </c>
      <c r="R85" s="7" t="s">
        <v>493</v>
      </c>
      <c r="S85" s="65">
        <v>3339.0</v>
      </c>
      <c r="T85" s="7"/>
      <c r="U85" s="7"/>
    </row>
    <row r="86">
      <c r="A86" s="45">
        <v>45888.84520833333</v>
      </c>
      <c r="B86" s="7" t="s">
        <v>157</v>
      </c>
      <c r="C86" s="7" t="s">
        <v>1864</v>
      </c>
      <c r="D86" s="74">
        <v>1.0</v>
      </c>
      <c r="E86" s="46"/>
      <c r="F86" s="47">
        <v>24.99</v>
      </c>
      <c r="G86" s="47">
        <v>0.0</v>
      </c>
      <c r="H86" s="7"/>
      <c r="I86" s="47">
        <v>1.4</v>
      </c>
      <c r="J86" s="8"/>
      <c r="K86" s="7"/>
      <c r="L86" s="7"/>
      <c r="M86" s="7"/>
      <c r="N86" s="7"/>
      <c r="O86" s="7" t="s">
        <v>819</v>
      </c>
      <c r="P86" s="7"/>
      <c r="Q86" s="7" t="s">
        <v>820</v>
      </c>
      <c r="R86" s="7" t="s">
        <v>726</v>
      </c>
      <c r="S86" s="65">
        <v>3334.0</v>
      </c>
      <c r="T86" s="7"/>
      <c r="U86" s="7"/>
    </row>
    <row r="87">
      <c r="A87" s="45">
        <v>45888.79277777778</v>
      </c>
      <c r="B87" s="7" t="s">
        <v>224</v>
      </c>
      <c r="C87" s="7" t="s">
        <v>1864</v>
      </c>
      <c r="D87" s="74">
        <v>1.0</v>
      </c>
      <c r="E87" s="46"/>
      <c r="F87" s="47">
        <v>64.19</v>
      </c>
      <c r="G87" s="47">
        <v>0.0</v>
      </c>
      <c r="H87" s="7"/>
      <c r="I87" s="47">
        <v>3.12</v>
      </c>
      <c r="J87" s="8"/>
      <c r="K87" s="7"/>
      <c r="L87" s="7"/>
      <c r="M87" s="7"/>
      <c r="N87" s="7"/>
      <c r="O87" s="7" t="s">
        <v>1967</v>
      </c>
      <c r="P87" s="7"/>
      <c r="Q87" s="7" t="s">
        <v>1968</v>
      </c>
      <c r="R87" s="7" t="s">
        <v>1821</v>
      </c>
      <c r="S87" s="65">
        <v>3333.0</v>
      </c>
      <c r="T87" s="7"/>
      <c r="U87" s="7"/>
    </row>
    <row r="88">
      <c r="A88" s="45">
        <v>45888.55201388889</v>
      </c>
      <c r="B88" s="7" t="s">
        <v>1490</v>
      </c>
      <c r="C88" s="7" t="s">
        <v>1864</v>
      </c>
      <c r="D88" s="74">
        <v>1.0</v>
      </c>
      <c r="E88" s="46"/>
      <c r="F88" s="47">
        <v>24.99</v>
      </c>
      <c r="G88" s="47">
        <v>0.0</v>
      </c>
      <c r="H88" s="7"/>
      <c r="I88" s="47">
        <v>1.4</v>
      </c>
      <c r="J88" s="8"/>
      <c r="K88" s="7"/>
      <c r="L88" s="7"/>
      <c r="M88" s="7"/>
      <c r="N88" s="7"/>
      <c r="O88" s="7" t="s">
        <v>1491</v>
      </c>
      <c r="P88" s="7" t="s">
        <v>1492</v>
      </c>
      <c r="Q88" s="7" t="s">
        <v>1493</v>
      </c>
      <c r="R88" s="7" t="s">
        <v>882</v>
      </c>
      <c r="S88" s="65">
        <v>3330.0</v>
      </c>
      <c r="T88" s="7"/>
      <c r="U88" s="7"/>
    </row>
    <row r="89">
      <c r="A89" s="45">
        <v>45888.460381944446</v>
      </c>
      <c r="B89" s="7" t="s">
        <v>1721</v>
      </c>
      <c r="C89" s="7" t="s">
        <v>1864</v>
      </c>
      <c r="D89" s="74">
        <v>1.0</v>
      </c>
      <c r="E89" s="46"/>
      <c r="F89" s="47">
        <v>24.99</v>
      </c>
      <c r="G89" s="47">
        <v>0.0</v>
      </c>
      <c r="H89" s="7"/>
      <c r="I89" s="47">
        <v>1.4</v>
      </c>
      <c r="J89" s="8"/>
      <c r="K89" s="7"/>
      <c r="L89" s="7"/>
      <c r="M89" s="7"/>
      <c r="N89" s="7"/>
      <c r="O89" s="7" t="s">
        <v>1722</v>
      </c>
      <c r="P89" s="7"/>
      <c r="Q89" s="7" t="s">
        <v>1723</v>
      </c>
      <c r="R89" s="7" t="s">
        <v>545</v>
      </c>
      <c r="S89" s="65">
        <v>3329.0</v>
      </c>
      <c r="T89" s="7"/>
      <c r="U89" s="7"/>
    </row>
    <row r="90">
      <c r="A90" s="45">
        <v>45888.22796296296</v>
      </c>
      <c r="B90" s="7" t="s">
        <v>741</v>
      </c>
      <c r="C90" s="7" t="s">
        <v>1864</v>
      </c>
      <c r="D90" s="74">
        <v>1.0</v>
      </c>
      <c r="E90" s="46"/>
      <c r="F90" s="47">
        <v>24.99</v>
      </c>
      <c r="G90" s="47">
        <v>0.0</v>
      </c>
      <c r="H90" s="7"/>
      <c r="I90" s="47">
        <v>1.02</v>
      </c>
      <c r="J90" s="8"/>
      <c r="K90" s="7"/>
      <c r="L90" s="7"/>
      <c r="M90" s="7"/>
      <c r="N90" s="7"/>
      <c r="O90" s="7" t="s">
        <v>742</v>
      </c>
      <c r="P90" s="7"/>
      <c r="Q90" s="7" t="s">
        <v>743</v>
      </c>
      <c r="R90" s="7" t="s">
        <v>493</v>
      </c>
      <c r="S90" s="65">
        <v>3324.0</v>
      </c>
      <c r="T90" s="7"/>
      <c r="U90" s="7"/>
    </row>
    <row r="91">
      <c r="A91" s="45">
        <v>45888.121203703704</v>
      </c>
      <c r="B91" s="7" t="s">
        <v>172</v>
      </c>
      <c r="C91" s="7" t="s">
        <v>1864</v>
      </c>
      <c r="D91" s="74">
        <v>1.0</v>
      </c>
      <c r="E91" s="46"/>
      <c r="F91" s="47">
        <v>24.99</v>
      </c>
      <c r="G91" s="47">
        <v>0.0</v>
      </c>
      <c r="H91" s="7"/>
      <c r="I91" s="47">
        <v>1.02</v>
      </c>
      <c r="J91" s="8"/>
      <c r="K91" s="7"/>
      <c r="L91" s="7"/>
      <c r="M91" s="7"/>
      <c r="N91" s="7"/>
      <c r="O91" s="7" t="s">
        <v>1102</v>
      </c>
      <c r="P91" s="7"/>
      <c r="Q91" s="7" t="s">
        <v>1103</v>
      </c>
      <c r="R91" s="7" t="s">
        <v>493</v>
      </c>
      <c r="S91" s="65">
        <v>3323.0</v>
      </c>
      <c r="T91" s="7"/>
      <c r="U91" s="7"/>
    </row>
    <row r="92">
      <c r="A92" s="45">
        <v>45887.72152777778</v>
      </c>
      <c r="B92" s="7" t="s">
        <v>1969</v>
      </c>
      <c r="C92" s="7" t="s">
        <v>1864</v>
      </c>
      <c r="D92" s="74">
        <v>1.0</v>
      </c>
      <c r="E92" s="46"/>
      <c r="F92" s="47">
        <v>24.99</v>
      </c>
      <c r="G92" s="47">
        <v>0.0</v>
      </c>
      <c r="H92" s="7"/>
      <c r="I92" s="47">
        <v>1.4</v>
      </c>
      <c r="J92" s="8"/>
      <c r="K92" s="7"/>
      <c r="L92" s="7"/>
      <c r="M92" s="7"/>
      <c r="N92" s="7"/>
      <c r="O92" s="7" t="s">
        <v>1550</v>
      </c>
      <c r="P92" s="7"/>
      <c r="Q92" s="7" t="s">
        <v>1551</v>
      </c>
      <c r="R92" s="7" t="s">
        <v>939</v>
      </c>
      <c r="S92" s="65">
        <v>3322.0</v>
      </c>
      <c r="T92" s="7"/>
      <c r="U92" s="7"/>
    </row>
    <row r="93">
      <c r="A93" s="45">
        <v>45887.628599537034</v>
      </c>
      <c r="B93" s="7" t="s">
        <v>921</v>
      </c>
      <c r="C93" s="7" t="s">
        <v>1864</v>
      </c>
      <c r="D93" s="74">
        <v>1.0</v>
      </c>
      <c r="E93" s="46"/>
      <c r="F93" s="47">
        <v>24.99</v>
      </c>
      <c r="G93" s="47">
        <v>0.0</v>
      </c>
      <c r="H93" s="7"/>
      <c r="I93" s="47">
        <v>1.02</v>
      </c>
      <c r="J93" s="8"/>
      <c r="K93" s="7"/>
      <c r="L93" s="7"/>
      <c r="M93" s="7"/>
      <c r="N93" s="7"/>
      <c r="O93" s="7" t="s">
        <v>922</v>
      </c>
      <c r="P93" s="7"/>
      <c r="Q93" s="7" t="s">
        <v>923</v>
      </c>
      <c r="R93" s="7" t="s">
        <v>493</v>
      </c>
      <c r="S93" s="65">
        <v>3321.0</v>
      </c>
      <c r="T93" s="7"/>
      <c r="U93" s="7"/>
    </row>
    <row r="94">
      <c r="A94" s="45">
        <v>45887.609247685185</v>
      </c>
      <c r="B94" s="7" t="s">
        <v>876</v>
      </c>
      <c r="C94" s="7" t="s">
        <v>1864</v>
      </c>
      <c r="D94" s="74">
        <v>1.0</v>
      </c>
      <c r="E94" s="46"/>
      <c r="F94" s="47">
        <v>24.99</v>
      </c>
      <c r="G94" s="47">
        <v>0.0</v>
      </c>
      <c r="H94" s="7"/>
      <c r="I94" s="47">
        <v>1.4</v>
      </c>
      <c r="J94" s="8"/>
      <c r="K94" s="7"/>
      <c r="L94" s="7"/>
      <c r="M94" s="7"/>
      <c r="N94" s="7"/>
      <c r="O94" s="7" t="s">
        <v>877</v>
      </c>
      <c r="P94" s="7"/>
      <c r="Q94" s="7" t="s">
        <v>878</v>
      </c>
      <c r="R94" s="7" t="s">
        <v>525</v>
      </c>
      <c r="S94" s="65">
        <v>3320.0</v>
      </c>
      <c r="T94" s="7"/>
      <c r="U94" s="7"/>
    </row>
    <row r="95">
      <c r="A95" s="45">
        <v>45887.55273148148</v>
      </c>
      <c r="B95" s="7" t="s">
        <v>816</v>
      </c>
      <c r="C95" s="7" t="s">
        <v>1864</v>
      </c>
      <c r="D95" s="74">
        <v>1.0</v>
      </c>
      <c r="E95" s="46"/>
      <c r="F95" s="47">
        <v>24.99</v>
      </c>
      <c r="G95" s="47">
        <v>0.0</v>
      </c>
      <c r="H95" s="7"/>
      <c r="I95" s="47">
        <v>1.02</v>
      </c>
      <c r="J95" s="8"/>
      <c r="K95" s="7"/>
      <c r="L95" s="7"/>
      <c r="M95" s="7"/>
      <c r="N95" s="7"/>
      <c r="O95" s="7" t="s">
        <v>817</v>
      </c>
      <c r="P95" s="7"/>
      <c r="Q95" s="7" t="s">
        <v>1970</v>
      </c>
      <c r="R95" s="7" t="s">
        <v>493</v>
      </c>
      <c r="S95" s="65">
        <v>3319.0</v>
      </c>
      <c r="T95" s="7"/>
      <c r="U95" s="7"/>
    </row>
    <row r="96">
      <c r="A96" s="45">
        <v>45887.41490740741</v>
      </c>
      <c r="B96" s="7" t="s">
        <v>166</v>
      </c>
      <c r="C96" s="7" t="s">
        <v>1864</v>
      </c>
      <c r="D96" s="74">
        <v>1.0</v>
      </c>
      <c r="E96" s="46"/>
      <c r="F96" s="47">
        <v>24.99</v>
      </c>
      <c r="G96" s="47">
        <v>0.0</v>
      </c>
      <c r="H96" s="7"/>
      <c r="I96" s="47">
        <v>1.4</v>
      </c>
      <c r="J96" s="8"/>
      <c r="K96" s="7"/>
      <c r="L96" s="7"/>
      <c r="M96" s="7"/>
      <c r="N96" s="7"/>
      <c r="O96" s="7" t="s">
        <v>766</v>
      </c>
      <c r="P96" s="7"/>
      <c r="Q96" s="7" t="s">
        <v>767</v>
      </c>
      <c r="R96" s="7" t="s">
        <v>521</v>
      </c>
      <c r="S96" s="65">
        <v>3318.0</v>
      </c>
      <c r="T96" s="7"/>
      <c r="U96" s="7"/>
    </row>
    <row r="97">
      <c r="A97" s="45">
        <v>45887.317291666666</v>
      </c>
      <c r="B97" s="7" t="s">
        <v>713</v>
      </c>
      <c r="C97" s="7" t="s">
        <v>1884</v>
      </c>
      <c r="D97" s="74">
        <v>2.0</v>
      </c>
      <c r="E97" s="46"/>
      <c r="F97" s="47">
        <v>49.98</v>
      </c>
      <c r="G97" s="47">
        <v>0.0</v>
      </c>
      <c r="H97" s="7"/>
      <c r="I97" s="47">
        <v>2.5</v>
      </c>
      <c r="J97" s="8"/>
      <c r="K97" s="7"/>
      <c r="L97" s="7"/>
      <c r="M97" s="7"/>
      <c r="N97" s="7"/>
      <c r="O97" s="7" t="s">
        <v>1971</v>
      </c>
      <c r="P97" s="7" t="s">
        <v>1972</v>
      </c>
      <c r="Q97" s="7" t="s">
        <v>1599</v>
      </c>
      <c r="R97" s="7" t="s">
        <v>684</v>
      </c>
      <c r="S97" s="65">
        <v>3317.0</v>
      </c>
      <c r="T97" s="7"/>
      <c r="U97" s="7"/>
    </row>
    <row r="98">
      <c r="A98" s="45">
        <v>45887.10927083333</v>
      </c>
      <c r="B98" s="7" t="s">
        <v>1973</v>
      </c>
      <c r="C98" s="7" t="s">
        <v>1864</v>
      </c>
      <c r="D98" s="74">
        <v>1.0</v>
      </c>
      <c r="E98" s="46"/>
      <c r="F98" s="47">
        <v>24.99</v>
      </c>
      <c r="G98" s="47">
        <v>0.0</v>
      </c>
      <c r="H98" s="7"/>
      <c r="I98" s="47">
        <v>1.02</v>
      </c>
      <c r="J98" s="8"/>
      <c r="K98" s="7"/>
      <c r="L98" s="7"/>
      <c r="M98" s="7"/>
      <c r="N98" s="7"/>
      <c r="O98" s="7" t="s">
        <v>1974</v>
      </c>
      <c r="P98" s="7"/>
      <c r="Q98" s="7" t="s">
        <v>1975</v>
      </c>
      <c r="R98" s="7" t="s">
        <v>493</v>
      </c>
      <c r="S98" s="65">
        <v>3316.0</v>
      </c>
      <c r="T98" s="7"/>
      <c r="U98" s="7"/>
    </row>
    <row r="99">
      <c r="A99" s="45">
        <v>45887.07493055556</v>
      </c>
      <c r="B99" s="7" t="s">
        <v>47</v>
      </c>
      <c r="C99" s="7" t="s">
        <v>1864</v>
      </c>
      <c r="D99" s="74">
        <v>1.0</v>
      </c>
      <c r="E99" s="46"/>
      <c r="F99" s="47">
        <v>24.99</v>
      </c>
      <c r="G99" s="47">
        <v>0.0</v>
      </c>
      <c r="H99" s="7"/>
      <c r="I99" s="47">
        <v>16.4</v>
      </c>
      <c r="J99" s="47">
        <v>24.99</v>
      </c>
      <c r="K99" s="45">
        <v>45974.989375</v>
      </c>
      <c r="L99" s="45">
        <v>45990.99998842592</v>
      </c>
      <c r="M99" s="7" t="s">
        <v>52</v>
      </c>
      <c r="N99" s="7" t="s">
        <v>53</v>
      </c>
      <c r="O99" s="7" t="s">
        <v>55</v>
      </c>
      <c r="P99" s="7"/>
      <c r="Q99" s="7" t="s">
        <v>49</v>
      </c>
      <c r="R99" s="7" t="s">
        <v>51</v>
      </c>
      <c r="S99" s="65">
        <v>3315.0</v>
      </c>
      <c r="T99" s="7"/>
      <c r="U99" s="7"/>
    </row>
    <row r="100">
      <c r="A100" s="45">
        <v>45887.06694444444</v>
      </c>
      <c r="B100" s="7" t="s">
        <v>243</v>
      </c>
      <c r="C100" s="7" t="s">
        <v>1864</v>
      </c>
      <c r="D100" s="74">
        <v>1.0</v>
      </c>
      <c r="E100" s="46"/>
      <c r="F100" s="47">
        <v>24.99</v>
      </c>
      <c r="G100" s="47">
        <v>0.0</v>
      </c>
      <c r="H100" s="7"/>
      <c r="I100" s="47">
        <v>1.02</v>
      </c>
      <c r="J100" s="8"/>
      <c r="K100" s="7"/>
      <c r="L100" s="7"/>
      <c r="M100" s="7"/>
      <c r="N100" s="7"/>
      <c r="O100" s="7" t="s">
        <v>739</v>
      </c>
      <c r="P100" s="7"/>
      <c r="Q100" s="7" t="s">
        <v>740</v>
      </c>
      <c r="R100" s="7" t="s">
        <v>493</v>
      </c>
      <c r="S100" s="65">
        <v>3314.0</v>
      </c>
      <c r="T100" s="7"/>
      <c r="U100" s="7"/>
    </row>
    <row r="101">
      <c r="A101" s="45">
        <v>45887.03634259259</v>
      </c>
      <c r="B101" s="7" t="s">
        <v>128</v>
      </c>
      <c r="C101" s="7" t="s">
        <v>1976</v>
      </c>
      <c r="D101" s="74">
        <v>3.0</v>
      </c>
      <c r="E101" s="46"/>
      <c r="F101" s="47">
        <v>74.97</v>
      </c>
      <c r="G101" s="47">
        <v>0.0</v>
      </c>
      <c r="H101" s="7"/>
      <c r="I101" s="47">
        <v>3.6</v>
      </c>
      <c r="J101" s="8"/>
      <c r="K101" s="7"/>
      <c r="L101" s="7"/>
      <c r="M101" s="7"/>
      <c r="N101" s="7"/>
      <c r="O101" s="7" t="s">
        <v>880</v>
      </c>
      <c r="P101" s="7" t="s">
        <v>881</v>
      </c>
      <c r="Q101" s="7" t="s">
        <v>850</v>
      </c>
      <c r="R101" s="7" t="s">
        <v>882</v>
      </c>
      <c r="S101" s="65">
        <v>3311.0</v>
      </c>
      <c r="T101" s="7"/>
      <c r="U101" s="7"/>
    </row>
    <row r="102">
      <c r="A102" s="45">
        <v>45887.01362268518</v>
      </c>
      <c r="B102" s="7" t="s">
        <v>1977</v>
      </c>
      <c r="C102" s="7" t="s">
        <v>1864</v>
      </c>
      <c r="D102" s="74">
        <v>1.0</v>
      </c>
      <c r="E102" s="46"/>
      <c r="F102" s="47">
        <v>34.46</v>
      </c>
      <c r="G102" s="47">
        <v>0.0</v>
      </c>
      <c r="H102" s="7"/>
      <c r="I102" s="47">
        <v>1.3</v>
      </c>
      <c r="J102" s="8"/>
      <c r="K102" s="7"/>
      <c r="L102" s="7"/>
      <c r="M102" s="7"/>
      <c r="N102" s="7"/>
      <c r="O102" s="7" t="s">
        <v>1978</v>
      </c>
      <c r="P102" s="7"/>
      <c r="Q102" s="7" t="s">
        <v>1979</v>
      </c>
      <c r="R102" s="7" t="s">
        <v>493</v>
      </c>
      <c r="S102" s="65">
        <v>3310.0</v>
      </c>
      <c r="T102" s="7"/>
      <c r="U102" s="7"/>
    </row>
    <row r="103">
      <c r="A103" s="45">
        <v>45886.92748842593</v>
      </c>
      <c r="B103" s="7" t="s">
        <v>335</v>
      </c>
      <c r="C103" s="7" t="s">
        <v>1864</v>
      </c>
      <c r="D103" s="74">
        <v>1.0</v>
      </c>
      <c r="E103" s="46"/>
      <c r="F103" s="47">
        <v>24.99</v>
      </c>
      <c r="G103" s="47">
        <v>0.0</v>
      </c>
      <c r="H103" s="7"/>
      <c r="I103" s="47">
        <v>1.02</v>
      </c>
      <c r="J103" s="8"/>
      <c r="K103" s="7"/>
      <c r="L103" s="7"/>
      <c r="M103" s="7"/>
      <c r="N103" s="7"/>
      <c r="O103" s="7" t="s">
        <v>1589</v>
      </c>
      <c r="P103" s="7" t="s">
        <v>1590</v>
      </c>
      <c r="Q103" s="7" t="s">
        <v>947</v>
      </c>
      <c r="R103" s="7" t="s">
        <v>493</v>
      </c>
      <c r="S103" s="65">
        <v>3309.0</v>
      </c>
      <c r="T103" s="7"/>
      <c r="U103" s="7"/>
    </row>
    <row r="104">
      <c r="A104" s="45">
        <v>45886.75341435185</v>
      </c>
      <c r="B104" s="7" t="s">
        <v>974</v>
      </c>
      <c r="C104" s="7" t="s">
        <v>1864</v>
      </c>
      <c r="D104" s="74">
        <v>1.0</v>
      </c>
      <c r="E104" s="46"/>
      <c r="F104" s="47">
        <v>24.99</v>
      </c>
      <c r="G104" s="47">
        <v>0.0</v>
      </c>
      <c r="H104" s="7"/>
      <c r="I104" s="47">
        <v>1.02</v>
      </c>
      <c r="J104" s="8"/>
      <c r="K104" s="7"/>
      <c r="L104" s="7"/>
      <c r="M104" s="7"/>
      <c r="N104" s="7"/>
      <c r="O104" s="7" t="s">
        <v>975</v>
      </c>
      <c r="P104" s="7"/>
      <c r="Q104" s="7" t="s">
        <v>976</v>
      </c>
      <c r="R104" s="7" t="s">
        <v>493</v>
      </c>
      <c r="S104" s="65">
        <v>3308.0</v>
      </c>
      <c r="T104" s="7"/>
      <c r="U104" s="7"/>
    </row>
    <row r="105">
      <c r="A105" s="45">
        <v>45886.69210648148</v>
      </c>
      <c r="B105" s="7" t="s">
        <v>914</v>
      </c>
      <c r="C105" s="7" t="s">
        <v>1864</v>
      </c>
      <c r="D105" s="74">
        <v>1.0</v>
      </c>
      <c r="E105" s="46"/>
      <c r="F105" s="47">
        <v>27.18</v>
      </c>
      <c r="G105" s="47">
        <v>0.0</v>
      </c>
      <c r="H105" s="7"/>
      <c r="I105" s="47">
        <v>1.09</v>
      </c>
      <c r="J105" s="8"/>
      <c r="K105" s="7"/>
      <c r="L105" s="7"/>
      <c r="M105" s="7"/>
      <c r="N105" s="7"/>
      <c r="O105" s="7" t="s">
        <v>915</v>
      </c>
      <c r="P105" s="7"/>
      <c r="Q105" s="7" t="s">
        <v>916</v>
      </c>
      <c r="R105" s="7" t="s">
        <v>493</v>
      </c>
      <c r="S105" s="65">
        <v>3307.0</v>
      </c>
      <c r="T105" s="7"/>
      <c r="U105" s="7"/>
    </row>
    <row r="106">
      <c r="A106" s="45">
        <v>45886.60622685185</v>
      </c>
      <c r="B106" s="7" t="s">
        <v>144</v>
      </c>
      <c r="C106" s="7" t="s">
        <v>1864</v>
      </c>
      <c r="D106" s="74">
        <v>1.0</v>
      </c>
      <c r="E106" s="46"/>
      <c r="F106" s="47">
        <v>24.99</v>
      </c>
      <c r="G106" s="47">
        <v>0.0</v>
      </c>
      <c r="H106" s="7"/>
      <c r="I106" s="47">
        <v>1.4</v>
      </c>
      <c r="J106" s="8"/>
      <c r="K106" s="7"/>
      <c r="L106" s="7"/>
      <c r="M106" s="7"/>
      <c r="N106" s="7"/>
      <c r="O106" s="7" t="s">
        <v>1382</v>
      </c>
      <c r="P106" s="7"/>
      <c r="Q106" s="7" t="s">
        <v>1383</v>
      </c>
      <c r="R106" s="7" t="s">
        <v>51</v>
      </c>
      <c r="S106" s="65">
        <v>3306.0</v>
      </c>
      <c r="T106" s="7"/>
      <c r="U106" s="7"/>
    </row>
    <row r="107">
      <c r="A107" s="45">
        <v>45886.60381944444</v>
      </c>
      <c r="B107" s="7" t="s">
        <v>273</v>
      </c>
      <c r="C107" s="7" t="s">
        <v>1864</v>
      </c>
      <c r="D107" s="74">
        <v>1.0</v>
      </c>
      <c r="E107" s="46"/>
      <c r="F107" s="47">
        <v>24.99</v>
      </c>
      <c r="G107" s="47">
        <v>0.0</v>
      </c>
      <c r="H107" s="7"/>
      <c r="I107" s="47">
        <v>1.02</v>
      </c>
      <c r="J107" s="8"/>
      <c r="K107" s="7"/>
      <c r="L107" s="7"/>
      <c r="M107" s="7"/>
      <c r="N107" s="7"/>
      <c r="O107" s="7" t="s">
        <v>646</v>
      </c>
      <c r="P107" s="7"/>
      <c r="Q107" s="7" t="s">
        <v>647</v>
      </c>
      <c r="R107" s="7" t="s">
        <v>493</v>
      </c>
      <c r="S107" s="65">
        <v>3305.0</v>
      </c>
      <c r="T107" s="7"/>
      <c r="U107" s="7"/>
    </row>
    <row r="108">
      <c r="A108" s="45">
        <v>45886.49099537037</v>
      </c>
      <c r="B108" s="7" t="s">
        <v>526</v>
      </c>
      <c r="C108" s="7" t="s">
        <v>1864</v>
      </c>
      <c r="D108" s="74">
        <v>1.0</v>
      </c>
      <c r="E108" s="46"/>
      <c r="F108" s="47">
        <v>24.99</v>
      </c>
      <c r="G108" s="47">
        <v>0.0</v>
      </c>
      <c r="H108" s="7"/>
      <c r="I108" s="47">
        <v>1.4</v>
      </c>
      <c r="J108" s="8"/>
      <c r="K108" s="7"/>
      <c r="L108" s="7"/>
      <c r="M108" s="7"/>
      <c r="N108" s="7"/>
      <c r="O108" s="7" t="s">
        <v>527</v>
      </c>
      <c r="P108" s="7"/>
      <c r="Q108" s="7" t="s">
        <v>528</v>
      </c>
      <c r="R108" s="7" t="s">
        <v>525</v>
      </c>
      <c r="S108" s="65">
        <v>3304.0</v>
      </c>
      <c r="T108" s="7"/>
      <c r="U108" s="7"/>
    </row>
    <row r="109">
      <c r="A109" s="45">
        <v>45886.4137962963</v>
      </c>
      <c r="B109" s="7" t="s">
        <v>423</v>
      </c>
      <c r="C109" s="7" t="s">
        <v>1864</v>
      </c>
      <c r="D109" s="74">
        <v>1.0</v>
      </c>
      <c r="E109" s="46"/>
      <c r="F109" s="47">
        <v>24.99</v>
      </c>
      <c r="G109" s="47">
        <v>0.0</v>
      </c>
      <c r="H109" s="7"/>
      <c r="I109" s="47">
        <v>1.4</v>
      </c>
      <c r="J109" s="8"/>
      <c r="K109" s="7"/>
      <c r="L109" s="7"/>
      <c r="M109" s="7"/>
      <c r="N109" s="7"/>
      <c r="O109" s="7" t="s">
        <v>1445</v>
      </c>
      <c r="P109" s="7"/>
      <c r="Q109" s="7" t="s">
        <v>541</v>
      </c>
      <c r="R109" s="7" t="s">
        <v>542</v>
      </c>
      <c r="S109" s="65">
        <v>3300.0</v>
      </c>
      <c r="T109" s="7"/>
      <c r="U109" s="7"/>
    </row>
    <row r="110">
      <c r="A110" s="45">
        <v>45886.3200462963</v>
      </c>
      <c r="B110" s="7" t="s">
        <v>1980</v>
      </c>
      <c r="C110" s="7" t="s">
        <v>1864</v>
      </c>
      <c r="D110" s="74">
        <v>1.0</v>
      </c>
      <c r="E110" s="46"/>
      <c r="F110" s="47">
        <v>58.43</v>
      </c>
      <c r="G110" s="47">
        <v>0.0</v>
      </c>
      <c r="H110" s="7"/>
      <c r="I110" s="47">
        <v>2.87</v>
      </c>
      <c r="J110" s="8"/>
      <c r="K110" s="7"/>
      <c r="L110" s="7"/>
      <c r="M110" s="7"/>
      <c r="N110" s="7"/>
      <c r="O110" s="7" t="s">
        <v>1981</v>
      </c>
      <c r="P110" s="7"/>
      <c r="Q110" s="7" t="s">
        <v>1982</v>
      </c>
      <c r="R110" s="7" t="s">
        <v>1420</v>
      </c>
      <c r="S110" s="65">
        <v>3299.0</v>
      </c>
      <c r="T110" s="7"/>
      <c r="U110" s="7"/>
    </row>
    <row r="111">
      <c r="A111" s="45">
        <v>45886.04119212963</v>
      </c>
      <c r="B111" s="7" t="s">
        <v>1798</v>
      </c>
      <c r="C111" s="7" t="s">
        <v>1864</v>
      </c>
      <c r="D111" s="74">
        <v>1.0</v>
      </c>
      <c r="E111" s="46"/>
      <c r="F111" s="47">
        <v>24.99</v>
      </c>
      <c r="G111" s="47">
        <v>0.0</v>
      </c>
      <c r="H111" s="7"/>
      <c r="I111" s="47">
        <v>1.4</v>
      </c>
      <c r="J111" s="8"/>
      <c r="K111" s="7"/>
      <c r="L111" s="7"/>
      <c r="M111" s="7"/>
      <c r="N111" s="7"/>
      <c r="O111" s="7" t="s">
        <v>685</v>
      </c>
      <c r="P111" s="7" t="s">
        <v>1983</v>
      </c>
      <c r="Q111" s="7"/>
      <c r="R111" s="7" t="s">
        <v>687</v>
      </c>
      <c r="S111" s="65">
        <v>3296.0</v>
      </c>
      <c r="T111" s="7"/>
      <c r="U111" s="7"/>
    </row>
    <row r="112">
      <c r="A112" s="45">
        <v>45886.02061342593</v>
      </c>
      <c r="B112" s="7" t="s">
        <v>1511</v>
      </c>
      <c r="C112" s="7" t="s">
        <v>1864</v>
      </c>
      <c r="D112" s="74">
        <v>1.0</v>
      </c>
      <c r="E112" s="46"/>
      <c r="F112" s="47">
        <v>24.99</v>
      </c>
      <c r="G112" s="47">
        <v>0.0</v>
      </c>
      <c r="H112" s="7"/>
      <c r="I112" s="47">
        <v>1.4</v>
      </c>
      <c r="J112" s="8"/>
      <c r="K112" s="7"/>
      <c r="L112" s="7"/>
      <c r="M112" s="7"/>
      <c r="N112" s="7"/>
      <c r="O112" s="7" t="s">
        <v>681</v>
      </c>
      <c r="P112" s="7" t="s">
        <v>682</v>
      </c>
      <c r="Q112" s="7" t="s">
        <v>683</v>
      </c>
      <c r="R112" s="7" t="s">
        <v>684</v>
      </c>
      <c r="S112" s="65">
        <v>3295.0</v>
      </c>
      <c r="T112" s="7"/>
      <c r="U112" s="7"/>
    </row>
    <row r="113">
      <c r="A113" s="45">
        <v>45885.96978009259</v>
      </c>
      <c r="B113" s="7" t="s">
        <v>1984</v>
      </c>
      <c r="C113" s="7" t="s">
        <v>1864</v>
      </c>
      <c r="D113" s="74">
        <v>1.0</v>
      </c>
      <c r="E113" s="46"/>
      <c r="F113" s="47">
        <v>34.46</v>
      </c>
      <c r="G113" s="47">
        <v>0.0</v>
      </c>
      <c r="H113" s="7"/>
      <c r="I113" s="47">
        <v>1.3</v>
      </c>
      <c r="J113" s="8"/>
      <c r="K113" s="7"/>
      <c r="L113" s="7"/>
      <c r="M113" s="7"/>
      <c r="N113" s="7"/>
      <c r="O113" s="7" t="s">
        <v>1985</v>
      </c>
      <c r="P113" s="7"/>
      <c r="Q113" s="7" t="s">
        <v>1986</v>
      </c>
      <c r="R113" s="7" t="s">
        <v>493</v>
      </c>
      <c r="S113" s="65">
        <v>3294.0</v>
      </c>
      <c r="T113" s="7"/>
      <c r="U113" s="7"/>
    </row>
    <row r="114">
      <c r="A114" s="45">
        <v>45885.92586805556</v>
      </c>
      <c r="B114" s="7" t="s">
        <v>576</v>
      </c>
      <c r="C114" s="7" t="s">
        <v>1884</v>
      </c>
      <c r="D114" s="74">
        <v>2.0</v>
      </c>
      <c r="E114" s="46"/>
      <c r="F114" s="47">
        <v>49.98</v>
      </c>
      <c r="G114" s="47">
        <v>0.0</v>
      </c>
      <c r="H114" s="7"/>
      <c r="I114" s="47">
        <v>2.5</v>
      </c>
      <c r="J114" s="8"/>
      <c r="K114" s="7"/>
      <c r="L114" s="7"/>
      <c r="M114" s="7"/>
      <c r="N114" s="7"/>
      <c r="O114" s="7" t="s">
        <v>578</v>
      </c>
      <c r="P114" s="7" t="s">
        <v>579</v>
      </c>
      <c r="Q114" s="7" t="s">
        <v>580</v>
      </c>
      <c r="R114" s="7" t="s">
        <v>581</v>
      </c>
      <c r="S114" s="65">
        <v>3293.0</v>
      </c>
      <c r="T114" s="7"/>
      <c r="U114" s="7"/>
    </row>
    <row r="115">
      <c r="A115" s="45">
        <v>45885.88767361111</v>
      </c>
      <c r="B115" s="7" t="s">
        <v>1628</v>
      </c>
      <c r="C115" s="7" t="s">
        <v>1864</v>
      </c>
      <c r="D115" s="74">
        <v>1.0</v>
      </c>
      <c r="E115" s="46"/>
      <c r="F115" s="47">
        <v>24.99</v>
      </c>
      <c r="G115" s="47">
        <v>0.0</v>
      </c>
      <c r="H115" s="7"/>
      <c r="I115" s="47">
        <v>1.4</v>
      </c>
      <c r="J115" s="8"/>
      <c r="K115" s="7"/>
      <c r="L115" s="7"/>
      <c r="M115" s="7"/>
      <c r="N115" s="7"/>
      <c r="O115" s="7" t="s">
        <v>1629</v>
      </c>
      <c r="P115" s="7" t="s">
        <v>606</v>
      </c>
      <c r="Q115" s="7" t="s">
        <v>607</v>
      </c>
      <c r="R115" s="7" t="s">
        <v>542</v>
      </c>
      <c r="S115" s="65">
        <v>3291.0</v>
      </c>
      <c r="T115" s="7"/>
      <c r="U115" s="7"/>
    </row>
    <row r="116">
      <c r="A116" s="45">
        <v>45885.83063657407</v>
      </c>
      <c r="B116" s="7" t="s">
        <v>1987</v>
      </c>
      <c r="C116" s="7" t="s">
        <v>1864</v>
      </c>
      <c r="D116" s="74">
        <v>1.0</v>
      </c>
      <c r="E116" s="46"/>
      <c r="F116" s="47">
        <v>56.29</v>
      </c>
      <c r="G116" s="47">
        <v>0.0</v>
      </c>
      <c r="H116" s="7"/>
      <c r="I116" s="47">
        <v>2.78</v>
      </c>
      <c r="J116" s="8"/>
      <c r="K116" s="7"/>
      <c r="L116" s="7"/>
      <c r="M116" s="7"/>
      <c r="N116" s="7"/>
      <c r="O116" s="7" t="s">
        <v>1988</v>
      </c>
      <c r="P116" s="7"/>
      <c r="Q116" s="7" t="s">
        <v>1989</v>
      </c>
      <c r="R116" s="7" t="s">
        <v>617</v>
      </c>
      <c r="S116" s="65">
        <v>3290.0</v>
      </c>
      <c r="T116" s="7"/>
      <c r="U116" s="7"/>
    </row>
    <row r="117">
      <c r="A117" s="45">
        <v>45885.823125</v>
      </c>
      <c r="B117" s="7" t="s">
        <v>903</v>
      </c>
      <c r="C117" s="7" t="s">
        <v>1864</v>
      </c>
      <c r="D117" s="74">
        <v>1.0</v>
      </c>
      <c r="E117" s="46"/>
      <c r="F117" s="47">
        <v>24.99</v>
      </c>
      <c r="G117" s="47">
        <v>0.0</v>
      </c>
      <c r="H117" s="7"/>
      <c r="I117" s="47">
        <v>1.02</v>
      </c>
      <c r="J117" s="8"/>
      <c r="K117" s="7"/>
      <c r="L117" s="7"/>
      <c r="M117" s="7"/>
      <c r="N117" s="7"/>
      <c r="O117" s="7" t="s">
        <v>1990</v>
      </c>
      <c r="P117" s="7"/>
      <c r="Q117" s="7" t="s">
        <v>1991</v>
      </c>
      <c r="R117" s="7" t="s">
        <v>493</v>
      </c>
      <c r="S117" s="65">
        <v>3288.0</v>
      </c>
      <c r="T117" s="7"/>
      <c r="U117" s="7"/>
    </row>
    <row r="118">
      <c r="A118" s="45">
        <v>45885.81732638889</v>
      </c>
      <c r="B118" s="7" t="s">
        <v>1057</v>
      </c>
      <c r="C118" s="7" t="s">
        <v>1864</v>
      </c>
      <c r="D118" s="74">
        <v>1.0</v>
      </c>
      <c r="E118" s="46"/>
      <c r="F118" s="47">
        <v>24.99</v>
      </c>
      <c r="G118" s="47">
        <v>0.0</v>
      </c>
      <c r="H118" s="7"/>
      <c r="I118" s="47">
        <v>1.4</v>
      </c>
      <c r="J118" s="8"/>
      <c r="K118" s="7"/>
      <c r="L118" s="7"/>
      <c r="M118" s="7"/>
      <c r="N118" s="7"/>
      <c r="O118" s="7" t="s">
        <v>1058</v>
      </c>
      <c r="P118" s="7"/>
      <c r="Q118" s="7" t="s">
        <v>1059</v>
      </c>
      <c r="R118" s="7" t="s">
        <v>545</v>
      </c>
      <c r="S118" s="65">
        <v>3289.0</v>
      </c>
      <c r="T118" s="7"/>
      <c r="U118" s="7"/>
    </row>
    <row r="119">
      <c r="A119" s="45">
        <v>45885.78581018518</v>
      </c>
      <c r="B119" s="7" t="s">
        <v>307</v>
      </c>
      <c r="C119" s="7" t="s">
        <v>1864</v>
      </c>
      <c r="D119" s="74">
        <v>1.0</v>
      </c>
      <c r="E119" s="46"/>
      <c r="F119" s="47">
        <v>24.99</v>
      </c>
      <c r="G119" s="47">
        <v>0.0</v>
      </c>
      <c r="H119" s="7"/>
      <c r="I119" s="47">
        <v>1.4</v>
      </c>
      <c r="J119" s="8"/>
      <c r="K119" s="7"/>
      <c r="L119" s="7"/>
      <c r="M119" s="7"/>
      <c r="N119" s="7"/>
      <c r="O119" s="7" t="s">
        <v>1631</v>
      </c>
      <c r="P119" s="7"/>
      <c r="Q119" s="7" t="s">
        <v>995</v>
      </c>
      <c r="R119" s="7" t="s">
        <v>545</v>
      </c>
      <c r="S119" s="65">
        <v>3287.0</v>
      </c>
      <c r="T119" s="7"/>
      <c r="U119" s="7"/>
    </row>
    <row r="120">
      <c r="A120" s="45">
        <v>45885.78517361111</v>
      </c>
      <c r="B120" s="7" t="s">
        <v>161</v>
      </c>
      <c r="C120" s="7" t="s">
        <v>1864</v>
      </c>
      <c r="D120" s="74">
        <v>1.0</v>
      </c>
      <c r="E120" s="46"/>
      <c r="F120" s="47">
        <v>37.56</v>
      </c>
      <c r="G120" s="47">
        <v>0.0</v>
      </c>
      <c r="H120" s="7"/>
      <c r="I120" s="47">
        <v>1.39</v>
      </c>
      <c r="J120" s="8"/>
      <c r="K120" s="7"/>
      <c r="L120" s="7"/>
      <c r="M120" s="7"/>
      <c r="N120" s="7"/>
      <c r="O120" s="7" t="s">
        <v>776</v>
      </c>
      <c r="P120" s="7"/>
      <c r="Q120" s="7" t="s">
        <v>777</v>
      </c>
      <c r="R120" s="7" t="s">
        <v>493</v>
      </c>
      <c r="S120" s="65">
        <v>3286.0</v>
      </c>
      <c r="T120" s="7"/>
      <c r="U120" s="7"/>
    </row>
    <row r="121">
      <c r="A121" s="45">
        <v>45885.710324074076</v>
      </c>
      <c r="B121" s="7" t="s">
        <v>987</v>
      </c>
      <c r="C121" s="7" t="s">
        <v>1864</v>
      </c>
      <c r="D121" s="74">
        <v>1.0</v>
      </c>
      <c r="E121" s="46"/>
      <c r="F121" s="47">
        <v>24.99</v>
      </c>
      <c r="G121" s="47">
        <v>0.0</v>
      </c>
      <c r="H121" s="7"/>
      <c r="I121" s="47">
        <v>1.02</v>
      </c>
      <c r="J121" s="8"/>
      <c r="K121" s="7"/>
      <c r="L121" s="7"/>
      <c r="M121" s="7"/>
      <c r="N121" s="7"/>
      <c r="O121" s="7" t="s">
        <v>988</v>
      </c>
      <c r="P121" s="7"/>
      <c r="Q121" s="7" t="s">
        <v>989</v>
      </c>
      <c r="R121" s="7" t="s">
        <v>493</v>
      </c>
      <c r="S121" s="65">
        <v>3284.0</v>
      </c>
      <c r="T121" s="7"/>
      <c r="U121" s="7"/>
    </row>
    <row r="122">
      <c r="A122" s="45">
        <v>45885.677094907405</v>
      </c>
      <c r="B122" s="7" t="s">
        <v>911</v>
      </c>
      <c r="C122" s="7" t="s">
        <v>1864</v>
      </c>
      <c r="D122" s="74">
        <v>1.0</v>
      </c>
      <c r="E122" s="46"/>
      <c r="F122" s="47">
        <v>26.49</v>
      </c>
      <c r="G122" s="47">
        <v>0.0</v>
      </c>
      <c r="H122" s="7"/>
      <c r="I122" s="47">
        <v>1.07</v>
      </c>
      <c r="J122" s="8"/>
      <c r="K122" s="7"/>
      <c r="L122" s="7"/>
      <c r="M122" s="7"/>
      <c r="N122" s="7"/>
      <c r="O122" s="7" t="s">
        <v>912</v>
      </c>
      <c r="P122" s="7"/>
      <c r="Q122" s="7" t="s">
        <v>913</v>
      </c>
      <c r="R122" s="7" t="s">
        <v>493</v>
      </c>
      <c r="S122" s="65">
        <v>3283.0</v>
      </c>
      <c r="T122" s="7"/>
      <c r="U122" s="7"/>
    </row>
    <row r="123">
      <c r="A123" s="45">
        <v>45885.63518518519</v>
      </c>
      <c r="B123" s="7" t="s">
        <v>984</v>
      </c>
      <c r="C123" s="7" t="s">
        <v>1864</v>
      </c>
      <c r="D123" s="74">
        <v>1.0</v>
      </c>
      <c r="E123" s="46"/>
      <c r="F123" s="47">
        <v>24.99</v>
      </c>
      <c r="G123" s="47">
        <v>0.0</v>
      </c>
      <c r="H123" s="7"/>
      <c r="I123" s="47">
        <v>1.02</v>
      </c>
      <c r="J123" s="8"/>
      <c r="K123" s="7"/>
      <c r="L123" s="7"/>
      <c r="M123" s="7"/>
      <c r="N123" s="7"/>
      <c r="O123" s="7" t="s">
        <v>985</v>
      </c>
      <c r="P123" s="7"/>
      <c r="Q123" s="7" t="s">
        <v>986</v>
      </c>
      <c r="R123" s="7" t="s">
        <v>493</v>
      </c>
      <c r="S123" s="65">
        <v>3282.0</v>
      </c>
      <c r="T123" s="7"/>
      <c r="U123" s="7"/>
    </row>
    <row r="124">
      <c r="A124" s="45">
        <v>45885.622037037036</v>
      </c>
      <c r="B124" s="7" t="s">
        <v>688</v>
      </c>
      <c r="C124" s="7" t="s">
        <v>1864</v>
      </c>
      <c r="D124" s="74">
        <v>1.0</v>
      </c>
      <c r="E124" s="46"/>
      <c r="F124" s="47">
        <v>27.43</v>
      </c>
      <c r="G124" s="47">
        <v>0.0</v>
      </c>
      <c r="H124" s="7"/>
      <c r="I124" s="47">
        <v>1.1</v>
      </c>
      <c r="J124" s="8"/>
      <c r="K124" s="7"/>
      <c r="L124" s="7"/>
      <c r="M124" s="7"/>
      <c r="N124" s="7"/>
      <c r="O124" s="7" t="s">
        <v>689</v>
      </c>
      <c r="P124" s="7" t="s">
        <v>689</v>
      </c>
      <c r="Q124" s="7" t="s">
        <v>1992</v>
      </c>
      <c r="R124" s="7" t="s">
        <v>493</v>
      </c>
      <c r="S124" s="65">
        <v>3281.0</v>
      </c>
      <c r="T124" s="7"/>
      <c r="U124" s="7"/>
    </row>
    <row r="125">
      <c r="A125" s="45">
        <v>45885.6033912037</v>
      </c>
      <c r="B125" s="7" t="s">
        <v>1993</v>
      </c>
      <c r="C125" s="7" t="s">
        <v>1864</v>
      </c>
      <c r="D125" s="74">
        <v>1.0</v>
      </c>
      <c r="E125" s="46"/>
      <c r="F125" s="47">
        <v>24.99</v>
      </c>
      <c r="G125" s="47">
        <v>0.0</v>
      </c>
      <c r="H125" s="7"/>
      <c r="I125" s="47">
        <v>1.02</v>
      </c>
      <c r="J125" s="8"/>
      <c r="K125" s="7"/>
      <c r="L125" s="7"/>
      <c r="M125" s="7"/>
      <c r="N125" s="7"/>
      <c r="O125" s="7" t="s">
        <v>1994</v>
      </c>
      <c r="P125" s="7" t="s">
        <v>1560</v>
      </c>
      <c r="Q125" s="7" t="s">
        <v>1561</v>
      </c>
      <c r="R125" s="7" t="s">
        <v>493</v>
      </c>
      <c r="S125" s="65">
        <v>3280.0</v>
      </c>
      <c r="T125" s="7"/>
      <c r="U125" s="7"/>
    </row>
    <row r="126">
      <c r="A126" s="45">
        <v>45885.58846064815</v>
      </c>
      <c r="B126" s="7" t="s">
        <v>893</v>
      </c>
      <c r="C126" s="7" t="s">
        <v>1864</v>
      </c>
      <c r="D126" s="74">
        <v>1.0</v>
      </c>
      <c r="E126" s="46"/>
      <c r="F126" s="47">
        <v>24.99</v>
      </c>
      <c r="G126" s="47">
        <v>0.0</v>
      </c>
      <c r="H126" s="7"/>
      <c r="I126" s="47">
        <v>1.02</v>
      </c>
      <c r="J126" s="8"/>
      <c r="K126" s="7"/>
      <c r="L126" s="7"/>
      <c r="M126" s="7"/>
      <c r="N126" s="7"/>
      <c r="O126" s="7" t="s">
        <v>894</v>
      </c>
      <c r="P126" s="7"/>
      <c r="Q126" s="7" t="s">
        <v>895</v>
      </c>
      <c r="R126" s="7" t="s">
        <v>493</v>
      </c>
      <c r="S126" s="65">
        <v>3279.0</v>
      </c>
      <c r="T126" s="7"/>
      <c r="U126" s="7"/>
    </row>
    <row r="127">
      <c r="A127" s="45">
        <v>45885.496087962965</v>
      </c>
      <c r="B127" s="7" t="s">
        <v>1284</v>
      </c>
      <c r="C127" s="7" t="s">
        <v>1864</v>
      </c>
      <c r="D127" s="74">
        <v>1.0</v>
      </c>
      <c r="E127" s="46"/>
      <c r="F127" s="47">
        <v>24.99</v>
      </c>
      <c r="G127" s="47">
        <v>0.0</v>
      </c>
      <c r="H127" s="7"/>
      <c r="I127" s="47">
        <v>1.4</v>
      </c>
      <c r="J127" s="8"/>
      <c r="K127" s="7"/>
      <c r="L127" s="7"/>
      <c r="M127" s="7"/>
      <c r="N127" s="7"/>
      <c r="O127" s="7"/>
      <c r="P127" s="7"/>
      <c r="Q127" s="7"/>
      <c r="R127" s="7" t="s">
        <v>545</v>
      </c>
      <c r="S127" s="65">
        <v>3277.0</v>
      </c>
      <c r="T127" s="7"/>
      <c r="U127" s="7"/>
    </row>
    <row r="128">
      <c r="A128" s="45">
        <v>45885.47009259259</v>
      </c>
      <c r="B128" s="7" t="s">
        <v>1250</v>
      </c>
      <c r="C128" s="7" t="s">
        <v>1864</v>
      </c>
      <c r="D128" s="74">
        <v>1.0</v>
      </c>
      <c r="E128" s="46"/>
      <c r="F128" s="47">
        <v>24.99</v>
      </c>
      <c r="G128" s="47">
        <v>0.0</v>
      </c>
      <c r="H128" s="7"/>
      <c r="I128" s="47">
        <v>1.4</v>
      </c>
      <c r="J128" s="8"/>
      <c r="K128" s="7"/>
      <c r="L128" s="7"/>
      <c r="M128" s="7"/>
      <c r="N128" s="7"/>
      <c r="O128" s="7" t="s">
        <v>1622</v>
      </c>
      <c r="P128" s="7"/>
      <c r="Q128" s="7" t="s">
        <v>1252</v>
      </c>
      <c r="R128" s="7" t="s">
        <v>525</v>
      </c>
      <c r="S128" s="65">
        <v>3276.0</v>
      </c>
      <c r="T128" s="7"/>
      <c r="U128" s="7"/>
    </row>
    <row r="129">
      <c r="A129" s="45">
        <v>45885.36561342593</v>
      </c>
      <c r="B129" s="7" t="s">
        <v>192</v>
      </c>
      <c r="C129" s="7" t="s">
        <v>1864</v>
      </c>
      <c r="D129" s="74">
        <v>1.0</v>
      </c>
      <c r="E129" s="46"/>
      <c r="F129" s="47">
        <v>24.99</v>
      </c>
      <c r="G129" s="47">
        <v>0.0</v>
      </c>
      <c r="H129" s="7"/>
      <c r="I129" s="47">
        <v>1.4</v>
      </c>
      <c r="J129" s="8"/>
      <c r="K129" s="7"/>
      <c r="L129" s="7"/>
      <c r="M129" s="7"/>
      <c r="N129" s="7"/>
      <c r="O129" s="7" t="s">
        <v>1364</v>
      </c>
      <c r="P129" s="7"/>
      <c r="Q129" s="7" t="s">
        <v>1365</v>
      </c>
      <c r="R129" s="7" t="s">
        <v>525</v>
      </c>
      <c r="S129" s="65">
        <v>3275.0</v>
      </c>
      <c r="T129" s="7"/>
      <c r="U129" s="7"/>
    </row>
    <row r="130">
      <c r="A130" s="45">
        <v>45885.36530092593</v>
      </c>
      <c r="B130" s="7" t="s">
        <v>1669</v>
      </c>
      <c r="C130" s="7" t="s">
        <v>1864</v>
      </c>
      <c r="D130" s="74">
        <v>1.0</v>
      </c>
      <c r="E130" s="46"/>
      <c r="F130" s="47">
        <v>24.99</v>
      </c>
      <c r="G130" s="47">
        <v>0.0</v>
      </c>
      <c r="H130" s="7"/>
      <c r="I130" s="47">
        <v>1.4</v>
      </c>
      <c r="J130" s="8"/>
      <c r="K130" s="7"/>
      <c r="L130" s="7"/>
      <c r="M130" s="7"/>
      <c r="N130" s="7"/>
      <c r="O130" s="7" t="s">
        <v>1782</v>
      </c>
      <c r="P130" s="7" t="s">
        <v>707</v>
      </c>
      <c r="Q130" s="7" t="s">
        <v>708</v>
      </c>
      <c r="R130" s="7" t="s">
        <v>521</v>
      </c>
      <c r="S130" s="65">
        <v>3274.0</v>
      </c>
      <c r="T130" s="7"/>
      <c r="U130" s="7"/>
    </row>
    <row r="131">
      <c r="A131" s="45">
        <v>45885.3484837963</v>
      </c>
      <c r="B131" s="7" t="s">
        <v>663</v>
      </c>
      <c r="C131" s="7" t="s">
        <v>1864</v>
      </c>
      <c r="D131" s="74">
        <v>1.0</v>
      </c>
      <c r="E131" s="46"/>
      <c r="F131" s="47">
        <v>24.99</v>
      </c>
      <c r="G131" s="47">
        <v>0.0</v>
      </c>
      <c r="H131" s="7"/>
      <c r="I131" s="47">
        <v>1.4</v>
      </c>
      <c r="J131" s="8"/>
      <c r="K131" s="7"/>
      <c r="L131" s="7"/>
      <c r="M131" s="7"/>
      <c r="N131" s="7"/>
      <c r="O131" s="7" t="s">
        <v>664</v>
      </c>
      <c r="P131" s="7"/>
      <c r="Q131" s="7" t="s">
        <v>666</v>
      </c>
      <c r="R131" s="7" t="s">
        <v>617</v>
      </c>
      <c r="S131" s="65">
        <v>3273.0</v>
      </c>
      <c r="T131" s="7"/>
      <c r="U131" s="7"/>
    </row>
    <row r="132">
      <c r="A132" s="45">
        <v>45885.34479166667</v>
      </c>
      <c r="B132" s="7" t="s">
        <v>111</v>
      </c>
      <c r="C132" s="7" t="s">
        <v>1864</v>
      </c>
      <c r="D132" s="74">
        <v>1.0</v>
      </c>
      <c r="E132" s="46"/>
      <c r="F132" s="47">
        <v>27.68</v>
      </c>
      <c r="G132" s="47">
        <v>0.0</v>
      </c>
      <c r="H132" s="7"/>
      <c r="I132" s="47">
        <v>1.1</v>
      </c>
      <c r="J132" s="8"/>
      <c r="K132" s="7"/>
      <c r="L132" s="7"/>
      <c r="M132" s="7"/>
      <c r="N132" s="7"/>
      <c r="O132" s="7" t="s">
        <v>1553</v>
      </c>
      <c r="P132" s="7"/>
      <c r="Q132" s="7" t="s">
        <v>1554</v>
      </c>
      <c r="R132" s="7" t="s">
        <v>493</v>
      </c>
      <c r="S132" s="65">
        <v>3272.0</v>
      </c>
      <c r="T132" s="7"/>
      <c r="U132" s="7"/>
    </row>
    <row r="133">
      <c r="A133" s="45">
        <v>45885.297164351854</v>
      </c>
      <c r="B133" s="7" t="s">
        <v>147</v>
      </c>
      <c r="C133" s="7" t="s">
        <v>1864</v>
      </c>
      <c r="D133" s="74">
        <v>1.0</v>
      </c>
      <c r="E133" s="46"/>
      <c r="F133" s="47">
        <v>24.99</v>
      </c>
      <c r="G133" s="47">
        <v>0.0</v>
      </c>
      <c r="H133" s="7"/>
      <c r="I133" s="47">
        <v>1.4</v>
      </c>
      <c r="J133" s="8"/>
      <c r="K133" s="7"/>
      <c r="L133" s="7"/>
      <c r="M133" s="7"/>
      <c r="N133" s="7"/>
      <c r="O133" s="7" t="s">
        <v>1389</v>
      </c>
      <c r="P133" s="7" t="s">
        <v>1390</v>
      </c>
      <c r="Q133" s="7" t="s">
        <v>1391</v>
      </c>
      <c r="R133" s="7" t="s">
        <v>542</v>
      </c>
      <c r="S133" s="65">
        <v>3269.0</v>
      </c>
      <c r="T133" s="7"/>
      <c r="U133" s="7"/>
    </row>
    <row r="134">
      <c r="A134" s="45">
        <v>45885.28111111111</v>
      </c>
      <c r="B134" s="7" t="s">
        <v>216</v>
      </c>
      <c r="C134" s="7" t="s">
        <v>1864</v>
      </c>
      <c r="D134" s="74">
        <v>1.0</v>
      </c>
      <c r="E134" s="46"/>
      <c r="F134" s="47">
        <v>24.99</v>
      </c>
      <c r="G134" s="47">
        <v>0.0</v>
      </c>
      <c r="H134" s="7"/>
      <c r="I134" s="47">
        <v>1.4</v>
      </c>
      <c r="J134" s="8"/>
      <c r="K134" s="7"/>
      <c r="L134" s="7"/>
      <c r="M134" s="7"/>
      <c r="N134" s="7"/>
      <c r="O134" s="7" t="s">
        <v>1995</v>
      </c>
      <c r="P134" s="7"/>
      <c r="Q134" s="7" t="s">
        <v>1525</v>
      </c>
      <c r="R134" s="7" t="s">
        <v>525</v>
      </c>
      <c r="S134" s="65">
        <v>3267.0</v>
      </c>
      <c r="T134" s="7"/>
      <c r="U134" s="7"/>
    </row>
    <row r="135">
      <c r="A135" s="45">
        <v>45885.21210648148</v>
      </c>
      <c r="B135" s="7" t="s">
        <v>270</v>
      </c>
      <c r="C135" s="7" t="s">
        <v>1864</v>
      </c>
      <c r="D135" s="74">
        <v>1.0</v>
      </c>
      <c r="E135" s="46"/>
      <c r="F135" s="47">
        <v>27.43</v>
      </c>
      <c r="G135" s="47">
        <v>0.0</v>
      </c>
      <c r="H135" s="7"/>
      <c r="I135" s="47">
        <v>1.1</v>
      </c>
      <c r="J135" s="8"/>
      <c r="K135" s="7"/>
      <c r="L135" s="7"/>
      <c r="M135" s="7"/>
      <c r="N135" s="7"/>
      <c r="O135" s="7" t="s">
        <v>1569</v>
      </c>
      <c r="P135" s="7"/>
      <c r="Q135" s="7" t="s">
        <v>1570</v>
      </c>
      <c r="R135" s="7" t="s">
        <v>493</v>
      </c>
      <c r="S135" s="65">
        <v>3266.0</v>
      </c>
      <c r="T135" s="7"/>
      <c r="U135" s="7"/>
    </row>
    <row r="136">
      <c r="A136" s="45">
        <v>45885.197962962964</v>
      </c>
      <c r="B136" s="7" t="s">
        <v>1996</v>
      </c>
      <c r="C136" s="7" t="s">
        <v>1864</v>
      </c>
      <c r="D136" s="74">
        <v>1.0</v>
      </c>
      <c r="E136" s="46"/>
      <c r="F136" s="47">
        <v>24.99</v>
      </c>
      <c r="G136" s="47">
        <v>0.0</v>
      </c>
      <c r="H136" s="7"/>
      <c r="I136" s="47">
        <v>1.02</v>
      </c>
      <c r="J136" s="8"/>
      <c r="K136" s="7"/>
      <c r="L136" s="7"/>
      <c r="M136" s="7"/>
      <c r="N136" s="7"/>
      <c r="O136" s="7" t="s">
        <v>1997</v>
      </c>
      <c r="P136" s="7" t="s">
        <v>1998</v>
      </c>
      <c r="Q136" s="7" t="s">
        <v>1999</v>
      </c>
      <c r="R136" s="7" t="s">
        <v>493</v>
      </c>
      <c r="S136" s="65">
        <v>3264.0</v>
      </c>
      <c r="T136" s="7"/>
      <c r="U136" s="7"/>
    </row>
    <row r="137">
      <c r="A137" s="45">
        <v>45885.19740740741</v>
      </c>
      <c r="B137" s="7" t="s">
        <v>799</v>
      </c>
      <c r="C137" s="7" t="s">
        <v>1864</v>
      </c>
      <c r="D137" s="74">
        <v>1.0</v>
      </c>
      <c r="E137" s="46"/>
      <c r="F137" s="47">
        <v>24.99</v>
      </c>
      <c r="G137" s="47">
        <v>0.0</v>
      </c>
      <c r="H137" s="7"/>
      <c r="I137" s="47">
        <v>1.4</v>
      </c>
      <c r="J137" s="8"/>
      <c r="K137" s="7"/>
      <c r="L137" s="7"/>
      <c r="M137" s="7"/>
      <c r="N137" s="7"/>
      <c r="O137" s="7" t="s">
        <v>800</v>
      </c>
      <c r="P137" s="7"/>
      <c r="Q137" s="7" t="s">
        <v>620</v>
      </c>
      <c r="R137" s="7" t="s">
        <v>545</v>
      </c>
      <c r="S137" s="65">
        <v>3265.0</v>
      </c>
      <c r="T137" s="7"/>
      <c r="U137" s="7"/>
    </row>
    <row r="138">
      <c r="A138" s="45">
        <v>45885.18984953704</v>
      </c>
      <c r="B138" s="7" t="s">
        <v>866</v>
      </c>
      <c r="C138" s="7" t="s">
        <v>1864</v>
      </c>
      <c r="D138" s="74">
        <v>1.0</v>
      </c>
      <c r="E138" s="46"/>
      <c r="F138" s="47">
        <v>46.92</v>
      </c>
      <c r="G138" s="47">
        <v>0.0</v>
      </c>
      <c r="H138" s="7"/>
      <c r="I138" s="47">
        <v>2.36</v>
      </c>
      <c r="J138" s="8"/>
      <c r="K138" s="7"/>
      <c r="L138" s="7"/>
      <c r="M138" s="7"/>
      <c r="N138" s="7"/>
      <c r="O138" s="7" t="s">
        <v>867</v>
      </c>
      <c r="P138" s="7"/>
      <c r="Q138" s="7" t="s">
        <v>868</v>
      </c>
      <c r="R138" s="7" t="s">
        <v>545</v>
      </c>
      <c r="S138" s="65">
        <v>3263.0</v>
      </c>
      <c r="T138" s="7"/>
      <c r="U138" s="7"/>
    </row>
    <row r="139">
      <c r="A139" s="45">
        <v>45885.13182870371</v>
      </c>
      <c r="B139" s="7" t="s">
        <v>260</v>
      </c>
      <c r="C139" s="7" t="s">
        <v>1864</v>
      </c>
      <c r="D139" s="74">
        <v>1.0</v>
      </c>
      <c r="E139" s="46"/>
      <c r="F139" s="47">
        <v>24.99</v>
      </c>
      <c r="G139" s="47">
        <v>0.0</v>
      </c>
      <c r="H139" s="7"/>
      <c r="I139" s="47">
        <v>1.02</v>
      </c>
      <c r="J139" s="8"/>
      <c r="K139" s="7"/>
      <c r="L139" s="7"/>
      <c r="M139" s="7"/>
      <c r="N139" s="7"/>
      <c r="O139" s="7" t="s">
        <v>561</v>
      </c>
      <c r="P139" s="7" t="s">
        <v>562</v>
      </c>
      <c r="Q139" s="7" t="s">
        <v>563</v>
      </c>
      <c r="R139" s="7" t="s">
        <v>493</v>
      </c>
      <c r="S139" s="65">
        <v>3259.0</v>
      </c>
      <c r="T139" s="7"/>
      <c r="U139" s="7"/>
    </row>
    <row r="140">
      <c r="A140" s="45">
        <v>45885.123136574075</v>
      </c>
      <c r="B140" s="7" t="s">
        <v>1792</v>
      </c>
      <c r="C140" s="7" t="s">
        <v>1864</v>
      </c>
      <c r="D140" s="74">
        <v>1.0</v>
      </c>
      <c r="E140" s="46"/>
      <c r="F140" s="47">
        <v>24.99</v>
      </c>
      <c r="G140" s="47">
        <v>0.0</v>
      </c>
      <c r="H140" s="7"/>
      <c r="I140" s="47">
        <v>1.4</v>
      </c>
      <c r="J140" s="8"/>
      <c r="K140" s="7"/>
      <c r="L140" s="7"/>
      <c r="M140" s="7"/>
      <c r="N140" s="7"/>
      <c r="O140" s="7" t="s">
        <v>1793</v>
      </c>
      <c r="P140" s="7"/>
      <c r="Q140" s="7" t="s">
        <v>1794</v>
      </c>
      <c r="R140" s="7" t="s">
        <v>545</v>
      </c>
      <c r="S140" s="65">
        <v>3257.0</v>
      </c>
      <c r="T140" s="7"/>
      <c r="U140" s="7"/>
    </row>
    <row r="141">
      <c r="A141" s="45">
        <v>45885.11971064815</v>
      </c>
      <c r="B141" s="7" t="s">
        <v>189</v>
      </c>
      <c r="C141" s="7" t="s">
        <v>1864</v>
      </c>
      <c r="D141" s="74">
        <v>1.0</v>
      </c>
      <c r="E141" s="46"/>
      <c r="F141" s="47">
        <v>26.49</v>
      </c>
      <c r="G141" s="47">
        <v>0.0</v>
      </c>
      <c r="H141" s="7"/>
      <c r="I141" s="47">
        <v>1.07</v>
      </c>
      <c r="J141" s="8"/>
      <c r="K141" s="7"/>
      <c r="L141" s="7"/>
      <c r="M141" s="7"/>
      <c r="N141" s="7"/>
      <c r="O141" s="7" t="s">
        <v>491</v>
      </c>
      <c r="P141" s="7"/>
      <c r="Q141" s="7" t="s">
        <v>492</v>
      </c>
      <c r="R141" s="7" t="s">
        <v>493</v>
      </c>
      <c r="S141" s="65">
        <v>3256.0</v>
      </c>
      <c r="T141" s="7"/>
      <c r="U141" s="7"/>
    </row>
    <row r="142">
      <c r="A142" s="45">
        <v>45885.098125</v>
      </c>
      <c r="B142" s="7" t="s">
        <v>242</v>
      </c>
      <c r="C142" s="7" t="s">
        <v>1864</v>
      </c>
      <c r="D142" s="74">
        <v>1.0</v>
      </c>
      <c r="E142" s="46"/>
      <c r="F142" s="47">
        <v>24.99</v>
      </c>
      <c r="G142" s="47">
        <v>0.0</v>
      </c>
      <c r="H142" s="7"/>
      <c r="I142" s="47">
        <v>1.4</v>
      </c>
      <c r="J142" s="8"/>
      <c r="K142" s="7"/>
      <c r="L142" s="7"/>
      <c r="M142" s="7"/>
      <c r="N142" s="7"/>
      <c r="O142" s="7" t="s">
        <v>618</v>
      </c>
      <c r="P142" s="7" t="s">
        <v>2000</v>
      </c>
      <c r="Q142" s="7" t="s">
        <v>620</v>
      </c>
      <c r="R142" s="7" t="s">
        <v>545</v>
      </c>
      <c r="S142" s="65">
        <v>3255.0</v>
      </c>
      <c r="T142" s="7"/>
      <c r="U142" s="7"/>
    </row>
    <row r="143">
      <c r="A143" s="45">
        <v>45885.08319444444</v>
      </c>
      <c r="B143" s="7" t="s">
        <v>311</v>
      </c>
      <c r="C143" s="7" t="s">
        <v>1864</v>
      </c>
      <c r="D143" s="74">
        <v>1.0</v>
      </c>
      <c r="E143" s="46"/>
      <c r="F143" s="47">
        <v>24.99</v>
      </c>
      <c r="G143" s="47">
        <v>0.0</v>
      </c>
      <c r="H143" s="7"/>
      <c r="I143" s="47">
        <v>1.02</v>
      </c>
      <c r="J143" s="8"/>
      <c r="K143" s="7"/>
      <c r="L143" s="7"/>
      <c r="M143" s="7"/>
      <c r="N143" s="7"/>
      <c r="O143" s="7" t="s">
        <v>625</v>
      </c>
      <c r="P143" s="7"/>
      <c r="Q143" s="7" t="s">
        <v>626</v>
      </c>
      <c r="R143" s="7" t="s">
        <v>493</v>
      </c>
      <c r="S143" s="65">
        <v>3253.0</v>
      </c>
      <c r="T143" s="7"/>
      <c r="U143" s="7"/>
    </row>
    <row r="144">
      <c r="A144" s="45">
        <v>45885.07350694444</v>
      </c>
      <c r="B144" s="7" t="s">
        <v>1234</v>
      </c>
      <c r="C144" s="7" t="s">
        <v>1864</v>
      </c>
      <c r="D144" s="74">
        <v>1.0</v>
      </c>
      <c r="E144" s="46"/>
      <c r="F144" s="47">
        <v>24.99</v>
      </c>
      <c r="G144" s="47">
        <v>0.0</v>
      </c>
      <c r="H144" s="7"/>
      <c r="I144" s="47">
        <v>1.02</v>
      </c>
      <c r="J144" s="8"/>
      <c r="K144" s="7"/>
      <c r="L144" s="7"/>
      <c r="M144" s="7"/>
      <c r="N144" s="7"/>
      <c r="O144" s="7" t="s">
        <v>1235</v>
      </c>
      <c r="P144" s="7"/>
      <c r="Q144" s="7" t="s">
        <v>1236</v>
      </c>
      <c r="R144" s="7" t="s">
        <v>493</v>
      </c>
      <c r="S144" s="65">
        <v>3252.0</v>
      </c>
      <c r="T144" s="7"/>
      <c r="U144" s="7"/>
    </row>
    <row r="145">
      <c r="A145" s="45">
        <v>45885.0580787037</v>
      </c>
      <c r="B145" s="7" t="s">
        <v>736</v>
      </c>
      <c r="C145" s="7" t="s">
        <v>1864</v>
      </c>
      <c r="D145" s="74">
        <v>1.0</v>
      </c>
      <c r="E145" s="46"/>
      <c r="F145" s="47">
        <v>24.99</v>
      </c>
      <c r="G145" s="47">
        <v>0.0</v>
      </c>
      <c r="H145" s="7"/>
      <c r="I145" s="47">
        <v>1.4</v>
      </c>
      <c r="J145" s="8"/>
      <c r="K145" s="7"/>
      <c r="L145" s="7"/>
      <c r="M145" s="7"/>
      <c r="N145" s="7"/>
      <c r="O145" s="7" t="s">
        <v>737</v>
      </c>
      <c r="P145" s="65">
        <v>2.0</v>
      </c>
      <c r="Q145" s="7" t="s">
        <v>738</v>
      </c>
      <c r="R145" s="7" t="s">
        <v>51</v>
      </c>
      <c r="S145" s="65">
        <v>3250.0</v>
      </c>
      <c r="T145" s="7"/>
      <c r="U145" s="7"/>
    </row>
    <row r="146">
      <c r="A146" s="45">
        <v>45885.05451388889</v>
      </c>
      <c r="B146" s="7" t="s">
        <v>244</v>
      </c>
      <c r="C146" s="7" t="s">
        <v>1864</v>
      </c>
      <c r="D146" s="74">
        <v>1.0</v>
      </c>
      <c r="E146" s="46"/>
      <c r="F146" s="47">
        <v>38.23</v>
      </c>
      <c r="G146" s="47">
        <v>0.0</v>
      </c>
      <c r="H146" s="7"/>
      <c r="I146" s="47">
        <v>1.41</v>
      </c>
      <c r="J146" s="8"/>
      <c r="K146" s="7"/>
      <c r="L146" s="7"/>
      <c r="M146" s="7"/>
      <c r="N146" s="7"/>
      <c r="O146" s="7" t="s">
        <v>1151</v>
      </c>
      <c r="P146" s="7"/>
      <c r="Q146" s="7" t="s">
        <v>1152</v>
      </c>
      <c r="R146" s="7" t="s">
        <v>493</v>
      </c>
      <c r="S146" s="65">
        <v>3249.0</v>
      </c>
      <c r="T146" s="7"/>
      <c r="U146" s="7"/>
    </row>
    <row r="147">
      <c r="A147" s="45">
        <v>45885.03644675926</v>
      </c>
      <c r="B147" s="7" t="s">
        <v>1056</v>
      </c>
      <c r="C147" s="7" t="s">
        <v>1864</v>
      </c>
      <c r="D147" s="74">
        <v>1.0</v>
      </c>
      <c r="E147" s="46"/>
      <c r="F147" s="47">
        <v>24.99</v>
      </c>
      <c r="G147" s="47">
        <v>0.0</v>
      </c>
      <c r="H147" s="7"/>
      <c r="I147" s="47">
        <v>1.4</v>
      </c>
      <c r="J147" s="8"/>
      <c r="K147" s="7"/>
      <c r="L147" s="7"/>
      <c r="M147" s="7"/>
      <c r="N147" s="7"/>
      <c r="O147" s="7" t="s">
        <v>1587</v>
      </c>
      <c r="P147" s="7"/>
      <c r="Q147" s="7" t="s">
        <v>1588</v>
      </c>
      <c r="R147" s="7" t="s">
        <v>545</v>
      </c>
      <c r="S147" s="65">
        <v>3248.0</v>
      </c>
      <c r="T147" s="7"/>
      <c r="U147" s="7"/>
    </row>
    <row r="148">
      <c r="A148" s="45">
        <v>45885.03114583333</v>
      </c>
      <c r="B148" s="7" t="s">
        <v>460</v>
      </c>
      <c r="C148" s="7" t="s">
        <v>1864</v>
      </c>
      <c r="D148" s="74">
        <v>1.0</v>
      </c>
      <c r="E148" s="46"/>
      <c r="F148" s="47">
        <v>24.99</v>
      </c>
      <c r="G148" s="47">
        <v>0.0</v>
      </c>
      <c r="H148" s="7"/>
      <c r="I148" s="47">
        <v>1.4</v>
      </c>
      <c r="J148" s="8"/>
      <c r="K148" s="7"/>
      <c r="L148" s="7"/>
      <c r="M148" s="7"/>
      <c r="N148" s="7"/>
      <c r="O148" s="7" t="s">
        <v>763</v>
      </c>
      <c r="P148" s="7"/>
      <c r="Q148" s="7" t="s">
        <v>764</v>
      </c>
      <c r="R148" s="7" t="s">
        <v>542</v>
      </c>
      <c r="S148" s="65">
        <v>3247.0</v>
      </c>
      <c r="T148" s="7"/>
      <c r="U148" s="7"/>
    </row>
    <row r="149">
      <c r="A149" s="45">
        <v>45885.01787037037</v>
      </c>
      <c r="B149" s="7" t="s">
        <v>1044</v>
      </c>
      <c r="C149" s="7" t="s">
        <v>1864</v>
      </c>
      <c r="D149" s="74">
        <v>1.0</v>
      </c>
      <c r="E149" s="46"/>
      <c r="F149" s="47">
        <v>24.99</v>
      </c>
      <c r="G149" s="47">
        <v>0.0</v>
      </c>
      <c r="H149" s="7"/>
      <c r="I149" s="47">
        <v>1.4</v>
      </c>
      <c r="J149" s="8"/>
      <c r="K149" s="7"/>
      <c r="L149" s="7"/>
      <c r="M149" s="7"/>
      <c r="N149" s="7"/>
      <c r="O149" s="7" t="s">
        <v>1585</v>
      </c>
      <c r="P149" s="7" t="s">
        <v>1046</v>
      </c>
      <c r="Q149" s="7" t="s">
        <v>580</v>
      </c>
      <c r="R149" s="7" t="s">
        <v>581</v>
      </c>
      <c r="S149" s="65">
        <v>3246.0</v>
      </c>
      <c r="T149" s="7"/>
      <c r="U149" s="7"/>
    </row>
    <row r="150">
      <c r="A150" s="45">
        <v>45884.99145833333</v>
      </c>
      <c r="B150" s="7" t="s">
        <v>208</v>
      </c>
      <c r="C150" s="7" t="s">
        <v>1864</v>
      </c>
      <c r="D150" s="74">
        <v>1.0</v>
      </c>
      <c r="E150" s="46"/>
      <c r="F150" s="47">
        <v>24.99</v>
      </c>
      <c r="G150" s="47">
        <v>0.0</v>
      </c>
      <c r="H150" s="7"/>
      <c r="I150" s="47">
        <v>1.02</v>
      </c>
      <c r="J150" s="8"/>
      <c r="K150" s="7"/>
      <c r="L150" s="7"/>
      <c r="M150" s="7"/>
      <c r="N150" s="7"/>
      <c r="O150" s="7" t="s">
        <v>1278</v>
      </c>
      <c r="P150" s="7" t="s">
        <v>1279</v>
      </c>
      <c r="Q150" s="7" t="s">
        <v>1109</v>
      </c>
      <c r="R150" s="7" t="s">
        <v>493</v>
      </c>
      <c r="S150" s="65">
        <v>3245.0</v>
      </c>
      <c r="T150" s="7"/>
      <c r="U150" s="7"/>
    </row>
    <row r="151">
      <c r="A151" s="45">
        <v>45884.962222222224</v>
      </c>
      <c r="B151" s="7" t="s">
        <v>2001</v>
      </c>
      <c r="C151" s="7" t="s">
        <v>1864</v>
      </c>
      <c r="D151" s="74">
        <v>1.0</v>
      </c>
      <c r="E151" s="46"/>
      <c r="F151" s="47">
        <v>24.99</v>
      </c>
      <c r="G151" s="47">
        <v>0.0</v>
      </c>
      <c r="H151" s="7"/>
      <c r="I151" s="47">
        <v>1.02</v>
      </c>
      <c r="J151" s="8"/>
      <c r="K151" s="7"/>
      <c r="L151" s="7"/>
      <c r="M151" s="7"/>
      <c r="N151" s="7"/>
      <c r="O151" s="7" t="s">
        <v>675</v>
      </c>
      <c r="P151" s="7"/>
      <c r="Q151" s="7" t="s">
        <v>676</v>
      </c>
      <c r="R151" s="7" t="s">
        <v>493</v>
      </c>
      <c r="S151" s="65">
        <v>3241.0</v>
      </c>
      <c r="T151" s="7"/>
      <c r="U151" s="7"/>
    </row>
    <row r="152">
      <c r="A152" s="45">
        <v>45884.961006944446</v>
      </c>
      <c r="B152" s="7" t="s">
        <v>642</v>
      </c>
      <c r="C152" s="7" t="s">
        <v>1864</v>
      </c>
      <c r="D152" s="74">
        <v>1.0</v>
      </c>
      <c r="E152" s="46"/>
      <c r="F152" s="47">
        <v>24.99</v>
      </c>
      <c r="G152" s="47">
        <v>0.0</v>
      </c>
      <c r="H152" s="7"/>
      <c r="I152" s="47">
        <v>1.4</v>
      </c>
      <c r="J152" s="8"/>
      <c r="K152" s="7"/>
      <c r="L152" s="7"/>
      <c r="M152" s="7"/>
      <c r="N152" s="7"/>
      <c r="O152" s="7" t="s">
        <v>2002</v>
      </c>
      <c r="P152" s="7" t="s">
        <v>2003</v>
      </c>
      <c r="Q152" s="7" t="s">
        <v>645</v>
      </c>
      <c r="R152" s="7" t="s">
        <v>622</v>
      </c>
      <c r="S152" s="65">
        <v>3240.0</v>
      </c>
      <c r="T152" s="7"/>
      <c r="U152" s="7"/>
    </row>
    <row r="153">
      <c r="A153" s="45">
        <v>45884.95783564815</v>
      </c>
      <c r="B153" s="7" t="s">
        <v>908</v>
      </c>
      <c r="C153" s="7" t="s">
        <v>1864</v>
      </c>
      <c r="D153" s="74">
        <v>1.0</v>
      </c>
      <c r="E153" s="46"/>
      <c r="F153" s="47">
        <v>24.99</v>
      </c>
      <c r="G153" s="47">
        <v>0.0</v>
      </c>
      <c r="H153" s="7"/>
      <c r="I153" s="47">
        <v>1.4</v>
      </c>
      <c r="J153" s="8"/>
      <c r="K153" s="7"/>
      <c r="L153" s="7"/>
      <c r="M153" s="7"/>
      <c r="N153" s="7"/>
      <c r="O153" s="7" t="s">
        <v>909</v>
      </c>
      <c r="P153" s="7"/>
      <c r="Q153" s="7" t="s">
        <v>910</v>
      </c>
      <c r="R153" s="7" t="s">
        <v>545</v>
      </c>
      <c r="S153" s="65">
        <v>3238.0</v>
      </c>
      <c r="T153" s="7"/>
      <c r="U153" s="7"/>
    </row>
    <row r="154">
      <c r="A154" s="45">
        <v>45884.945752314816</v>
      </c>
      <c r="B154" s="7" t="s">
        <v>343</v>
      </c>
      <c r="C154" s="7" t="s">
        <v>1864</v>
      </c>
      <c r="D154" s="74">
        <v>1.0</v>
      </c>
      <c r="E154" s="46"/>
      <c r="F154" s="47">
        <v>24.99</v>
      </c>
      <c r="G154" s="47">
        <v>0.0</v>
      </c>
      <c r="H154" s="7"/>
      <c r="I154" s="47">
        <v>1.4</v>
      </c>
      <c r="J154" s="8"/>
      <c r="K154" s="7"/>
      <c r="L154" s="7"/>
      <c r="M154" s="7"/>
      <c r="N154" s="7"/>
      <c r="O154" s="7" t="s">
        <v>1655</v>
      </c>
      <c r="P154" s="65">
        <v>35.0</v>
      </c>
      <c r="Q154" s="7" t="s">
        <v>1065</v>
      </c>
      <c r="R154" s="7" t="s">
        <v>525</v>
      </c>
      <c r="S154" s="65">
        <v>3234.0</v>
      </c>
      <c r="T154" s="7"/>
      <c r="U154" s="7"/>
    </row>
    <row r="155">
      <c r="A155" s="45">
        <v>45884.938043981485</v>
      </c>
      <c r="B155" s="7" t="s">
        <v>232</v>
      </c>
      <c r="C155" s="7" t="s">
        <v>1864</v>
      </c>
      <c r="D155" s="74">
        <v>1.0</v>
      </c>
      <c r="E155" s="46"/>
      <c r="F155" s="47">
        <v>24.99</v>
      </c>
      <c r="G155" s="47">
        <v>0.0</v>
      </c>
      <c r="H155" s="7"/>
      <c r="I155" s="47">
        <v>1.02</v>
      </c>
      <c r="J155" s="8"/>
      <c r="K155" s="7"/>
      <c r="L155" s="7"/>
      <c r="M155" s="7"/>
      <c r="N155" s="7"/>
      <c r="O155" s="7" t="s">
        <v>1142</v>
      </c>
      <c r="P155" s="7"/>
      <c r="Q155" s="7" t="s">
        <v>567</v>
      </c>
      <c r="R155" s="7" t="s">
        <v>493</v>
      </c>
      <c r="S155" s="65">
        <v>3232.0</v>
      </c>
      <c r="T155" s="7"/>
      <c r="U155" s="7"/>
    </row>
    <row r="156">
      <c r="A156" s="45">
        <v>45884.93399305556</v>
      </c>
      <c r="B156" s="7" t="s">
        <v>756</v>
      </c>
      <c r="C156" s="7" t="s">
        <v>1864</v>
      </c>
      <c r="D156" s="74">
        <v>1.0</v>
      </c>
      <c r="E156" s="46"/>
      <c r="F156" s="47">
        <v>24.99</v>
      </c>
      <c r="G156" s="47">
        <v>0.0</v>
      </c>
      <c r="H156" s="7"/>
      <c r="I156" s="47">
        <v>1.02</v>
      </c>
      <c r="J156" s="8"/>
      <c r="K156" s="7"/>
      <c r="L156" s="7"/>
      <c r="M156" s="7"/>
      <c r="N156" s="7"/>
      <c r="O156" s="7" t="s">
        <v>757</v>
      </c>
      <c r="P156" s="7"/>
      <c r="Q156" s="7" t="s">
        <v>758</v>
      </c>
      <c r="R156" s="7" t="s">
        <v>493</v>
      </c>
      <c r="S156" s="65">
        <v>3231.0</v>
      </c>
      <c r="T156" s="7"/>
      <c r="U156" s="7"/>
    </row>
    <row r="157">
      <c r="A157" s="45">
        <v>45884.93146990741</v>
      </c>
      <c r="B157" s="7" t="s">
        <v>415</v>
      </c>
      <c r="C157" s="7" t="s">
        <v>1864</v>
      </c>
      <c r="D157" s="74">
        <v>1.0</v>
      </c>
      <c r="E157" s="46"/>
      <c r="F157" s="47">
        <v>24.99</v>
      </c>
      <c r="G157" s="47">
        <v>0.0</v>
      </c>
      <c r="H157" s="7"/>
      <c r="I157" s="47">
        <v>1.02</v>
      </c>
      <c r="J157" s="8"/>
      <c r="K157" s="7"/>
      <c r="L157" s="7"/>
      <c r="M157" s="7"/>
      <c r="N157" s="7"/>
      <c r="O157" s="7" t="s">
        <v>1060</v>
      </c>
      <c r="P157" s="7"/>
      <c r="Q157" s="7" t="s">
        <v>1061</v>
      </c>
      <c r="R157" s="7" t="s">
        <v>493</v>
      </c>
      <c r="S157" s="65">
        <v>3230.0</v>
      </c>
      <c r="T157" s="7"/>
      <c r="U157" s="7"/>
    </row>
    <row r="158">
      <c r="A158" s="45">
        <v>45884.91216435185</v>
      </c>
      <c r="B158" s="7" t="s">
        <v>883</v>
      </c>
      <c r="C158" s="7" t="s">
        <v>1864</v>
      </c>
      <c r="D158" s="74">
        <v>1.0</v>
      </c>
      <c r="E158" s="46"/>
      <c r="F158" s="47">
        <v>24.99</v>
      </c>
      <c r="G158" s="47">
        <v>0.0</v>
      </c>
      <c r="H158" s="7"/>
      <c r="I158" s="47">
        <v>1.4</v>
      </c>
      <c r="J158" s="8"/>
      <c r="K158" s="7"/>
      <c r="L158" s="7"/>
      <c r="M158" s="7"/>
      <c r="N158" s="7"/>
      <c r="O158" s="7" t="s">
        <v>884</v>
      </c>
      <c r="P158" s="7" t="s">
        <v>885</v>
      </c>
      <c r="Q158" s="7" t="s">
        <v>886</v>
      </c>
      <c r="R158" s="7" t="s">
        <v>521</v>
      </c>
      <c r="S158" s="65">
        <v>3227.0</v>
      </c>
      <c r="T158" s="7"/>
      <c r="U158" s="7"/>
    </row>
    <row r="159">
      <c r="A159" s="45">
        <v>45884.91207175926</v>
      </c>
      <c r="B159" s="7" t="s">
        <v>291</v>
      </c>
      <c r="C159" s="7" t="s">
        <v>1864</v>
      </c>
      <c r="D159" s="74">
        <v>1.0</v>
      </c>
      <c r="E159" s="46"/>
      <c r="F159" s="47">
        <v>24.99</v>
      </c>
      <c r="G159" s="47">
        <v>0.0</v>
      </c>
      <c r="H159" s="7"/>
      <c r="I159" s="47">
        <v>1.02</v>
      </c>
      <c r="J159" s="8"/>
      <c r="K159" s="7"/>
      <c r="L159" s="7"/>
      <c r="M159" s="7"/>
      <c r="N159" s="7"/>
      <c r="O159" s="7" t="s">
        <v>670</v>
      </c>
      <c r="P159" s="7"/>
      <c r="Q159" s="7" t="s">
        <v>671</v>
      </c>
      <c r="R159" s="7" t="s">
        <v>493</v>
      </c>
      <c r="S159" s="65">
        <v>3228.0</v>
      </c>
      <c r="T159" s="7"/>
      <c r="U159" s="7"/>
    </row>
    <row r="160">
      <c r="A160" s="45">
        <v>45884.90408564815</v>
      </c>
      <c r="B160" s="7" t="s">
        <v>1680</v>
      </c>
      <c r="C160" s="7" t="s">
        <v>1864</v>
      </c>
      <c r="D160" s="74">
        <v>1.0</v>
      </c>
      <c r="E160" s="46"/>
      <c r="F160" s="47">
        <v>37.25</v>
      </c>
      <c r="G160" s="47">
        <v>0.0</v>
      </c>
      <c r="H160" s="7"/>
      <c r="I160" s="47">
        <v>1.94</v>
      </c>
      <c r="J160" s="8"/>
      <c r="K160" s="7"/>
      <c r="L160" s="7"/>
      <c r="M160" s="7"/>
      <c r="N160" s="7"/>
      <c r="O160" s="7"/>
      <c r="P160" s="7"/>
      <c r="Q160" s="7"/>
      <c r="R160" s="7" t="s">
        <v>948</v>
      </c>
      <c r="S160" s="65">
        <v>3224.0</v>
      </c>
      <c r="T160" s="7"/>
      <c r="U160" s="7"/>
    </row>
    <row r="161">
      <c r="A161" s="45">
        <v>45884.90361111111</v>
      </c>
      <c r="B161" s="7" t="s">
        <v>1663</v>
      </c>
      <c r="C161" s="7" t="s">
        <v>1864</v>
      </c>
      <c r="D161" s="74">
        <v>1.0</v>
      </c>
      <c r="E161" s="46"/>
      <c r="F161" s="47">
        <v>24.99</v>
      </c>
      <c r="G161" s="47">
        <v>0.0</v>
      </c>
      <c r="H161" s="7"/>
      <c r="I161" s="47">
        <v>1.4</v>
      </c>
      <c r="J161" s="8"/>
      <c r="K161" s="7"/>
      <c r="L161" s="7"/>
      <c r="M161" s="7"/>
      <c r="N161" s="7"/>
      <c r="O161" s="7" t="s">
        <v>1322</v>
      </c>
      <c r="P161" s="7"/>
      <c r="Q161" s="7" t="s">
        <v>1664</v>
      </c>
      <c r="R161" s="7" t="s">
        <v>542</v>
      </c>
      <c r="S161" s="65">
        <v>3225.0</v>
      </c>
      <c r="T161" s="7"/>
      <c r="U161" s="7"/>
    </row>
    <row r="162">
      <c r="A162" s="45">
        <v>45884.895219907405</v>
      </c>
      <c r="B162" s="7" t="s">
        <v>178</v>
      </c>
      <c r="C162" s="7" t="s">
        <v>1864</v>
      </c>
      <c r="D162" s="74">
        <v>1.0</v>
      </c>
      <c r="E162" s="46"/>
      <c r="F162" s="47">
        <v>24.99</v>
      </c>
      <c r="G162" s="47">
        <v>0.0</v>
      </c>
      <c r="H162" s="7"/>
      <c r="I162" s="47">
        <v>1.02</v>
      </c>
      <c r="J162" s="8"/>
      <c r="K162" s="7"/>
      <c r="L162" s="7"/>
      <c r="M162" s="7"/>
      <c r="N162" s="7"/>
      <c r="O162" s="7" t="s">
        <v>700</v>
      </c>
      <c r="P162" s="7"/>
      <c r="Q162" s="7" t="s">
        <v>701</v>
      </c>
      <c r="R162" s="7" t="s">
        <v>493</v>
      </c>
      <c r="S162" s="65">
        <v>3222.0</v>
      </c>
      <c r="T162" s="7"/>
      <c r="U162" s="7"/>
    </row>
    <row r="163">
      <c r="A163" s="45">
        <v>45884.89266203704</v>
      </c>
      <c r="B163" s="7" t="s">
        <v>1446</v>
      </c>
      <c r="C163" s="7" t="s">
        <v>1864</v>
      </c>
      <c r="D163" s="74">
        <v>1.0</v>
      </c>
      <c r="E163" s="46"/>
      <c r="F163" s="47">
        <v>26.93</v>
      </c>
      <c r="G163" s="47">
        <v>0.0</v>
      </c>
      <c r="H163" s="7"/>
      <c r="I163" s="47">
        <v>1.08</v>
      </c>
      <c r="J163" s="8"/>
      <c r="K163" s="7"/>
      <c r="L163" s="7"/>
      <c r="M163" s="7"/>
      <c r="N163" s="7"/>
      <c r="O163" s="7" t="s">
        <v>1447</v>
      </c>
      <c r="P163" s="7"/>
      <c r="Q163" s="7" t="s">
        <v>1448</v>
      </c>
      <c r="R163" s="7" t="s">
        <v>493</v>
      </c>
      <c r="S163" s="65">
        <v>3221.0</v>
      </c>
      <c r="T163" s="7"/>
      <c r="U163" s="7"/>
    </row>
    <row r="164">
      <c r="A164" s="45">
        <v>45884.89024305555</v>
      </c>
      <c r="B164" s="7" t="s">
        <v>286</v>
      </c>
      <c r="C164" s="7" t="s">
        <v>1864</v>
      </c>
      <c r="D164" s="74">
        <v>1.0</v>
      </c>
      <c r="E164" s="46"/>
      <c r="F164" s="47">
        <v>24.99</v>
      </c>
      <c r="G164" s="47">
        <v>0.0</v>
      </c>
      <c r="H164" s="7"/>
      <c r="I164" s="47">
        <v>1.02</v>
      </c>
      <c r="J164" s="8"/>
      <c r="K164" s="7"/>
      <c r="L164" s="7"/>
      <c r="M164" s="7"/>
      <c r="N164" s="7"/>
      <c r="O164" s="7" t="s">
        <v>1357</v>
      </c>
      <c r="P164" s="7"/>
      <c r="Q164" s="7" t="s">
        <v>1358</v>
      </c>
      <c r="R164" s="7" t="s">
        <v>493</v>
      </c>
      <c r="S164" s="65">
        <v>3220.0</v>
      </c>
      <c r="T164" s="7"/>
      <c r="U164" s="7"/>
    </row>
    <row r="165">
      <c r="A165" s="45">
        <v>45884.87386574074</v>
      </c>
      <c r="B165" s="7" t="s">
        <v>2004</v>
      </c>
      <c r="C165" s="7" t="s">
        <v>1864</v>
      </c>
      <c r="D165" s="74">
        <v>1.0</v>
      </c>
      <c r="E165" s="46"/>
      <c r="F165" s="47">
        <v>34.46</v>
      </c>
      <c r="G165" s="47">
        <v>0.0</v>
      </c>
      <c r="H165" s="7"/>
      <c r="I165" s="47">
        <v>1.3</v>
      </c>
      <c r="J165" s="8"/>
      <c r="K165" s="7"/>
      <c r="L165" s="7"/>
      <c r="M165" s="7"/>
      <c r="N165" s="7"/>
      <c r="O165" s="7" t="s">
        <v>2005</v>
      </c>
      <c r="P165" s="7"/>
      <c r="Q165" s="7" t="s">
        <v>1007</v>
      </c>
      <c r="R165" s="7" t="s">
        <v>493</v>
      </c>
      <c r="S165" s="65">
        <v>3217.0</v>
      </c>
      <c r="T165" s="7"/>
      <c r="U165" s="7"/>
    </row>
    <row r="166">
      <c r="A166" s="45">
        <v>45884.87244212963</v>
      </c>
      <c r="B166" s="7" t="s">
        <v>2006</v>
      </c>
      <c r="C166" s="7" t="s">
        <v>1864</v>
      </c>
      <c r="D166" s="74">
        <v>1.0</v>
      </c>
      <c r="E166" s="46"/>
      <c r="F166" s="47">
        <v>56.29</v>
      </c>
      <c r="G166" s="47">
        <v>0.0</v>
      </c>
      <c r="H166" s="7"/>
      <c r="I166" s="47">
        <v>2.78</v>
      </c>
      <c r="J166" s="8"/>
      <c r="K166" s="7"/>
      <c r="L166" s="7"/>
      <c r="M166" s="7"/>
      <c r="N166" s="7"/>
      <c r="O166" s="7" t="s">
        <v>2007</v>
      </c>
      <c r="P166" s="7"/>
      <c r="Q166" s="7" t="s">
        <v>2008</v>
      </c>
      <c r="R166" s="7" t="s">
        <v>726</v>
      </c>
      <c r="S166" s="65">
        <v>3215.0</v>
      </c>
      <c r="T166" s="7"/>
      <c r="U166" s="7"/>
    </row>
    <row r="167">
      <c r="A167" s="45">
        <v>45884.872141203705</v>
      </c>
      <c r="B167" s="7" t="s">
        <v>204</v>
      </c>
      <c r="C167" s="7" t="s">
        <v>1864</v>
      </c>
      <c r="D167" s="74">
        <v>1.0</v>
      </c>
      <c r="E167" s="46"/>
      <c r="F167" s="47">
        <v>24.99</v>
      </c>
      <c r="G167" s="47">
        <v>0.0</v>
      </c>
      <c r="H167" s="7"/>
      <c r="I167" s="47">
        <v>1.4</v>
      </c>
      <c r="J167" s="8"/>
      <c r="K167" s="7"/>
      <c r="L167" s="7"/>
      <c r="M167" s="7"/>
      <c r="N167" s="7"/>
      <c r="O167" s="7" t="s">
        <v>1113</v>
      </c>
      <c r="P167" s="65">
        <v>46.0</v>
      </c>
      <c r="Q167" s="7" t="s">
        <v>1114</v>
      </c>
      <c r="R167" s="7" t="s">
        <v>525</v>
      </c>
      <c r="S167" s="65">
        <v>3216.0</v>
      </c>
      <c r="T167" s="7"/>
      <c r="U167" s="7"/>
    </row>
    <row r="168">
      <c r="A168" s="45">
        <v>45884.85309027778</v>
      </c>
      <c r="B168" s="7" t="s">
        <v>132</v>
      </c>
      <c r="C168" s="7" t="s">
        <v>1864</v>
      </c>
      <c r="D168" s="74">
        <v>1.0</v>
      </c>
      <c r="E168" s="46"/>
      <c r="F168" s="47">
        <v>24.99</v>
      </c>
      <c r="G168" s="47">
        <v>0.0</v>
      </c>
      <c r="H168" s="7"/>
      <c r="I168" s="47">
        <v>1.4</v>
      </c>
      <c r="J168" s="8"/>
      <c r="K168" s="7"/>
      <c r="L168" s="7"/>
      <c r="M168" s="7"/>
      <c r="N168" s="7"/>
      <c r="O168" s="7" t="s">
        <v>821</v>
      </c>
      <c r="P168" s="7"/>
      <c r="Q168" s="7" t="s">
        <v>822</v>
      </c>
      <c r="R168" s="7" t="s">
        <v>823</v>
      </c>
      <c r="S168" s="65">
        <v>3213.0</v>
      </c>
      <c r="T168" s="7"/>
      <c r="U168" s="7"/>
    </row>
    <row r="169">
      <c r="A169" s="45">
        <v>45884.852743055555</v>
      </c>
      <c r="B169" s="7" t="s">
        <v>306</v>
      </c>
      <c r="C169" s="7" t="s">
        <v>1864</v>
      </c>
      <c r="D169" s="74">
        <v>1.0</v>
      </c>
      <c r="E169" s="46"/>
      <c r="F169" s="47">
        <v>46.67</v>
      </c>
      <c r="G169" s="47">
        <v>0.0</v>
      </c>
      <c r="H169" s="7"/>
      <c r="I169" s="47">
        <v>2.35</v>
      </c>
      <c r="J169" s="8"/>
      <c r="K169" s="7"/>
      <c r="L169" s="7"/>
      <c r="M169" s="7"/>
      <c r="N169" s="7"/>
      <c r="O169" s="7" t="s">
        <v>2009</v>
      </c>
      <c r="P169" s="7"/>
      <c r="Q169" s="7" t="s">
        <v>809</v>
      </c>
      <c r="R169" s="7" t="s">
        <v>545</v>
      </c>
      <c r="S169" s="65">
        <v>3212.0</v>
      </c>
      <c r="T169" s="7"/>
      <c r="U169" s="7"/>
    </row>
    <row r="170">
      <c r="A170" s="45">
        <v>45884.85255787037</v>
      </c>
      <c r="B170" s="7" t="s">
        <v>272</v>
      </c>
      <c r="C170" s="7" t="s">
        <v>1864</v>
      </c>
      <c r="D170" s="74">
        <v>1.0</v>
      </c>
      <c r="E170" s="46"/>
      <c r="F170" s="47">
        <v>24.99</v>
      </c>
      <c r="G170" s="47">
        <v>0.0</v>
      </c>
      <c r="H170" s="7"/>
      <c r="I170" s="47">
        <v>1.4</v>
      </c>
      <c r="J170" s="8"/>
      <c r="K170" s="7"/>
      <c r="L170" s="7"/>
      <c r="M170" s="7"/>
      <c r="N170" s="7"/>
      <c r="O170" s="7" t="s">
        <v>1131</v>
      </c>
      <c r="P170" s="7"/>
      <c r="Q170" s="7" t="s">
        <v>1132</v>
      </c>
      <c r="R170" s="7" t="s">
        <v>545</v>
      </c>
      <c r="S170" s="65">
        <v>3211.0</v>
      </c>
      <c r="T170" s="7"/>
      <c r="U170" s="7"/>
    </row>
    <row r="171">
      <c r="A171" s="45">
        <v>45884.85209490741</v>
      </c>
      <c r="B171" s="7" t="s">
        <v>160</v>
      </c>
      <c r="C171" s="7" t="s">
        <v>1864</v>
      </c>
      <c r="D171" s="74">
        <v>1.0</v>
      </c>
      <c r="E171" s="46"/>
      <c r="F171" s="47">
        <v>24.99</v>
      </c>
      <c r="G171" s="47">
        <v>0.0</v>
      </c>
      <c r="H171" s="7"/>
      <c r="I171" s="47">
        <v>1.4</v>
      </c>
      <c r="J171" s="8"/>
      <c r="K171" s="7"/>
      <c r="L171" s="7"/>
      <c r="M171" s="7"/>
      <c r="N171" s="7"/>
      <c r="O171" s="7" t="s">
        <v>2010</v>
      </c>
      <c r="P171" s="7" t="s">
        <v>2011</v>
      </c>
      <c r="Q171" s="7" t="s">
        <v>2012</v>
      </c>
      <c r="R171" s="7" t="s">
        <v>542</v>
      </c>
      <c r="S171" s="65">
        <v>3210.0</v>
      </c>
      <c r="T171" s="7"/>
      <c r="U171" s="7"/>
    </row>
    <row r="172">
      <c r="A172" s="45">
        <v>45884.84693287037</v>
      </c>
      <c r="B172" s="7" t="s">
        <v>287</v>
      </c>
      <c r="C172" s="7" t="s">
        <v>1864</v>
      </c>
      <c r="D172" s="74">
        <v>1.0</v>
      </c>
      <c r="E172" s="46"/>
      <c r="F172" s="47">
        <v>24.99</v>
      </c>
      <c r="G172" s="47">
        <v>0.0</v>
      </c>
      <c r="H172" s="7"/>
      <c r="I172" s="47">
        <v>1.02</v>
      </c>
      <c r="J172" s="8"/>
      <c r="K172" s="7"/>
      <c r="L172" s="7"/>
      <c r="M172" s="7"/>
      <c r="N172" s="7"/>
      <c r="O172" s="7"/>
      <c r="P172" s="7"/>
      <c r="Q172" s="7"/>
      <c r="R172" s="7" t="s">
        <v>493</v>
      </c>
      <c r="S172" s="65">
        <v>3208.0</v>
      </c>
      <c r="T172" s="7"/>
      <c r="U172" s="7"/>
    </row>
    <row r="173">
      <c r="A173" s="45">
        <v>45884.84601851852</v>
      </c>
      <c r="B173" s="7" t="s">
        <v>2013</v>
      </c>
      <c r="C173" s="7" t="s">
        <v>1864</v>
      </c>
      <c r="D173" s="74">
        <v>1.0</v>
      </c>
      <c r="E173" s="46"/>
      <c r="F173" s="47">
        <v>34.46</v>
      </c>
      <c r="G173" s="47">
        <v>0.0</v>
      </c>
      <c r="H173" s="7"/>
      <c r="I173" s="47">
        <v>1.3</v>
      </c>
      <c r="J173" s="8"/>
      <c r="K173" s="7"/>
      <c r="L173" s="7"/>
      <c r="M173" s="7"/>
      <c r="N173" s="7"/>
      <c r="O173" s="7" t="s">
        <v>2014</v>
      </c>
      <c r="P173" s="7"/>
      <c r="Q173" s="7" t="s">
        <v>591</v>
      </c>
      <c r="R173" s="7" t="s">
        <v>493</v>
      </c>
      <c r="S173" s="65">
        <v>3209.0</v>
      </c>
      <c r="T173" s="7"/>
      <c r="U173" s="7"/>
    </row>
    <row r="174">
      <c r="A174" s="45">
        <v>45884.83918981482</v>
      </c>
      <c r="B174" s="7" t="s">
        <v>369</v>
      </c>
      <c r="C174" s="7" t="s">
        <v>1864</v>
      </c>
      <c r="D174" s="74">
        <v>1.0</v>
      </c>
      <c r="E174" s="46"/>
      <c r="F174" s="47">
        <v>24.99</v>
      </c>
      <c r="G174" s="47">
        <v>0.0</v>
      </c>
      <c r="H174" s="7"/>
      <c r="I174" s="47">
        <v>1.02</v>
      </c>
      <c r="J174" s="8"/>
      <c r="K174" s="7"/>
      <c r="L174" s="7"/>
      <c r="M174" s="7"/>
      <c r="N174" s="7"/>
      <c r="O174" s="7" t="s">
        <v>845</v>
      </c>
      <c r="P174" s="7"/>
      <c r="Q174" s="7" t="s">
        <v>846</v>
      </c>
      <c r="R174" s="7" t="s">
        <v>493</v>
      </c>
      <c r="S174" s="65">
        <v>3206.0</v>
      </c>
      <c r="T174" s="7"/>
      <c r="U174" s="7"/>
    </row>
    <row r="175">
      <c r="A175" s="45">
        <v>45884.83872685185</v>
      </c>
      <c r="B175" s="7" t="s">
        <v>448</v>
      </c>
      <c r="C175" s="7" t="s">
        <v>1864</v>
      </c>
      <c r="D175" s="74">
        <v>1.0</v>
      </c>
      <c r="E175" s="46"/>
      <c r="F175" s="47">
        <v>24.99</v>
      </c>
      <c r="G175" s="47">
        <v>0.0</v>
      </c>
      <c r="H175" s="7"/>
      <c r="I175" s="47">
        <v>1.02</v>
      </c>
      <c r="J175" s="8"/>
      <c r="K175" s="7"/>
      <c r="L175" s="7"/>
      <c r="M175" s="7"/>
      <c r="N175" s="7"/>
      <c r="O175" s="7" t="s">
        <v>803</v>
      </c>
      <c r="P175" s="7"/>
      <c r="Q175" s="7" t="s">
        <v>732</v>
      </c>
      <c r="R175" s="7" t="s">
        <v>493</v>
      </c>
      <c r="S175" s="65">
        <v>3205.0</v>
      </c>
      <c r="T175" s="7"/>
      <c r="U175" s="7"/>
    </row>
    <row r="176">
      <c r="A176" s="45">
        <v>45884.826840277776</v>
      </c>
      <c r="B176" s="7" t="s">
        <v>1153</v>
      </c>
      <c r="C176" s="7" t="s">
        <v>1864</v>
      </c>
      <c r="D176" s="74">
        <v>1.0</v>
      </c>
      <c r="E176" s="46"/>
      <c r="F176" s="47">
        <v>24.99</v>
      </c>
      <c r="G176" s="47">
        <v>0.0</v>
      </c>
      <c r="H176" s="7"/>
      <c r="I176" s="47">
        <v>1.02</v>
      </c>
      <c r="J176" s="8"/>
      <c r="K176" s="7"/>
      <c r="L176" s="7"/>
      <c r="M176" s="7"/>
      <c r="N176" s="7"/>
      <c r="O176" s="7" t="s">
        <v>1154</v>
      </c>
      <c r="P176" s="7"/>
      <c r="Q176" s="7" t="s">
        <v>1155</v>
      </c>
      <c r="R176" s="7" t="s">
        <v>493</v>
      </c>
      <c r="S176" s="65">
        <v>3203.0</v>
      </c>
      <c r="T176" s="7"/>
      <c r="U176" s="7"/>
    </row>
    <row r="177">
      <c r="A177" s="45">
        <v>45884.82506944444</v>
      </c>
      <c r="B177" s="7" t="s">
        <v>1594</v>
      </c>
      <c r="C177" s="7" t="s">
        <v>1864</v>
      </c>
      <c r="D177" s="74">
        <v>1.0</v>
      </c>
      <c r="E177" s="46"/>
      <c r="F177" s="47">
        <v>24.99</v>
      </c>
      <c r="G177" s="47">
        <v>0.0</v>
      </c>
      <c r="H177" s="7"/>
      <c r="I177" s="47">
        <v>1.02</v>
      </c>
      <c r="J177" s="8"/>
      <c r="K177" s="7"/>
      <c r="L177" s="7"/>
      <c r="M177" s="7"/>
      <c r="N177" s="7"/>
      <c r="O177" s="7" t="s">
        <v>1595</v>
      </c>
      <c r="P177" s="7"/>
      <c r="Q177" s="7" t="s">
        <v>1596</v>
      </c>
      <c r="R177" s="7" t="s">
        <v>493</v>
      </c>
      <c r="S177" s="65">
        <v>3202.0</v>
      </c>
      <c r="T177" s="7"/>
      <c r="U177" s="7"/>
    </row>
    <row r="178">
      <c r="A178" s="45">
        <v>45884.81953703704</v>
      </c>
      <c r="B178" s="7" t="s">
        <v>175</v>
      </c>
      <c r="C178" s="7" t="s">
        <v>1864</v>
      </c>
      <c r="D178" s="74">
        <v>1.0</v>
      </c>
      <c r="E178" s="46"/>
      <c r="F178" s="47">
        <v>64.19</v>
      </c>
      <c r="G178" s="47">
        <v>0.0</v>
      </c>
      <c r="H178" s="7"/>
      <c r="I178" s="47">
        <v>3.12</v>
      </c>
      <c r="J178" s="8"/>
      <c r="K178" s="7"/>
      <c r="L178" s="7"/>
      <c r="M178" s="7"/>
      <c r="N178" s="7"/>
      <c r="O178" s="7" t="s">
        <v>2015</v>
      </c>
      <c r="P178" s="65">
        <v>49.0</v>
      </c>
      <c r="Q178" s="7" t="s">
        <v>2016</v>
      </c>
      <c r="R178" s="7" t="s">
        <v>823</v>
      </c>
      <c r="S178" s="65">
        <v>3196.0</v>
      </c>
      <c r="T178" s="7"/>
      <c r="U178" s="7"/>
    </row>
    <row r="179">
      <c r="A179" s="45">
        <v>45884.81761574074</v>
      </c>
      <c r="B179" s="7" t="s">
        <v>744</v>
      </c>
      <c r="C179" s="7" t="s">
        <v>1864</v>
      </c>
      <c r="D179" s="74">
        <v>1.0</v>
      </c>
      <c r="E179" s="46"/>
      <c r="F179" s="47">
        <v>24.99</v>
      </c>
      <c r="G179" s="47">
        <v>0.0</v>
      </c>
      <c r="H179" s="7"/>
      <c r="I179" s="47">
        <v>1.02</v>
      </c>
      <c r="J179" s="8"/>
      <c r="K179" s="7"/>
      <c r="L179" s="7"/>
      <c r="M179" s="7"/>
      <c r="N179" s="7"/>
      <c r="O179" s="7" t="s">
        <v>1604</v>
      </c>
      <c r="P179" s="7"/>
      <c r="Q179" s="7" t="s">
        <v>746</v>
      </c>
      <c r="R179" s="7" t="s">
        <v>493</v>
      </c>
      <c r="S179" s="65">
        <v>3197.0</v>
      </c>
      <c r="T179" s="7"/>
      <c r="U179" s="7"/>
    </row>
    <row r="180">
      <c r="A180" s="45">
        <v>45884.81628472222</v>
      </c>
      <c r="B180" s="7" t="s">
        <v>1784</v>
      </c>
      <c r="C180" s="7" t="s">
        <v>1864</v>
      </c>
      <c r="D180" s="74">
        <v>1.0</v>
      </c>
      <c r="E180" s="46"/>
      <c r="F180" s="47">
        <v>27.43</v>
      </c>
      <c r="G180" s="47">
        <v>0.0</v>
      </c>
      <c r="H180" s="7"/>
      <c r="I180" s="47">
        <v>1.1</v>
      </c>
      <c r="J180" s="8"/>
      <c r="K180" s="7"/>
      <c r="L180" s="7"/>
      <c r="M180" s="7"/>
      <c r="N180" s="7"/>
      <c r="O180" s="7" t="s">
        <v>1785</v>
      </c>
      <c r="P180" s="65">
        <v>116.0</v>
      </c>
      <c r="Q180" s="7" t="s">
        <v>1787</v>
      </c>
      <c r="R180" s="7" t="s">
        <v>493</v>
      </c>
      <c r="S180" s="65">
        <v>3194.0</v>
      </c>
      <c r="T180" s="7"/>
      <c r="U180" s="7"/>
    </row>
    <row r="181">
      <c r="A181" s="45">
        <v>45884.81350694445</v>
      </c>
      <c r="B181" s="7" t="s">
        <v>1267</v>
      </c>
      <c r="C181" s="7" t="s">
        <v>1864</v>
      </c>
      <c r="D181" s="74">
        <v>1.0</v>
      </c>
      <c r="E181" s="46"/>
      <c r="F181" s="47">
        <v>26.49</v>
      </c>
      <c r="G181" s="47">
        <v>0.0</v>
      </c>
      <c r="H181" s="7"/>
      <c r="I181" s="47">
        <v>1.07</v>
      </c>
      <c r="J181" s="8"/>
      <c r="K181" s="7"/>
      <c r="L181" s="7"/>
      <c r="M181" s="7"/>
      <c r="N181" s="7"/>
      <c r="O181" s="7" t="s">
        <v>1268</v>
      </c>
      <c r="P181" s="7"/>
      <c r="Q181" s="7" t="s">
        <v>1049</v>
      </c>
      <c r="R181" s="7" t="s">
        <v>493</v>
      </c>
      <c r="S181" s="65">
        <v>3192.0</v>
      </c>
      <c r="T181" s="7"/>
      <c r="U181" s="7"/>
    </row>
    <row r="182">
      <c r="A182" s="45">
        <v>45884.80923611111</v>
      </c>
      <c r="B182" s="7" t="s">
        <v>399</v>
      </c>
      <c r="C182" s="7" t="s">
        <v>1864</v>
      </c>
      <c r="D182" s="74">
        <v>1.0</v>
      </c>
      <c r="E182" s="46"/>
      <c r="F182" s="47">
        <v>24.99</v>
      </c>
      <c r="G182" s="47">
        <v>0.0</v>
      </c>
      <c r="H182" s="7"/>
      <c r="I182" s="47">
        <v>1.02</v>
      </c>
      <c r="J182" s="8"/>
      <c r="K182" s="7"/>
      <c r="L182" s="7"/>
      <c r="M182" s="7"/>
      <c r="N182" s="7"/>
      <c r="O182" s="7" t="s">
        <v>1654</v>
      </c>
      <c r="P182" s="7" t="s">
        <v>1215</v>
      </c>
      <c r="Q182" s="7" t="s">
        <v>1320</v>
      </c>
      <c r="R182" s="7" t="s">
        <v>493</v>
      </c>
      <c r="S182" s="65">
        <v>3189.0</v>
      </c>
      <c r="T182" s="7"/>
      <c r="U182" s="7"/>
    </row>
    <row r="183">
      <c r="A183" s="45">
        <v>45884.80920138889</v>
      </c>
      <c r="B183" s="7" t="s">
        <v>1222</v>
      </c>
      <c r="C183" s="7" t="s">
        <v>1864</v>
      </c>
      <c r="D183" s="74">
        <v>1.0</v>
      </c>
      <c r="E183" s="46"/>
      <c r="F183" s="47">
        <v>24.99</v>
      </c>
      <c r="G183" s="47">
        <v>0.0</v>
      </c>
      <c r="H183" s="7"/>
      <c r="I183" s="47">
        <v>1.4</v>
      </c>
      <c r="J183" s="8"/>
      <c r="K183" s="7"/>
      <c r="L183" s="7"/>
      <c r="M183" s="7"/>
      <c r="N183" s="7"/>
      <c r="O183" s="7" t="s">
        <v>1223</v>
      </c>
      <c r="P183" s="7"/>
      <c r="Q183" s="7" t="s">
        <v>1224</v>
      </c>
      <c r="R183" s="7" t="s">
        <v>823</v>
      </c>
      <c r="S183" s="65">
        <v>3190.0</v>
      </c>
      <c r="T183" s="7"/>
      <c r="U183" s="7"/>
    </row>
    <row r="184">
      <c r="A184" s="45">
        <v>45884.8080787037</v>
      </c>
      <c r="B184" s="7" t="s">
        <v>397</v>
      </c>
      <c r="C184" s="7" t="s">
        <v>1864</v>
      </c>
      <c r="D184" s="74">
        <v>1.0</v>
      </c>
      <c r="E184" s="46"/>
      <c r="F184" s="47">
        <v>56.29</v>
      </c>
      <c r="G184" s="47">
        <v>0.0</v>
      </c>
      <c r="H184" s="7"/>
      <c r="I184" s="47">
        <v>2.78</v>
      </c>
      <c r="J184" s="8"/>
      <c r="K184" s="7"/>
      <c r="L184" s="7"/>
      <c r="M184" s="7"/>
      <c r="N184" s="7"/>
      <c r="O184" s="7" t="s">
        <v>2017</v>
      </c>
      <c r="P184" s="7"/>
      <c r="Q184" s="7" t="s">
        <v>2018</v>
      </c>
      <c r="R184" s="7" t="s">
        <v>525</v>
      </c>
      <c r="S184" s="65">
        <v>3188.0</v>
      </c>
      <c r="T184" s="7"/>
      <c r="U184" s="7"/>
    </row>
    <row r="185">
      <c r="A185" s="45">
        <v>45884.80546296296</v>
      </c>
      <c r="B185" s="7" t="s">
        <v>930</v>
      </c>
      <c r="C185" s="7" t="s">
        <v>1864</v>
      </c>
      <c r="D185" s="74">
        <v>1.0</v>
      </c>
      <c r="E185" s="46"/>
      <c r="F185" s="47">
        <v>24.99</v>
      </c>
      <c r="G185" s="47">
        <v>0.0</v>
      </c>
      <c r="H185" s="7"/>
      <c r="I185" s="47">
        <v>1.4</v>
      </c>
      <c r="J185" s="8"/>
      <c r="K185" s="7"/>
      <c r="L185" s="7"/>
      <c r="M185" s="7"/>
      <c r="N185" s="7"/>
      <c r="O185" s="7" t="s">
        <v>931</v>
      </c>
      <c r="P185" s="7"/>
      <c r="Q185" s="7" t="s">
        <v>932</v>
      </c>
      <c r="R185" s="7" t="s">
        <v>525</v>
      </c>
      <c r="S185" s="65">
        <v>3185.0</v>
      </c>
      <c r="T185" s="7"/>
      <c r="U185" s="7"/>
    </row>
    <row r="186">
      <c r="A186" s="45">
        <v>45884.80451388889</v>
      </c>
      <c r="B186" s="7" t="s">
        <v>2019</v>
      </c>
      <c r="C186" s="7" t="s">
        <v>1864</v>
      </c>
      <c r="D186" s="74">
        <v>1.0</v>
      </c>
      <c r="E186" s="46"/>
      <c r="F186" s="47">
        <v>24.99</v>
      </c>
      <c r="G186" s="47">
        <v>0.0</v>
      </c>
      <c r="H186" s="7"/>
      <c r="I186" s="47">
        <v>1.02</v>
      </c>
      <c r="J186" s="8"/>
      <c r="K186" s="7"/>
      <c r="L186" s="7"/>
      <c r="M186" s="7"/>
      <c r="N186" s="7"/>
      <c r="O186" s="7" t="s">
        <v>1535</v>
      </c>
      <c r="P186" s="7"/>
      <c r="Q186" s="7" t="s">
        <v>552</v>
      </c>
      <c r="R186" s="7" t="s">
        <v>493</v>
      </c>
      <c r="S186" s="65">
        <v>3184.0</v>
      </c>
      <c r="T186" s="7"/>
      <c r="U186" s="7"/>
    </row>
    <row r="187">
      <c r="A187" s="45">
        <v>45884.8044212963</v>
      </c>
      <c r="B187" s="7" t="s">
        <v>133</v>
      </c>
      <c r="C187" s="7" t="s">
        <v>1864</v>
      </c>
      <c r="D187" s="74">
        <v>1.0</v>
      </c>
      <c r="E187" s="46"/>
      <c r="F187" s="47">
        <v>24.99</v>
      </c>
      <c r="G187" s="47">
        <v>0.0</v>
      </c>
      <c r="H187" s="7"/>
      <c r="I187" s="47">
        <v>1.02</v>
      </c>
      <c r="J187" s="8"/>
      <c r="K187" s="7"/>
      <c r="L187" s="7"/>
      <c r="M187" s="7"/>
      <c r="N187" s="7"/>
      <c r="O187" s="7" t="s">
        <v>843</v>
      </c>
      <c r="P187" s="7"/>
      <c r="Q187" s="7" t="s">
        <v>844</v>
      </c>
      <c r="R187" s="7" t="s">
        <v>493</v>
      </c>
      <c r="S187" s="65">
        <v>3186.0</v>
      </c>
      <c r="T187" s="7"/>
      <c r="U187" s="7"/>
    </row>
    <row r="188">
      <c r="A188" s="45">
        <v>45884.79893518519</v>
      </c>
      <c r="B188" s="7" t="s">
        <v>1017</v>
      </c>
      <c r="C188" s="7" t="s">
        <v>1864</v>
      </c>
      <c r="D188" s="74">
        <v>1.0</v>
      </c>
      <c r="E188" s="46"/>
      <c r="F188" s="47">
        <v>26.93</v>
      </c>
      <c r="G188" s="47">
        <v>0.0</v>
      </c>
      <c r="H188" s="7"/>
      <c r="I188" s="47">
        <v>1.08</v>
      </c>
      <c r="J188" s="8"/>
      <c r="K188" s="7"/>
      <c r="L188" s="7"/>
      <c r="M188" s="7"/>
      <c r="N188" s="7"/>
      <c r="O188" s="7" t="s">
        <v>1018</v>
      </c>
      <c r="P188" s="7" t="s">
        <v>2020</v>
      </c>
      <c r="Q188" s="7" t="s">
        <v>1020</v>
      </c>
      <c r="R188" s="7" t="s">
        <v>493</v>
      </c>
      <c r="S188" s="65">
        <v>3181.0</v>
      </c>
      <c r="T188" s="7"/>
      <c r="U188" s="7"/>
    </row>
    <row r="189">
      <c r="A189" s="45">
        <v>45884.79121527778</v>
      </c>
      <c r="B189" s="7" t="s">
        <v>2021</v>
      </c>
      <c r="C189" s="7" t="s">
        <v>1864</v>
      </c>
      <c r="D189" s="74">
        <v>1.0</v>
      </c>
      <c r="E189" s="46"/>
      <c r="F189" s="47">
        <v>56.29</v>
      </c>
      <c r="G189" s="47">
        <v>0.0</v>
      </c>
      <c r="H189" s="7"/>
      <c r="I189" s="47">
        <v>2.78</v>
      </c>
      <c r="J189" s="8"/>
      <c r="K189" s="7"/>
      <c r="L189" s="7"/>
      <c r="M189" s="7"/>
      <c r="N189" s="7"/>
      <c r="O189" s="7"/>
      <c r="P189" s="7"/>
      <c r="Q189" s="7"/>
      <c r="R189" s="7" t="s">
        <v>525</v>
      </c>
      <c r="S189" s="65">
        <v>3174.0</v>
      </c>
      <c r="T189" s="7"/>
      <c r="U189" s="7"/>
    </row>
    <row r="190">
      <c r="A190" s="45">
        <v>45884.79040509259</v>
      </c>
      <c r="B190" s="7" t="s">
        <v>150</v>
      </c>
      <c r="C190" s="7" t="s">
        <v>1864</v>
      </c>
      <c r="D190" s="74">
        <v>1.0</v>
      </c>
      <c r="E190" s="46"/>
      <c r="F190" s="47">
        <v>24.99</v>
      </c>
      <c r="G190" s="47">
        <v>0.0</v>
      </c>
      <c r="H190" s="7"/>
      <c r="I190" s="47">
        <v>1.02</v>
      </c>
      <c r="J190" s="8"/>
      <c r="K190" s="7"/>
      <c r="L190" s="7"/>
      <c r="M190" s="7"/>
      <c r="N190" s="7"/>
      <c r="O190" s="7" t="s">
        <v>768</v>
      </c>
      <c r="P190" s="7"/>
      <c r="Q190" s="7" t="s">
        <v>769</v>
      </c>
      <c r="R190" s="7" t="s">
        <v>493</v>
      </c>
      <c r="S190" s="65">
        <v>3179.0</v>
      </c>
      <c r="T190" s="7"/>
      <c r="U190" s="7"/>
    </row>
    <row r="191">
      <c r="A191" s="45">
        <v>45884.79004629629</v>
      </c>
      <c r="B191" s="7" t="s">
        <v>1574</v>
      </c>
      <c r="C191" s="7" t="s">
        <v>1864</v>
      </c>
      <c r="D191" s="74">
        <v>1.0</v>
      </c>
      <c r="E191" s="46"/>
      <c r="F191" s="47">
        <v>24.99</v>
      </c>
      <c r="G191" s="47">
        <v>0.0</v>
      </c>
      <c r="H191" s="7"/>
      <c r="I191" s="47">
        <v>1.02</v>
      </c>
      <c r="J191" s="8"/>
      <c r="K191" s="7"/>
      <c r="L191" s="7"/>
      <c r="M191" s="7"/>
      <c r="N191" s="7"/>
      <c r="O191" s="7" t="s">
        <v>1575</v>
      </c>
      <c r="P191" s="7"/>
      <c r="Q191" s="7" t="s">
        <v>1576</v>
      </c>
      <c r="R191" s="7" t="s">
        <v>493</v>
      </c>
      <c r="S191" s="65">
        <v>3175.0</v>
      </c>
      <c r="T191" s="7"/>
      <c r="U191" s="7"/>
    </row>
    <row r="192">
      <c r="A192" s="45">
        <v>45884.789768518516</v>
      </c>
      <c r="B192" s="7" t="s">
        <v>592</v>
      </c>
      <c r="C192" s="7" t="s">
        <v>1864</v>
      </c>
      <c r="D192" s="74">
        <v>1.0</v>
      </c>
      <c r="E192" s="46"/>
      <c r="F192" s="47">
        <v>27.61</v>
      </c>
      <c r="G192" s="47">
        <v>0.0</v>
      </c>
      <c r="H192" s="7"/>
      <c r="I192" s="47">
        <v>1.1</v>
      </c>
      <c r="J192" s="8"/>
      <c r="K192" s="7"/>
      <c r="L192" s="7"/>
      <c r="M192" s="7"/>
      <c r="N192" s="7"/>
      <c r="O192" s="7" t="s">
        <v>593</v>
      </c>
      <c r="P192" s="7"/>
      <c r="Q192" s="7" t="s">
        <v>594</v>
      </c>
      <c r="R192" s="7" t="s">
        <v>493</v>
      </c>
      <c r="S192" s="65">
        <v>3178.0</v>
      </c>
      <c r="T192" s="7"/>
      <c r="U192" s="7"/>
    </row>
    <row r="193">
      <c r="A193" s="45">
        <v>45884.78888888889</v>
      </c>
      <c r="B193" s="7" t="s">
        <v>1216</v>
      </c>
      <c r="C193" s="7" t="s">
        <v>1864</v>
      </c>
      <c r="D193" s="74">
        <v>1.0</v>
      </c>
      <c r="E193" s="46"/>
      <c r="F193" s="47">
        <v>38.23</v>
      </c>
      <c r="G193" s="47">
        <v>0.0</v>
      </c>
      <c r="H193" s="7"/>
      <c r="I193" s="47">
        <v>1.41</v>
      </c>
      <c r="J193" s="8"/>
      <c r="K193" s="7"/>
      <c r="L193" s="7"/>
      <c r="M193" s="7"/>
      <c r="N193" s="7"/>
      <c r="O193" s="7" t="s">
        <v>1217</v>
      </c>
      <c r="P193" s="7"/>
      <c r="Q193" s="7" t="s">
        <v>1769</v>
      </c>
      <c r="R193" s="7" t="s">
        <v>493</v>
      </c>
      <c r="S193" s="65">
        <v>3176.0</v>
      </c>
      <c r="T193" s="7"/>
      <c r="U193" s="7"/>
    </row>
    <row r="194">
      <c r="A194" s="45">
        <v>45884.78530092593</v>
      </c>
      <c r="B194" s="7" t="s">
        <v>438</v>
      </c>
      <c r="C194" s="7" t="s">
        <v>1864</v>
      </c>
      <c r="D194" s="74">
        <v>1.0</v>
      </c>
      <c r="E194" s="46"/>
      <c r="F194" s="47">
        <v>24.99</v>
      </c>
      <c r="G194" s="47">
        <v>0.0</v>
      </c>
      <c r="H194" s="7"/>
      <c r="I194" s="47">
        <v>1.4</v>
      </c>
      <c r="J194" s="8"/>
      <c r="K194" s="7"/>
      <c r="L194" s="7"/>
      <c r="M194" s="7"/>
      <c r="N194" s="7"/>
      <c r="O194" s="7" t="s">
        <v>1415</v>
      </c>
      <c r="P194" s="65">
        <v>14.0</v>
      </c>
      <c r="Q194" s="7" t="s">
        <v>1417</v>
      </c>
      <c r="R194" s="7" t="s">
        <v>497</v>
      </c>
      <c r="S194" s="65">
        <v>3173.0</v>
      </c>
      <c r="T194" s="7"/>
      <c r="U194" s="7"/>
    </row>
    <row r="195">
      <c r="A195" s="45">
        <v>45884.78466435185</v>
      </c>
      <c r="B195" s="7" t="s">
        <v>1245</v>
      </c>
      <c r="C195" s="7" t="s">
        <v>1864</v>
      </c>
      <c r="D195" s="74">
        <v>1.0</v>
      </c>
      <c r="E195" s="46"/>
      <c r="F195" s="47">
        <v>24.99</v>
      </c>
      <c r="G195" s="47">
        <v>0.0</v>
      </c>
      <c r="H195" s="7"/>
      <c r="I195" s="47">
        <v>1.02</v>
      </c>
      <c r="J195" s="8"/>
      <c r="K195" s="7"/>
      <c r="L195" s="7"/>
      <c r="M195" s="7"/>
      <c r="N195" s="7"/>
      <c r="O195" s="7" t="s">
        <v>1246</v>
      </c>
      <c r="P195" s="7"/>
      <c r="Q195" s="7" t="s">
        <v>1247</v>
      </c>
      <c r="R195" s="7" t="s">
        <v>493</v>
      </c>
      <c r="S195" s="65">
        <v>3170.0</v>
      </c>
      <c r="T195" s="7"/>
      <c r="U195" s="7"/>
    </row>
    <row r="196">
      <c r="A196" s="45">
        <v>45884.78369212963</v>
      </c>
      <c r="B196" s="7" t="s">
        <v>293</v>
      </c>
      <c r="C196" s="7" t="s">
        <v>1864</v>
      </c>
      <c r="D196" s="74">
        <v>1.0</v>
      </c>
      <c r="E196" s="46"/>
      <c r="F196" s="47">
        <v>24.99</v>
      </c>
      <c r="G196" s="47">
        <v>0.0</v>
      </c>
      <c r="H196" s="7"/>
      <c r="I196" s="47">
        <v>1.4</v>
      </c>
      <c r="J196" s="8"/>
      <c r="K196" s="7"/>
      <c r="L196" s="7"/>
      <c r="M196" s="7"/>
      <c r="N196" s="7"/>
      <c r="O196" s="7" t="s">
        <v>1579</v>
      </c>
      <c r="P196" s="7" t="s">
        <v>1580</v>
      </c>
      <c r="Q196" s="7" t="s">
        <v>1581</v>
      </c>
      <c r="R196" s="7" t="s">
        <v>542</v>
      </c>
      <c r="S196" s="65">
        <v>3164.0</v>
      </c>
      <c r="T196" s="7"/>
      <c r="U196" s="7"/>
    </row>
    <row r="197">
      <c r="A197" s="45">
        <v>45884.78369212963</v>
      </c>
      <c r="B197" s="7" t="s">
        <v>61</v>
      </c>
      <c r="C197" s="7" t="s">
        <v>1864</v>
      </c>
      <c r="D197" s="74">
        <v>1.0</v>
      </c>
      <c r="E197" s="46"/>
      <c r="F197" s="47">
        <v>24.99</v>
      </c>
      <c r="G197" s="47">
        <v>0.0</v>
      </c>
      <c r="H197" s="7"/>
      <c r="I197" s="47">
        <v>1.02</v>
      </c>
      <c r="J197" s="8"/>
      <c r="K197" s="7"/>
      <c r="L197" s="7"/>
      <c r="M197" s="7"/>
      <c r="N197" s="7"/>
      <c r="O197" s="7" t="s">
        <v>1228</v>
      </c>
      <c r="P197" s="7"/>
      <c r="Q197" s="7" t="s">
        <v>1229</v>
      </c>
      <c r="R197" s="7" t="s">
        <v>493</v>
      </c>
      <c r="S197" s="65">
        <v>3167.0</v>
      </c>
      <c r="T197" s="7"/>
      <c r="U197" s="7"/>
    </row>
    <row r="198">
      <c r="A198" s="45">
        <v>45884.78277777778</v>
      </c>
      <c r="B198" s="7" t="s">
        <v>860</v>
      </c>
      <c r="C198" s="7" t="s">
        <v>1864</v>
      </c>
      <c r="D198" s="74">
        <v>1.0</v>
      </c>
      <c r="E198" s="46"/>
      <c r="F198" s="47">
        <v>24.99</v>
      </c>
      <c r="G198" s="47">
        <v>0.0</v>
      </c>
      <c r="H198" s="7"/>
      <c r="I198" s="47">
        <v>1.02</v>
      </c>
      <c r="J198" s="8"/>
      <c r="K198" s="7"/>
      <c r="L198" s="7"/>
      <c r="M198" s="7"/>
      <c r="N198" s="7"/>
      <c r="O198" s="7" t="s">
        <v>861</v>
      </c>
      <c r="P198" s="7"/>
      <c r="Q198" s="7" t="s">
        <v>862</v>
      </c>
      <c r="R198" s="7" t="s">
        <v>493</v>
      </c>
      <c r="S198" s="65">
        <v>3166.0</v>
      </c>
      <c r="T198" s="7"/>
      <c r="U198" s="7"/>
    </row>
    <row r="199">
      <c r="A199" s="45">
        <v>45884.782488425924</v>
      </c>
      <c r="B199" s="7" t="s">
        <v>783</v>
      </c>
      <c r="C199" s="7" t="s">
        <v>1864</v>
      </c>
      <c r="D199" s="74">
        <v>1.0</v>
      </c>
      <c r="E199" s="46"/>
      <c r="F199" s="47">
        <v>24.99</v>
      </c>
      <c r="G199" s="47">
        <v>0.0</v>
      </c>
      <c r="H199" s="7"/>
      <c r="I199" s="47">
        <v>1.02</v>
      </c>
      <c r="J199" s="8"/>
      <c r="K199" s="7"/>
      <c r="L199" s="7"/>
      <c r="M199" s="7"/>
      <c r="N199" s="7"/>
      <c r="O199" s="7" t="s">
        <v>784</v>
      </c>
      <c r="P199" s="7"/>
      <c r="Q199" s="7" t="s">
        <v>785</v>
      </c>
      <c r="R199" s="7" t="s">
        <v>493</v>
      </c>
      <c r="S199" s="65">
        <v>3163.0</v>
      </c>
      <c r="T199" s="7"/>
      <c r="U199" s="7"/>
    </row>
    <row r="200">
      <c r="A200" s="45">
        <v>45884.77465277778</v>
      </c>
      <c r="B200" s="7" t="s">
        <v>1738</v>
      </c>
      <c r="C200" s="67" t="s">
        <v>2022</v>
      </c>
      <c r="D200" s="74">
        <v>1.0</v>
      </c>
      <c r="E200" s="74">
        <v>1.0</v>
      </c>
      <c r="F200" s="47">
        <v>124.99</v>
      </c>
      <c r="G200" s="47">
        <v>0.0</v>
      </c>
      <c r="H200" s="7"/>
      <c r="I200" s="47">
        <v>5.8</v>
      </c>
      <c r="J200" s="8"/>
      <c r="K200" s="7"/>
      <c r="L200" s="7"/>
      <c r="M200" s="7"/>
      <c r="N200" s="7"/>
      <c r="O200" s="7" t="s">
        <v>2023</v>
      </c>
      <c r="P200" s="7" t="s">
        <v>2024</v>
      </c>
      <c r="Q200" s="7" t="s">
        <v>998</v>
      </c>
      <c r="R200" s="7" t="s">
        <v>497</v>
      </c>
      <c r="S200" s="65">
        <v>3150.0</v>
      </c>
      <c r="T200" s="7"/>
      <c r="U200" s="7"/>
    </row>
    <row r="201">
      <c r="A201" s="45">
        <v>45884.773935185185</v>
      </c>
      <c r="B201" s="7" t="s">
        <v>2025</v>
      </c>
      <c r="C201" s="7" t="s">
        <v>1864</v>
      </c>
      <c r="D201" s="74">
        <v>1.0</v>
      </c>
      <c r="E201" s="46"/>
      <c r="F201" s="47">
        <v>26.8</v>
      </c>
      <c r="G201" s="47">
        <v>0.0</v>
      </c>
      <c r="H201" s="7"/>
      <c r="I201" s="47">
        <v>1.08</v>
      </c>
      <c r="J201" s="8"/>
      <c r="K201" s="7"/>
      <c r="L201" s="7"/>
      <c r="M201" s="7"/>
      <c r="N201" s="7"/>
      <c r="O201" s="7" t="s">
        <v>1751</v>
      </c>
      <c r="P201" s="7"/>
      <c r="Q201" s="7" t="s">
        <v>1752</v>
      </c>
      <c r="R201" s="7" t="s">
        <v>493</v>
      </c>
      <c r="S201" s="65">
        <v>3149.0</v>
      </c>
      <c r="T201" s="7"/>
      <c r="U201" s="7"/>
    </row>
    <row r="202">
      <c r="A202" s="45">
        <v>45884.771516203706</v>
      </c>
      <c r="B202" s="7" t="s">
        <v>733</v>
      </c>
      <c r="C202" s="7" t="s">
        <v>1864</v>
      </c>
      <c r="D202" s="74">
        <v>1.0</v>
      </c>
      <c r="E202" s="46"/>
      <c r="F202" s="47">
        <v>24.99</v>
      </c>
      <c r="G202" s="47">
        <v>0.0</v>
      </c>
      <c r="H202" s="7"/>
      <c r="I202" s="47">
        <v>1.4</v>
      </c>
      <c r="J202" s="8"/>
      <c r="K202" s="7"/>
      <c r="L202" s="7"/>
      <c r="M202" s="7"/>
      <c r="N202" s="7"/>
      <c r="O202" s="7" t="s">
        <v>734</v>
      </c>
      <c r="P202" s="7"/>
      <c r="Q202" s="7" t="s">
        <v>735</v>
      </c>
      <c r="R202" s="7" t="s">
        <v>545</v>
      </c>
      <c r="S202" s="65">
        <v>3148.0</v>
      </c>
      <c r="T202" s="7"/>
      <c r="U202" s="7"/>
    </row>
    <row r="203">
      <c r="A203" s="45">
        <v>45884.77070601852</v>
      </c>
      <c r="B203" s="7" t="s">
        <v>223</v>
      </c>
      <c r="C203" s="67" t="s">
        <v>2022</v>
      </c>
      <c r="D203" s="74">
        <v>1.0</v>
      </c>
      <c r="E203" s="74">
        <v>1.0</v>
      </c>
      <c r="F203" s="47">
        <v>124.99</v>
      </c>
      <c r="G203" s="47">
        <v>0.0</v>
      </c>
      <c r="H203" s="7"/>
      <c r="I203" s="47">
        <v>3.92</v>
      </c>
      <c r="J203" s="8"/>
      <c r="K203" s="7"/>
      <c r="L203" s="7"/>
      <c r="M203" s="7"/>
      <c r="N203" s="7"/>
      <c r="O203" s="7" t="s">
        <v>940</v>
      </c>
      <c r="P203" s="7"/>
      <c r="Q203" s="7" t="s">
        <v>941</v>
      </c>
      <c r="R203" s="7" t="s">
        <v>493</v>
      </c>
      <c r="S203" s="65">
        <v>3146.0</v>
      </c>
      <c r="T203" s="7"/>
      <c r="U203" s="7"/>
    </row>
    <row r="204">
      <c r="A204" s="45">
        <v>45884.770370370374</v>
      </c>
      <c r="B204" s="7" t="s">
        <v>134</v>
      </c>
      <c r="C204" s="7" t="s">
        <v>1864</v>
      </c>
      <c r="D204" s="74">
        <v>1.0</v>
      </c>
      <c r="E204" s="46"/>
      <c r="F204" s="47">
        <v>24.99</v>
      </c>
      <c r="G204" s="47">
        <v>0.0</v>
      </c>
      <c r="H204" s="7"/>
      <c r="I204" s="47">
        <v>1.4</v>
      </c>
      <c r="J204" s="8"/>
      <c r="K204" s="7"/>
      <c r="L204" s="7"/>
      <c r="M204" s="7"/>
      <c r="N204" s="7"/>
      <c r="O204" s="7" t="s">
        <v>1838</v>
      </c>
      <c r="P204" s="65">
        <v>11.0</v>
      </c>
      <c r="Q204" s="7" t="s">
        <v>1489</v>
      </c>
      <c r="R204" s="7" t="s">
        <v>525</v>
      </c>
      <c r="S204" s="65">
        <v>3147.0</v>
      </c>
      <c r="T204" s="7"/>
      <c r="U204" s="7"/>
    </row>
    <row r="205">
      <c r="A205" s="45">
        <v>45884.77001157407</v>
      </c>
      <c r="B205" s="7" t="s">
        <v>1764</v>
      </c>
      <c r="C205" s="7" t="s">
        <v>1884</v>
      </c>
      <c r="D205" s="74">
        <v>2.0</v>
      </c>
      <c r="E205" s="46"/>
      <c r="F205" s="47">
        <v>49.98</v>
      </c>
      <c r="G205" s="47">
        <v>0.0</v>
      </c>
      <c r="H205" s="7"/>
      <c r="I205" s="47">
        <v>2.5</v>
      </c>
      <c r="J205" s="8"/>
      <c r="K205" s="7"/>
      <c r="L205" s="7"/>
      <c r="M205" s="7"/>
      <c r="N205" s="7"/>
      <c r="O205" s="7"/>
      <c r="P205" s="7"/>
      <c r="Q205" s="7"/>
      <c r="R205" s="7" t="s">
        <v>545</v>
      </c>
      <c r="S205" s="65">
        <v>3145.0</v>
      </c>
      <c r="T205" s="7"/>
      <c r="U205" s="7"/>
    </row>
    <row r="206">
      <c r="A206" s="45">
        <v>45884.76871527778</v>
      </c>
      <c r="B206" s="7" t="s">
        <v>400</v>
      </c>
      <c r="C206" s="7" t="s">
        <v>1864</v>
      </c>
      <c r="D206" s="74">
        <v>1.0</v>
      </c>
      <c r="E206" s="46"/>
      <c r="F206" s="47">
        <v>26.93</v>
      </c>
      <c r="G206" s="47">
        <v>0.0</v>
      </c>
      <c r="H206" s="7"/>
      <c r="I206" s="47">
        <v>1.08</v>
      </c>
      <c r="J206" s="8"/>
      <c r="K206" s="7"/>
      <c r="L206" s="7"/>
      <c r="M206" s="7"/>
      <c r="N206" s="7"/>
      <c r="O206" s="7" t="s">
        <v>1213</v>
      </c>
      <c r="P206" s="7"/>
      <c r="Q206" s="7" t="s">
        <v>549</v>
      </c>
      <c r="R206" s="7" t="s">
        <v>493</v>
      </c>
      <c r="S206" s="65">
        <v>3144.0</v>
      </c>
      <c r="T206" s="7"/>
      <c r="U206" s="7"/>
    </row>
    <row r="207">
      <c r="A207" s="45">
        <v>45884.7678125</v>
      </c>
      <c r="B207" s="7" t="s">
        <v>442</v>
      </c>
      <c r="C207" s="67" t="s">
        <v>2022</v>
      </c>
      <c r="D207" s="74">
        <v>1.0</v>
      </c>
      <c r="E207" s="74">
        <v>1.0</v>
      </c>
      <c r="F207" s="47">
        <v>124.99</v>
      </c>
      <c r="G207" s="47">
        <v>0.0</v>
      </c>
      <c r="H207" s="7"/>
      <c r="I207" s="47">
        <v>3.92</v>
      </c>
      <c r="J207" s="8"/>
      <c r="K207" s="7"/>
      <c r="L207" s="7"/>
      <c r="M207" s="7"/>
      <c r="N207" s="7"/>
      <c r="O207" s="7" t="s">
        <v>2026</v>
      </c>
      <c r="P207" s="7"/>
      <c r="Q207" s="7" t="s">
        <v>1349</v>
      </c>
      <c r="R207" s="7" t="s">
        <v>493</v>
      </c>
      <c r="S207" s="65">
        <v>3143.0</v>
      </c>
      <c r="T207" s="7"/>
      <c r="U207" s="7"/>
    </row>
    <row r="208">
      <c r="A208" s="45">
        <v>45884.76761574074</v>
      </c>
      <c r="B208" s="7" t="s">
        <v>234</v>
      </c>
      <c r="C208" s="7" t="s">
        <v>1864</v>
      </c>
      <c r="D208" s="74">
        <v>1.0</v>
      </c>
      <c r="E208" s="46"/>
      <c r="F208" s="47">
        <v>37.25</v>
      </c>
      <c r="G208" s="47">
        <v>0.0</v>
      </c>
      <c r="H208" s="7"/>
      <c r="I208" s="47">
        <v>1.38</v>
      </c>
      <c r="J208" s="8"/>
      <c r="K208" s="7"/>
      <c r="L208" s="7"/>
      <c r="M208" s="7"/>
      <c r="N208" s="7"/>
      <c r="O208" s="7" t="s">
        <v>1399</v>
      </c>
      <c r="P208" s="7"/>
      <c r="Q208" s="7" t="s">
        <v>1400</v>
      </c>
      <c r="R208" s="7" t="s">
        <v>493</v>
      </c>
      <c r="S208" s="65">
        <v>3139.0</v>
      </c>
      <c r="T208" s="7"/>
      <c r="U208" s="7"/>
    </row>
    <row r="209">
      <c r="A209" s="45">
        <v>45884.76642361111</v>
      </c>
      <c r="B209" s="7" t="s">
        <v>536</v>
      </c>
      <c r="C209" s="7" t="s">
        <v>1864</v>
      </c>
      <c r="D209" s="74">
        <v>1.0</v>
      </c>
      <c r="E209" s="46"/>
      <c r="F209" s="47">
        <v>27.05</v>
      </c>
      <c r="G209" s="47">
        <v>0.0</v>
      </c>
      <c r="H209" s="7"/>
      <c r="I209" s="47">
        <v>1.08</v>
      </c>
      <c r="J209" s="8"/>
      <c r="K209" s="7"/>
      <c r="L209" s="7"/>
      <c r="M209" s="7"/>
      <c r="N209" s="7"/>
      <c r="O209" s="7" t="s">
        <v>537</v>
      </c>
      <c r="P209" s="7"/>
      <c r="Q209" s="7" t="s">
        <v>538</v>
      </c>
      <c r="R209" s="7" t="s">
        <v>493</v>
      </c>
      <c r="S209" s="65">
        <v>3141.0</v>
      </c>
      <c r="T209" s="7"/>
      <c r="U209" s="7"/>
    </row>
    <row r="210">
      <c r="A210" s="45">
        <v>45884.76641203704</v>
      </c>
      <c r="B210" s="7" t="s">
        <v>314</v>
      </c>
      <c r="C210" s="7" t="s">
        <v>1864</v>
      </c>
      <c r="D210" s="74">
        <v>1.0</v>
      </c>
      <c r="E210" s="46"/>
      <c r="F210" s="47">
        <v>24.99</v>
      </c>
      <c r="G210" s="47">
        <v>0.0</v>
      </c>
      <c r="H210" s="7"/>
      <c r="I210" s="47">
        <v>1.02</v>
      </c>
      <c r="J210" s="8"/>
      <c r="K210" s="7"/>
      <c r="L210" s="7"/>
      <c r="M210" s="7"/>
      <c r="N210" s="7"/>
      <c r="O210" s="7" t="s">
        <v>1457</v>
      </c>
      <c r="P210" s="7"/>
      <c r="Q210" s="7" t="s">
        <v>1458</v>
      </c>
      <c r="R210" s="7" t="s">
        <v>493</v>
      </c>
      <c r="S210" s="65">
        <v>3140.0</v>
      </c>
      <c r="T210" s="7"/>
      <c r="U210" s="7"/>
    </row>
    <row r="211">
      <c r="A211" s="45">
        <v>45884.76521990741</v>
      </c>
      <c r="B211" s="7" t="s">
        <v>709</v>
      </c>
      <c r="C211" s="7" t="s">
        <v>1864</v>
      </c>
      <c r="D211" s="74">
        <v>1.0</v>
      </c>
      <c r="E211" s="46"/>
      <c r="F211" s="47">
        <v>24.99</v>
      </c>
      <c r="G211" s="47">
        <v>0.0</v>
      </c>
      <c r="H211" s="7"/>
      <c r="I211" s="47">
        <v>1.4</v>
      </c>
      <c r="J211" s="8"/>
      <c r="K211" s="7"/>
      <c r="L211" s="7"/>
      <c r="M211" s="7"/>
      <c r="N211" s="7"/>
      <c r="O211" s="7" t="s">
        <v>711</v>
      </c>
      <c r="P211" s="7" t="s">
        <v>710</v>
      </c>
      <c r="Q211" s="7" t="s">
        <v>712</v>
      </c>
      <c r="R211" s="7" t="s">
        <v>545</v>
      </c>
      <c r="S211" s="65">
        <v>3138.0</v>
      </c>
      <c r="T211" s="7"/>
      <c r="U211" s="7"/>
    </row>
    <row r="212">
      <c r="A212" s="45">
        <v>45884.76480324074</v>
      </c>
      <c r="B212" s="7" t="s">
        <v>2027</v>
      </c>
      <c r="C212" s="67" t="s">
        <v>2022</v>
      </c>
      <c r="D212" s="74">
        <v>1.0</v>
      </c>
      <c r="E212" s="74">
        <v>1.0</v>
      </c>
      <c r="F212" s="47">
        <v>124.99</v>
      </c>
      <c r="G212" s="47">
        <v>0.0</v>
      </c>
      <c r="H212" s="7"/>
      <c r="I212" s="47">
        <v>3.92</v>
      </c>
      <c r="J212" s="8"/>
      <c r="K212" s="7"/>
      <c r="L212" s="7"/>
      <c r="M212" s="7"/>
      <c r="N212" s="7"/>
      <c r="O212" s="7" t="s">
        <v>2028</v>
      </c>
      <c r="P212" s="7"/>
      <c r="Q212" s="7" t="s">
        <v>2029</v>
      </c>
      <c r="R212" s="7" t="s">
        <v>493</v>
      </c>
      <c r="S212" s="65">
        <v>3136.0</v>
      </c>
      <c r="T212" s="7"/>
      <c r="U212" s="7"/>
    </row>
    <row r="213">
      <c r="A213" s="45">
        <v>45884.7634375</v>
      </c>
      <c r="B213" s="7" t="s">
        <v>256</v>
      </c>
      <c r="C213" s="67" t="s">
        <v>2022</v>
      </c>
      <c r="D213" s="74">
        <v>1.0</v>
      </c>
      <c r="E213" s="74">
        <v>1.0</v>
      </c>
      <c r="F213" s="47">
        <v>124.99</v>
      </c>
      <c r="G213" s="47">
        <v>0.0</v>
      </c>
      <c r="H213" s="7"/>
      <c r="I213" s="47">
        <v>3.92</v>
      </c>
      <c r="J213" s="8"/>
      <c r="K213" s="7"/>
      <c r="L213" s="7"/>
      <c r="M213" s="7"/>
      <c r="N213" s="7"/>
      <c r="O213" s="7" t="s">
        <v>1789</v>
      </c>
      <c r="P213" s="7" t="s">
        <v>2030</v>
      </c>
      <c r="Q213" s="7" t="s">
        <v>572</v>
      </c>
      <c r="R213" s="7" t="s">
        <v>493</v>
      </c>
      <c r="S213" s="65">
        <v>3135.0</v>
      </c>
      <c r="T213" s="7"/>
      <c r="U213" s="7"/>
    </row>
    <row r="214">
      <c r="A214" s="45">
        <v>45884.76116898148</v>
      </c>
      <c r="B214" s="7" t="s">
        <v>190</v>
      </c>
      <c r="C214" s="67" t="s">
        <v>2022</v>
      </c>
      <c r="D214" s="74">
        <v>1.0</v>
      </c>
      <c r="E214" s="74">
        <v>1.0</v>
      </c>
      <c r="F214" s="47">
        <v>124.99</v>
      </c>
      <c r="G214" s="47">
        <v>0.0</v>
      </c>
      <c r="H214" s="7"/>
      <c r="I214" s="47">
        <v>5.8</v>
      </c>
      <c r="J214" s="8"/>
      <c r="K214" s="7"/>
      <c r="L214" s="7"/>
      <c r="M214" s="7"/>
      <c r="N214" s="7"/>
      <c r="O214" s="7" t="s">
        <v>778</v>
      </c>
      <c r="P214" s="7"/>
      <c r="Q214" s="7" t="s">
        <v>779</v>
      </c>
      <c r="R214" s="7" t="s">
        <v>51</v>
      </c>
      <c r="S214" s="65">
        <v>3133.0</v>
      </c>
      <c r="T214" s="7"/>
      <c r="U214" s="7"/>
    </row>
    <row r="215">
      <c r="A215" s="45">
        <v>45884.761087962965</v>
      </c>
      <c r="B215" s="7" t="s">
        <v>2031</v>
      </c>
      <c r="C215" s="7" t="s">
        <v>1864</v>
      </c>
      <c r="D215" s="74">
        <v>1.0</v>
      </c>
      <c r="E215" s="46"/>
      <c r="F215" s="47">
        <v>36.53</v>
      </c>
      <c r="G215" s="47">
        <v>0.0</v>
      </c>
      <c r="H215" s="7"/>
      <c r="I215" s="47">
        <v>1.36</v>
      </c>
      <c r="J215" s="8"/>
      <c r="K215" s="7"/>
      <c r="L215" s="7"/>
      <c r="M215" s="7"/>
      <c r="N215" s="7"/>
      <c r="O215" s="7" t="s">
        <v>2032</v>
      </c>
      <c r="P215" s="7"/>
      <c r="Q215" s="7" t="s">
        <v>2033</v>
      </c>
      <c r="R215" s="7" t="s">
        <v>493</v>
      </c>
      <c r="S215" s="65">
        <v>3131.0</v>
      </c>
      <c r="T215" s="7"/>
      <c r="U215" s="7"/>
    </row>
    <row r="216">
      <c r="A216" s="45">
        <v>45884.760416666664</v>
      </c>
      <c r="B216" s="7" t="s">
        <v>1135</v>
      </c>
      <c r="C216" s="67" t="s">
        <v>2022</v>
      </c>
      <c r="D216" s="74">
        <v>1.0</v>
      </c>
      <c r="E216" s="74">
        <v>1.0</v>
      </c>
      <c r="F216" s="47">
        <v>124.99</v>
      </c>
      <c r="G216" s="47">
        <v>0.0</v>
      </c>
      <c r="H216" s="7"/>
      <c r="I216" s="47">
        <v>5.8</v>
      </c>
      <c r="J216" s="8"/>
      <c r="K216" s="7"/>
      <c r="L216" s="7"/>
      <c r="M216" s="7"/>
      <c r="N216" s="7"/>
      <c r="O216" s="7" t="s">
        <v>1136</v>
      </c>
      <c r="P216" s="7"/>
      <c r="Q216" s="7" t="s">
        <v>1137</v>
      </c>
      <c r="R216" s="7" t="s">
        <v>525</v>
      </c>
      <c r="S216" s="65">
        <v>3130.0</v>
      </c>
      <c r="T216" s="7"/>
      <c r="U216" s="7"/>
    </row>
    <row r="217">
      <c r="A217" s="45">
        <v>45884.757881944446</v>
      </c>
      <c r="B217" s="7" t="s">
        <v>230</v>
      </c>
      <c r="C217" s="67" t="s">
        <v>2034</v>
      </c>
      <c r="D217" s="74">
        <v>2.0</v>
      </c>
      <c r="E217" s="74">
        <v>1.0</v>
      </c>
      <c r="F217" s="47">
        <v>149.98</v>
      </c>
      <c r="G217" s="47">
        <v>0.0</v>
      </c>
      <c r="H217" s="7"/>
      <c r="I217" s="47">
        <v>4.65</v>
      </c>
      <c r="J217" s="8"/>
      <c r="K217" s="7"/>
      <c r="L217" s="7"/>
      <c r="M217" s="7"/>
      <c r="N217" s="7"/>
      <c r="O217" s="7" t="s">
        <v>1809</v>
      </c>
      <c r="P217" s="7"/>
      <c r="Q217" s="7" t="s">
        <v>1810</v>
      </c>
      <c r="R217" s="7" t="s">
        <v>493</v>
      </c>
      <c r="S217" s="65">
        <v>3123.0</v>
      </c>
      <c r="T217" s="7"/>
      <c r="U217" s="7"/>
    </row>
    <row r="218">
      <c r="A218" s="45">
        <v>45884.7575462963</v>
      </c>
      <c r="B218" s="7" t="s">
        <v>375</v>
      </c>
      <c r="C218" s="7" t="s">
        <v>1864</v>
      </c>
      <c r="D218" s="74">
        <v>1.0</v>
      </c>
      <c r="E218" s="46"/>
      <c r="F218" s="47">
        <v>24.99</v>
      </c>
      <c r="G218" s="47">
        <v>0.0</v>
      </c>
      <c r="H218" s="7"/>
      <c r="I218" s="47">
        <v>1.02</v>
      </c>
      <c r="J218" s="8"/>
      <c r="K218" s="7"/>
      <c r="L218" s="7"/>
      <c r="M218" s="7"/>
      <c r="N218" s="7"/>
      <c r="O218" s="65">
        <v>1215.0</v>
      </c>
      <c r="P218" s="7" t="s">
        <v>1536</v>
      </c>
      <c r="Q218" s="7" t="s">
        <v>794</v>
      </c>
      <c r="R218" s="7" t="s">
        <v>493</v>
      </c>
      <c r="S218" s="65">
        <v>3126.0</v>
      </c>
      <c r="T218" s="7"/>
      <c r="U218" s="7"/>
    </row>
    <row r="219">
      <c r="A219" s="45">
        <v>45884.756875</v>
      </c>
      <c r="B219" s="7" t="s">
        <v>389</v>
      </c>
      <c r="C219" s="7" t="s">
        <v>1864</v>
      </c>
      <c r="D219" s="74">
        <v>1.0</v>
      </c>
      <c r="E219" s="46"/>
      <c r="F219" s="47">
        <v>24.99</v>
      </c>
      <c r="G219" s="47">
        <v>0.0</v>
      </c>
      <c r="H219" s="7"/>
      <c r="I219" s="47">
        <v>1.4</v>
      </c>
      <c r="J219" s="8"/>
      <c r="K219" s="7"/>
      <c r="L219" s="7"/>
      <c r="M219" s="7"/>
      <c r="N219" s="7"/>
      <c r="O219" s="7" t="s">
        <v>959</v>
      </c>
      <c r="P219" s="7"/>
      <c r="Q219" s="7" t="s">
        <v>960</v>
      </c>
      <c r="R219" s="7" t="s">
        <v>525</v>
      </c>
      <c r="S219" s="65">
        <v>3124.0</v>
      </c>
      <c r="T219" s="7"/>
      <c r="U219" s="7"/>
    </row>
    <row r="220">
      <c r="A220" s="45">
        <v>45884.75650462963</v>
      </c>
      <c r="B220" s="7" t="s">
        <v>403</v>
      </c>
      <c r="C220" s="7" t="s">
        <v>1864</v>
      </c>
      <c r="D220" s="74">
        <v>1.0</v>
      </c>
      <c r="E220" s="46"/>
      <c r="F220" s="47">
        <v>24.99</v>
      </c>
      <c r="G220" s="47">
        <v>0.0</v>
      </c>
      <c r="H220" s="7"/>
      <c r="I220" s="47">
        <v>1.02</v>
      </c>
      <c r="J220" s="8"/>
      <c r="K220" s="7"/>
      <c r="L220" s="7"/>
      <c r="M220" s="7"/>
      <c r="N220" s="7"/>
      <c r="O220" s="7" t="s">
        <v>602</v>
      </c>
      <c r="P220" s="7"/>
      <c r="Q220" s="7" t="s">
        <v>603</v>
      </c>
      <c r="R220" s="7" t="s">
        <v>493</v>
      </c>
      <c r="S220" s="65">
        <v>3125.0</v>
      </c>
      <c r="T220" s="7"/>
      <c r="U220" s="7"/>
    </row>
    <row r="221">
      <c r="A221" s="45">
        <v>45884.75488425926</v>
      </c>
      <c r="B221" s="7" t="s">
        <v>433</v>
      </c>
      <c r="C221" s="67" t="s">
        <v>2022</v>
      </c>
      <c r="D221" s="74">
        <v>1.0</v>
      </c>
      <c r="E221" s="74">
        <v>1.0</v>
      </c>
      <c r="F221" s="47">
        <v>124.99</v>
      </c>
      <c r="G221" s="47">
        <v>0.0</v>
      </c>
      <c r="H221" s="7"/>
      <c r="I221" s="47">
        <v>3.92</v>
      </c>
      <c r="J221" s="8"/>
      <c r="K221" s="7"/>
      <c r="L221" s="7"/>
      <c r="M221" s="7"/>
      <c r="N221" s="7"/>
      <c r="O221" s="7" t="s">
        <v>2035</v>
      </c>
      <c r="P221" s="7" t="s">
        <v>1215</v>
      </c>
      <c r="Q221" s="7" t="s">
        <v>850</v>
      </c>
      <c r="R221" s="7" t="s">
        <v>493</v>
      </c>
      <c r="S221" s="65">
        <v>3120.0</v>
      </c>
      <c r="T221" s="7"/>
      <c r="U221" s="7"/>
    </row>
    <row r="222">
      <c r="A222" s="45">
        <v>45884.75488425926</v>
      </c>
      <c r="B222" s="7" t="s">
        <v>439</v>
      </c>
      <c r="C222" s="7" t="s">
        <v>1864</v>
      </c>
      <c r="D222" s="74">
        <v>1.0</v>
      </c>
      <c r="E222" s="46"/>
      <c r="F222" s="47">
        <v>24.99</v>
      </c>
      <c r="G222" s="47">
        <v>0.0</v>
      </c>
      <c r="H222" s="7"/>
      <c r="I222" s="47">
        <v>1.02</v>
      </c>
      <c r="J222" s="8"/>
      <c r="K222" s="7"/>
      <c r="L222" s="7"/>
      <c r="M222" s="7"/>
      <c r="N222" s="7"/>
      <c r="O222" s="7" t="s">
        <v>1097</v>
      </c>
      <c r="P222" s="7"/>
      <c r="Q222" s="7" t="s">
        <v>1098</v>
      </c>
      <c r="R222" s="7" t="s">
        <v>493</v>
      </c>
      <c r="S222" s="65">
        <v>3121.0</v>
      </c>
      <c r="T222" s="7"/>
      <c r="U222" s="7"/>
    </row>
    <row r="223">
      <c r="A223" s="45">
        <v>45884.754537037035</v>
      </c>
      <c r="B223" s="7" t="s">
        <v>162</v>
      </c>
      <c r="C223" s="67" t="s">
        <v>2022</v>
      </c>
      <c r="D223" s="74">
        <v>1.0</v>
      </c>
      <c r="E223" s="74">
        <v>1.0</v>
      </c>
      <c r="F223" s="47">
        <v>124.99</v>
      </c>
      <c r="G223" s="47">
        <v>0.0</v>
      </c>
      <c r="H223" s="7"/>
      <c r="I223" s="47">
        <v>5.8</v>
      </c>
      <c r="J223" s="8"/>
      <c r="K223" s="7"/>
      <c r="L223" s="7"/>
      <c r="M223" s="7"/>
      <c r="N223" s="7"/>
      <c r="O223" s="7" t="s">
        <v>841</v>
      </c>
      <c r="P223" s="7"/>
      <c r="Q223" s="7" t="s">
        <v>842</v>
      </c>
      <c r="R223" s="7" t="s">
        <v>525</v>
      </c>
      <c r="S223" s="65">
        <v>3119.0</v>
      </c>
      <c r="T223" s="7"/>
      <c r="U223" s="7"/>
    </row>
    <row r="224">
      <c r="A224" s="45">
        <v>45884.75318287037</v>
      </c>
      <c r="B224" s="7" t="s">
        <v>194</v>
      </c>
      <c r="C224" s="7" t="s">
        <v>1864</v>
      </c>
      <c r="D224" s="74">
        <v>1.0</v>
      </c>
      <c r="E224" s="46"/>
      <c r="F224" s="47">
        <v>24.99</v>
      </c>
      <c r="G224" s="47">
        <v>0.0</v>
      </c>
      <c r="H224" s="7"/>
      <c r="I224" s="47">
        <v>1.4</v>
      </c>
      <c r="J224" s="8"/>
      <c r="K224" s="7"/>
      <c r="L224" s="7"/>
      <c r="M224" s="7"/>
      <c r="N224" s="7"/>
      <c r="O224" s="7" t="s">
        <v>891</v>
      </c>
      <c r="P224" s="7"/>
      <c r="Q224" s="7" t="s">
        <v>892</v>
      </c>
      <c r="R224" s="7" t="s">
        <v>555</v>
      </c>
      <c r="S224" s="65">
        <v>3118.0</v>
      </c>
      <c r="T224" s="7"/>
      <c r="U224" s="7"/>
    </row>
    <row r="225">
      <c r="A225" s="45">
        <v>45884.75288194444</v>
      </c>
      <c r="B225" s="7" t="s">
        <v>110</v>
      </c>
      <c r="C225" s="7" t="s">
        <v>1864</v>
      </c>
      <c r="D225" s="74">
        <v>1.0</v>
      </c>
      <c r="E225" s="46"/>
      <c r="F225" s="47">
        <v>24.99</v>
      </c>
      <c r="G225" s="47">
        <v>0.0</v>
      </c>
      <c r="H225" s="7"/>
      <c r="I225" s="47">
        <v>1.4</v>
      </c>
      <c r="J225" s="8"/>
      <c r="K225" s="7"/>
      <c r="L225" s="7"/>
      <c r="M225" s="7"/>
      <c r="N225" s="7"/>
      <c r="O225" s="7" t="s">
        <v>1143</v>
      </c>
      <c r="P225" s="7"/>
      <c r="Q225" s="7" t="s">
        <v>1144</v>
      </c>
      <c r="R225" s="7" t="s">
        <v>966</v>
      </c>
      <c r="S225" s="65">
        <v>3117.0</v>
      </c>
      <c r="T225" s="7"/>
      <c r="U225" s="7"/>
    </row>
    <row r="226">
      <c r="A226" s="45">
        <v>45884.75090277778</v>
      </c>
      <c r="B226" s="7" t="s">
        <v>2036</v>
      </c>
      <c r="C226" s="7" t="s">
        <v>1864</v>
      </c>
      <c r="D226" s="74">
        <v>1.0</v>
      </c>
      <c r="E226" s="46"/>
      <c r="F226" s="47">
        <v>56.29</v>
      </c>
      <c r="G226" s="47">
        <v>0.0</v>
      </c>
      <c r="H226" s="7"/>
      <c r="I226" s="47">
        <v>2.78</v>
      </c>
      <c r="J226" s="8"/>
      <c r="K226" s="7"/>
      <c r="L226" s="7"/>
      <c r="M226" s="7"/>
      <c r="N226" s="7"/>
      <c r="O226" s="7" t="s">
        <v>2037</v>
      </c>
      <c r="P226" s="7"/>
      <c r="Q226" s="7" t="s">
        <v>2038</v>
      </c>
      <c r="R226" s="7" t="s">
        <v>726</v>
      </c>
      <c r="S226" s="65">
        <v>3095.0</v>
      </c>
      <c r="T226" s="7"/>
      <c r="U226" s="7"/>
    </row>
    <row r="227">
      <c r="A227" s="45">
        <v>45884.750706018516</v>
      </c>
      <c r="B227" s="7" t="s">
        <v>1275</v>
      </c>
      <c r="C227" s="67" t="s">
        <v>2022</v>
      </c>
      <c r="D227" s="74">
        <v>1.0</v>
      </c>
      <c r="E227" s="74">
        <v>1.0</v>
      </c>
      <c r="F227" s="47">
        <v>124.99</v>
      </c>
      <c r="G227" s="47">
        <v>0.0</v>
      </c>
      <c r="H227" s="7"/>
      <c r="I227" s="47">
        <v>5.8</v>
      </c>
      <c r="J227" s="8"/>
      <c r="K227" s="7"/>
      <c r="L227" s="7"/>
      <c r="M227" s="7"/>
      <c r="N227" s="7"/>
      <c r="O227" s="7" t="s">
        <v>1276</v>
      </c>
      <c r="P227" s="65">
        <v>2511.0</v>
      </c>
      <c r="Q227" s="7" t="s">
        <v>1277</v>
      </c>
      <c r="R227" s="7" t="s">
        <v>51</v>
      </c>
      <c r="S227" s="65">
        <v>3116.0</v>
      </c>
      <c r="T227" s="7"/>
      <c r="U227" s="7"/>
    </row>
    <row r="228">
      <c r="A228" s="45">
        <v>45884.747777777775</v>
      </c>
      <c r="B228" s="7" t="s">
        <v>935</v>
      </c>
      <c r="C228" s="67" t="s">
        <v>2022</v>
      </c>
      <c r="D228" s="74">
        <v>1.0</v>
      </c>
      <c r="E228" s="74">
        <v>1.0</v>
      </c>
      <c r="F228" s="47">
        <v>124.99</v>
      </c>
      <c r="G228" s="47">
        <v>0.0</v>
      </c>
      <c r="H228" s="7"/>
      <c r="I228" s="47">
        <v>5.8</v>
      </c>
      <c r="J228" s="8"/>
      <c r="K228" s="7"/>
      <c r="L228" s="7"/>
      <c r="M228" s="7"/>
      <c r="N228" s="7"/>
      <c r="O228" s="7" t="s">
        <v>936</v>
      </c>
      <c r="P228" s="7" t="s">
        <v>2039</v>
      </c>
      <c r="Q228" s="7" t="s">
        <v>938</v>
      </c>
      <c r="R228" s="7" t="s">
        <v>939</v>
      </c>
      <c r="S228" s="65">
        <v>3115.0</v>
      </c>
      <c r="T228" s="7"/>
      <c r="U228" s="7"/>
    </row>
    <row r="229">
      <c r="A229" s="45">
        <v>45884.74699074074</v>
      </c>
      <c r="B229" s="7" t="s">
        <v>1274</v>
      </c>
      <c r="C229" s="7" t="s">
        <v>1864</v>
      </c>
      <c r="D229" s="74">
        <v>1.0</v>
      </c>
      <c r="E229" s="46"/>
      <c r="F229" s="47">
        <v>24.99</v>
      </c>
      <c r="G229" s="47">
        <v>0.0</v>
      </c>
      <c r="H229" s="7"/>
      <c r="I229" s="47">
        <v>1.02</v>
      </c>
      <c r="J229" s="8"/>
      <c r="K229" s="7"/>
      <c r="L229" s="7"/>
      <c r="M229" s="7"/>
      <c r="N229" s="7"/>
      <c r="O229" s="7"/>
      <c r="P229" s="7"/>
      <c r="Q229" s="7"/>
      <c r="R229" s="7" t="s">
        <v>493</v>
      </c>
      <c r="S229" s="65">
        <v>3114.0</v>
      </c>
      <c r="T229" s="7"/>
      <c r="U229" s="7"/>
    </row>
    <row r="230">
      <c r="A230" s="45">
        <v>45884.74533564815</v>
      </c>
      <c r="B230" s="7" t="s">
        <v>120</v>
      </c>
      <c r="C230" s="67" t="s">
        <v>2022</v>
      </c>
      <c r="D230" s="74">
        <v>1.0</v>
      </c>
      <c r="E230" s="74">
        <v>1.0</v>
      </c>
      <c r="F230" s="47">
        <v>124.99</v>
      </c>
      <c r="G230" s="47">
        <v>0.0</v>
      </c>
      <c r="H230" s="7"/>
      <c r="I230" s="47">
        <v>3.92</v>
      </c>
      <c r="J230" s="8"/>
      <c r="K230" s="7"/>
      <c r="L230" s="7"/>
      <c r="M230" s="7"/>
      <c r="N230" s="7"/>
      <c r="O230" s="7" t="s">
        <v>623</v>
      </c>
      <c r="P230" s="7"/>
      <c r="Q230" s="7" t="s">
        <v>624</v>
      </c>
      <c r="R230" s="7" t="s">
        <v>493</v>
      </c>
      <c r="S230" s="65">
        <v>3113.0</v>
      </c>
      <c r="T230" s="7"/>
      <c r="U230" s="7"/>
    </row>
    <row r="231">
      <c r="A231" s="45">
        <v>45884.74524305556</v>
      </c>
      <c r="B231" s="7" t="s">
        <v>140</v>
      </c>
      <c r="C231" s="7" t="s">
        <v>1864</v>
      </c>
      <c r="D231" s="74">
        <v>1.0</v>
      </c>
      <c r="E231" s="46"/>
      <c r="F231" s="47">
        <v>24.99</v>
      </c>
      <c r="G231" s="47">
        <v>0.0</v>
      </c>
      <c r="H231" s="7"/>
      <c r="I231" s="47">
        <v>1.02</v>
      </c>
      <c r="J231" s="8"/>
      <c r="K231" s="7"/>
      <c r="L231" s="7"/>
      <c r="M231" s="7"/>
      <c r="N231" s="7"/>
      <c r="O231" s="7" t="s">
        <v>1006</v>
      </c>
      <c r="P231" s="7"/>
      <c r="Q231" s="7" t="s">
        <v>1007</v>
      </c>
      <c r="R231" s="7" t="s">
        <v>493</v>
      </c>
      <c r="S231" s="65">
        <v>3112.0</v>
      </c>
      <c r="T231" s="7"/>
      <c r="U231" s="7"/>
    </row>
    <row r="232">
      <c r="A232" s="45">
        <v>45884.741527777776</v>
      </c>
      <c r="B232" s="7" t="s">
        <v>717</v>
      </c>
      <c r="C232" s="7" t="s">
        <v>1864</v>
      </c>
      <c r="D232" s="74">
        <v>1.0</v>
      </c>
      <c r="E232" s="46"/>
      <c r="F232" s="47">
        <v>24.99</v>
      </c>
      <c r="G232" s="47">
        <v>0.0</v>
      </c>
      <c r="H232" s="7"/>
      <c r="I232" s="47">
        <v>1.02</v>
      </c>
      <c r="J232" s="8"/>
      <c r="K232" s="7"/>
      <c r="L232" s="7"/>
      <c r="M232" s="7"/>
      <c r="N232" s="7"/>
      <c r="O232" s="7" t="s">
        <v>718</v>
      </c>
      <c r="P232" s="7"/>
      <c r="Q232" s="7" t="s">
        <v>719</v>
      </c>
      <c r="R232" s="7" t="s">
        <v>493</v>
      </c>
      <c r="S232" s="65">
        <v>3111.0</v>
      </c>
      <c r="T232" s="7"/>
      <c r="U232" s="7"/>
    </row>
    <row r="233">
      <c r="A233" s="45">
        <v>45884.74054398148</v>
      </c>
      <c r="B233" s="7" t="s">
        <v>1825</v>
      </c>
      <c r="C233" s="67" t="s">
        <v>2022</v>
      </c>
      <c r="D233" s="74">
        <v>1.0</v>
      </c>
      <c r="E233" s="74">
        <v>1.0</v>
      </c>
      <c r="F233" s="47">
        <v>156.29</v>
      </c>
      <c r="G233" s="47">
        <v>0.0</v>
      </c>
      <c r="H233" s="7"/>
      <c r="I233" s="47">
        <v>7.18</v>
      </c>
      <c r="J233" s="8"/>
      <c r="K233" s="7"/>
      <c r="L233" s="7"/>
      <c r="M233" s="7"/>
      <c r="N233" s="7"/>
      <c r="O233" s="7" t="s">
        <v>936</v>
      </c>
      <c r="P233" s="7" t="s">
        <v>2039</v>
      </c>
      <c r="Q233" s="7" t="s">
        <v>938</v>
      </c>
      <c r="R233" s="7" t="s">
        <v>939</v>
      </c>
      <c r="S233" s="65">
        <v>3105.0</v>
      </c>
      <c r="T233" s="7"/>
      <c r="U233" s="7"/>
    </row>
    <row r="234">
      <c r="A234" s="45">
        <v>45884.74</v>
      </c>
      <c r="B234" s="7" t="s">
        <v>364</v>
      </c>
      <c r="C234" s="7" t="s">
        <v>1864</v>
      </c>
      <c r="D234" s="74">
        <v>1.0</v>
      </c>
      <c r="E234" s="46"/>
      <c r="F234" s="47">
        <v>24.99</v>
      </c>
      <c r="G234" s="47">
        <v>0.0</v>
      </c>
      <c r="H234" s="7"/>
      <c r="I234" s="47">
        <v>1.4</v>
      </c>
      <c r="J234" s="8"/>
      <c r="K234" s="7"/>
      <c r="L234" s="7"/>
      <c r="M234" s="7"/>
      <c r="N234" s="7"/>
      <c r="O234" s="7" t="s">
        <v>855</v>
      </c>
      <c r="P234" s="7" t="s">
        <v>855</v>
      </c>
      <c r="Q234" s="7" t="s">
        <v>856</v>
      </c>
      <c r="R234" s="7" t="s">
        <v>545</v>
      </c>
      <c r="S234" s="65">
        <v>3104.0</v>
      </c>
      <c r="T234" s="7"/>
      <c r="U234" s="7"/>
    </row>
    <row r="235">
      <c r="A235" s="45">
        <v>45884.73976851852</v>
      </c>
      <c r="B235" s="7" t="s">
        <v>347</v>
      </c>
      <c r="C235" s="7" t="s">
        <v>1864</v>
      </c>
      <c r="D235" s="74">
        <v>1.0</v>
      </c>
      <c r="E235" s="46"/>
      <c r="F235" s="47">
        <v>24.99</v>
      </c>
      <c r="G235" s="47">
        <v>0.0</v>
      </c>
      <c r="H235" s="7"/>
      <c r="I235" s="47">
        <v>1.02</v>
      </c>
      <c r="J235" s="8"/>
      <c r="K235" s="7"/>
      <c r="L235" s="7"/>
      <c r="M235" s="7"/>
      <c r="N235" s="7"/>
      <c r="O235" s="7" t="s">
        <v>933</v>
      </c>
      <c r="P235" s="7"/>
      <c r="Q235" s="7" t="s">
        <v>934</v>
      </c>
      <c r="R235" s="7" t="s">
        <v>493</v>
      </c>
      <c r="S235" s="65">
        <v>3106.0</v>
      </c>
      <c r="T235" s="7"/>
      <c r="U235" s="7"/>
    </row>
    <row r="236">
      <c r="A236" s="45">
        <v>45884.73974537037</v>
      </c>
      <c r="B236" s="7" t="s">
        <v>409</v>
      </c>
      <c r="C236" s="7" t="s">
        <v>1864</v>
      </c>
      <c r="D236" s="74">
        <v>1.0</v>
      </c>
      <c r="E236" s="46"/>
      <c r="F236" s="47">
        <v>24.99</v>
      </c>
      <c r="G236" s="47">
        <v>0.0</v>
      </c>
      <c r="H236" s="7"/>
      <c r="I236" s="47">
        <v>1.02</v>
      </c>
      <c r="J236" s="8"/>
      <c r="K236" s="7"/>
      <c r="L236" s="7"/>
      <c r="M236" s="7"/>
      <c r="N236" s="7"/>
      <c r="O236" s="7" t="s">
        <v>1421</v>
      </c>
      <c r="P236" s="7"/>
      <c r="Q236" s="7" t="s">
        <v>1249</v>
      </c>
      <c r="R236" s="7" t="s">
        <v>493</v>
      </c>
      <c r="S236" s="65">
        <v>3108.0</v>
      </c>
      <c r="T236" s="7"/>
      <c r="U236" s="7"/>
    </row>
    <row r="237">
      <c r="A237" s="45">
        <v>45884.73951388889</v>
      </c>
      <c r="B237" s="7" t="s">
        <v>1327</v>
      </c>
      <c r="C237" s="7" t="s">
        <v>1864</v>
      </c>
      <c r="D237" s="74">
        <v>1.0</v>
      </c>
      <c r="E237" s="46"/>
      <c r="F237" s="47">
        <v>24.99</v>
      </c>
      <c r="G237" s="47">
        <v>0.0</v>
      </c>
      <c r="H237" s="7"/>
      <c r="I237" s="47">
        <v>1.4</v>
      </c>
      <c r="J237" s="8"/>
      <c r="K237" s="7"/>
      <c r="L237" s="7"/>
      <c r="M237" s="7"/>
      <c r="N237" s="7"/>
      <c r="O237" s="7" t="s">
        <v>1328</v>
      </c>
      <c r="P237" s="7"/>
      <c r="Q237" s="7" t="s">
        <v>1330</v>
      </c>
      <c r="R237" s="7" t="s">
        <v>555</v>
      </c>
      <c r="S237" s="65">
        <v>3107.0</v>
      </c>
      <c r="T237" s="7"/>
      <c r="U237" s="7"/>
    </row>
    <row r="238">
      <c r="A238" s="45">
        <v>45884.737442129626</v>
      </c>
      <c r="B238" s="7" t="s">
        <v>1124</v>
      </c>
      <c r="C238" s="7" t="s">
        <v>1864</v>
      </c>
      <c r="D238" s="74">
        <v>1.0</v>
      </c>
      <c r="E238" s="46"/>
      <c r="F238" s="47">
        <v>24.99</v>
      </c>
      <c r="G238" s="47">
        <v>0.0</v>
      </c>
      <c r="H238" s="7"/>
      <c r="I238" s="47">
        <v>1.4</v>
      </c>
      <c r="J238" s="8"/>
      <c r="K238" s="7"/>
      <c r="L238" s="7"/>
      <c r="M238" s="7"/>
      <c r="N238" s="7"/>
      <c r="O238" s="7" t="s">
        <v>1125</v>
      </c>
      <c r="P238" s="7"/>
      <c r="Q238" s="7" t="s">
        <v>1126</v>
      </c>
      <c r="R238" s="7" t="s">
        <v>525</v>
      </c>
      <c r="S238" s="65">
        <v>3103.0</v>
      </c>
      <c r="T238" s="7"/>
      <c r="U238" s="7"/>
    </row>
    <row r="239">
      <c r="A239" s="45">
        <v>45884.73694444444</v>
      </c>
      <c r="B239" s="7" t="s">
        <v>443</v>
      </c>
      <c r="C239" s="7" t="s">
        <v>1864</v>
      </c>
      <c r="D239" s="74">
        <v>1.0</v>
      </c>
      <c r="E239" s="46"/>
      <c r="F239" s="47">
        <v>24.99</v>
      </c>
      <c r="G239" s="47">
        <v>0.0</v>
      </c>
      <c r="H239" s="7"/>
      <c r="I239" s="47">
        <v>1.02</v>
      </c>
      <c r="J239" s="8"/>
      <c r="K239" s="7"/>
      <c r="L239" s="7"/>
      <c r="M239" s="7"/>
      <c r="N239" s="7"/>
      <c r="O239" s="7" t="s">
        <v>1145</v>
      </c>
      <c r="P239" s="65">
        <v>237.0</v>
      </c>
      <c r="Q239" s="7" t="s">
        <v>1147</v>
      </c>
      <c r="R239" s="7" t="s">
        <v>493</v>
      </c>
      <c r="S239" s="65">
        <v>3100.0</v>
      </c>
      <c r="T239" s="7"/>
      <c r="U239" s="7"/>
    </row>
    <row r="240">
      <c r="A240" s="45">
        <v>45884.7359375</v>
      </c>
      <c r="B240" s="7" t="s">
        <v>1839</v>
      </c>
      <c r="C240" s="67" t="s">
        <v>2022</v>
      </c>
      <c r="D240" s="74">
        <v>1.0</v>
      </c>
      <c r="E240" s="74">
        <v>1.0</v>
      </c>
      <c r="F240" s="47">
        <v>124.99</v>
      </c>
      <c r="G240" s="47">
        <v>0.0</v>
      </c>
      <c r="H240" s="7"/>
      <c r="I240" s="47">
        <v>3.92</v>
      </c>
      <c r="J240" s="8"/>
      <c r="K240" s="7"/>
      <c r="L240" s="7"/>
      <c r="M240" s="7"/>
      <c r="N240" s="7"/>
      <c r="O240" s="7" t="s">
        <v>1067</v>
      </c>
      <c r="P240" s="7"/>
      <c r="Q240" s="7" t="s">
        <v>1068</v>
      </c>
      <c r="R240" s="7" t="s">
        <v>493</v>
      </c>
      <c r="S240" s="65">
        <v>3102.0</v>
      </c>
      <c r="T240" s="7"/>
      <c r="U240" s="7"/>
    </row>
    <row r="241">
      <c r="A241" s="45">
        <v>45884.73533564815</v>
      </c>
      <c r="B241" s="7" t="s">
        <v>113</v>
      </c>
      <c r="C241" s="7" t="s">
        <v>1864</v>
      </c>
      <c r="D241" s="74">
        <v>1.0</v>
      </c>
      <c r="E241" s="46"/>
      <c r="F241" s="47">
        <v>24.99</v>
      </c>
      <c r="G241" s="47">
        <v>0.0</v>
      </c>
      <c r="H241" s="7"/>
      <c r="I241" s="47">
        <v>1.4</v>
      </c>
      <c r="J241" s="8"/>
      <c r="K241" s="7"/>
      <c r="L241" s="7"/>
      <c r="M241" s="7"/>
      <c r="N241" s="7"/>
      <c r="O241" s="7" t="s">
        <v>553</v>
      </c>
      <c r="P241" s="7"/>
      <c r="Q241" s="7" t="s">
        <v>554</v>
      </c>
      <c r="R241" s="7" t="s">
        <v>555</v>
      </c>
      <c r="S241" s="65">
        <v>3101.0</v>
      </c>
      <c r="T241" s="7"/>
      <c r="U241" s="7"/>
    </row>
    <row r="242">
      <c r="A242" s="45">
        <v>45884.734444444446</v>
      </c>
      <c r="B242" s="7" t="s">
        <v>1432</v>
      </c>
      <c r="C242" s="7" t="s">
        <v>1864</v>
      </c>
      <c r="D242" s="74">
        <v>1.0</v>
      </c>
      <c r="E242" s="46"/>
      <c r="F242" s="47">
        <v>24.99</v>
      </c>
      <c r="G242" s="47">
        <v>0.0</v>
      </c>
      <c r="H242" s="7"/>
      <c r="I242" s="47">
        <v>1.02</v>
      </c>
      <c r="J242" s="8"/>
      <c r="K242" s="7"/>
      <c r="L242" s="7"/>
      <c r="M242" s="7"/>
      <c r="N242" s="7"/>
      <c r="O242" s="7" t="s">
        <v>1433</v>
      </c>
      <c r="P242" s="7"/>
      <c r="Q242" s="7" t="s">
        <v>1434</v>
      </c>
      <c r="R242" s="7" t="s">
        <v>493</v>
      </c>
      <c r="S242" s="65">
        <v>3099.0</v>
      </c>
      <c r="T242" s="7"/>
      <c r="U242" s="7"/>
    </row>
    <row r="243">
      <c r="A243" s="45">
        <v>45884.73232638889</v>
      </c>
      <c r="B243" s="7" t="s">
        <v>361</v>
      </c>
      <c r="C243" s="7" t="s">
        <v>1864</v>
      </c>
      <c r="D243" s="74">
        <v>1.0</v>
      </c>
      <c r="E243" s="46"/>
      <c r="F243" s="47">
        <v>27.43</v>
      </c>
      <c r="G243" s="47">
        <v>0.0</v>
      </c>
      <c r="H243" s="7"/>
      <c r="I243" s="47">
        <v>1.1</v>
      </c>
      <c r="J243" s="8"/>
      <c r="K243" s="7"/>
      <c r="L243" s="7"/>
      <c r="M243" s="7"/>
      <c r="N243" s="7"/>
      <c r="O243" s="7" t="s">
        <v>1269</v>
      </c>
      <c r="P243" s="7" t="s">
        <v>1270</v>
      </c>
      <c r="Q243" s="7" t="s">
        <v>1271</v>
      </c>
      <c r="R243" s="7" t="s">
        <v>493</v>
      </c>
      <c r="S243" s="65">
        <v>3097.0</v>
      </c>
      <c r="T243" s="7"/>
      <c r="U243" s="7"/>
    </row>
    <row r="244">
      <c r="A244" s="45">
        <v>45884.731620370374</v>
      </c>
      <c r="B244" s="7" t="s">
        <v>366</v>
      </c>
      <c r="C244" s="67" t="s">
        <v>2022</v>
      </c>
      <c r="D244" s="74">
        <v>1.0</v>
      </c>
      <c r="E244" s="74">
        <v>1.0</v>
      </c>
      <c r="F244" s="47">
        <v>124.99</v>
      </c>
      <c r="G244" s="47">
        <v>0.0</v>
      </c>
      <c r="H244" s="7"/>
      <c r="I244" s="47">
        <v>5.8</v>
      </c>
      <c r="J244" s="8"/>
      <c r="K244" s="7"/>
      <c r="L244" s="7"/>
      <c r="M244" s="7"/>
      <c r="N244" s="7"/>
      <c r="O244" s="7" t="s">
        <v>2040</v>
      </c>
      <c r="P244" s="7"/>
      <c r="Q244" s="7" t="s">
        <v>572</v>
      </c>
      <c r="R244" s="7" t="s">
        <v>510</v>
      </c>
      <c r="S244" s="65">
        <v>3084.0</v>
      </c>
      <c r="T244" s="7"/>
      <c r="U244" s="7"/>
    </row>
    <row r="245">
      <c r="A245" s="45">
        <v>45884.731157407405</v>
      </c>
      <c r="B245" s="7" t="s">
        <v>1394</v>
      </c>
      <c r="C245" s="67" t="s">
        <v>2022</v>
      </c>
      <c r="D245" s="74">
        <v>1.0</v>
      </c>
      <c r="E245" s="74">
        <v>1.0</v>
      </c>
      <c r="F245" s="47">
        <v>124.99</v>
      </c>
      <c r="G245" s="47">
        <v>0.0</v>
      </c>
      <c r="H245" s="7"/>
      <c r="I245" s="47">
        <v>5.8</v>
      </c>
      <c r="J245" s="8"/>
      <c r="K245" s="7"/>
      <c r="L245" s="7"/>
      <c r="M245" s="7"/>
      <c r="N245" s="7"/>
      <c r="O245" s="7" t="s">
        <v>1395</v>
      </c>
      <c r="P245" s="7"/>
      <c r="Q245" s="7" t="s">
        <v>1396</v>
      </c>
      <c r="R245" s="7" t="s">
        <v>542</v>
      </c>
      <c r="S245" s="65">
        <v>3096.0</v>
      </c>
      <c r="T245" s="7"/>
      <c r="U245" s="7"/>
    </row>
    <row r="246">
      <c r="A246" s="45">
        <v>45884.73065972222</v>
      </c>
      <c r="B246" s="7" t="s">
        <v>396</v>
      </c>
      <c r="C246" s="7" t="s">
        <v>1864</v>
      </c>
      <c r="D246" s="74">
        <v>1.0</v>
      </c>
      <c r="E246" s="46"/>
      <c r="F246" s="47">
        <v>24.99</v>
      </c>
      <c r="G246" s="47">
        <v>0.0</v>
      </c>
      <c r="H246" s="7"/>
      <c r="I246" s="47">
        <v>1.02</v>
      </c>
      <c r="J246" s="8"/>
      <c r="K246" s="7"/>
      <c r="L246" s="7"/>
      <c r="M246" s="7"/>
      <c r="N246" s="7"/>
      <c r="O246" s="7" t="s">
        <v>2041</v>
      </c>
      <c r="P246" s="7" t="s">
        <v>1362</v>
      </c>
      <c r="Q246" s="7" t="s">
        <v>1363</v>
      </c>
      <c r="R246" s="7" t="s">
        <v>493</v>
      </c>
      <c r="S246" s="65">
        <v>3090.0</v>
      </c>
      <c r="T246" s="7"/>
      <c r="U246" s="7"/>
    </row>
    <row r="247">
      <c r="A247" s="45">
        <v>45884.73032407407</v>
      </c>
      <c r="B247" s="7" t="s">
        <v>1237</v>
      </c>
      <c r="C247" s="7" t="s">
        <v>1864</v>
      </c>
      <c r="D247" s="74">
        <v>1.0</v>
      </c>
      <c r="E247" s="46"/>
      <c r="F247" s="47">
        <v>27.05</v>
      </c>
      <c r="G247" s="47">
        <v>0.0</v>
      </c>
      <c r="H247" s="7"/>
      <c r="I247" s="47">
        <v>1.08</v>
      </c>
      <c r="J247" s="8"/>
      <c r="K247" s="7"/>
      <c r="L247" s="7"/>
      <c r="M247" s="7"/>
      <c r="N247" s="7"/>
      <c r="O247" s="7" t="s">
        <v>1238</v>
      </c>
      <c r="P247" s="7"/>
      <c r="Q247" s="7" t="s">
        <v>1239</v>
      </c>
      <c r="R247" s="7" t="s">
        <v>493</v>
      </c>
      <c r="S247" s="65">
        <v>3094.0</v>
      </c>
      <c r="T247" s="7"/>
      <c r="U247" s="7"/>
    </row>
    <row r="248">
      <c r="A248" s="45">
        <v>45884.72976851852</v>
      </c>
      <c r="B248" s="7" t="s">
        <v>723</v>
      </c>
      <c r="C248" s="7" t="s">
        <v>1864</v>
      </c>
      <c r="D248" s="74">
        <v>1.0</v>
      </c>
      <c r="E248" s="46"/>
      <c r="F248" s="47">
        <v>56.29</v>
      </c>
      <c r="G248" s="47">
        <v>0.0</v>
      </c>
      <c r="H248" s="7"/>
      <c r="I248" s="47">
        <v>2.78</v>
      </c>
      <c r="J248" s="8"/>
      <c r="K248" s="7"/>
      <c r="L248" s="7"/>
      <c r="M248" s="7"/>
      <c r="N248" s="7"/>
      <c r="O248" s="7" t="s">
        <v>724</v>
      </c>
      <c r="P248" s="7"/>
      <c r="Q248" s="7" t="s">
        <v>725</v>
      </c>
      <c r="R248" s="7" t="s">
        <v>726</v>
      </c>
      <c r="S248" s="65">
        <v>3093.0</v>
      </c>
      <c r="T248" s="7"/>
      <c r="U248" s="7"/>
    </row>
    <row r="249">
      <c r="A249" s="45">
        <v>45884.7296875</v>
      </c>
      <c r="B249" s="7" t="s">
        <v>2042</v>
      </c>
      <c r="C249" s="7" t="s">
        <v>1864</v>
      </c>
      <c r="D249" s="74">
        <v>1.0</v>
      </c>
      <c r="E249" s="46"/>
      <c r="F249" s="47">
        <v>24.99</v>
      </c>
      <c r="G249" s="47">
        <v>0.0</v>
      </c>
      <c r="H249" s="7"/>
      <c r="I249" s="47">
        <v>1.4</v>
      </c>
      <c r="J249" s="8"/>
      <c r="K249" s="7"/>
      <c r="L249" s="7"/>
      <c r="M249" s="7"/>
      <c r="N249" s="7"/>
      <c r="O249" s="7" t="s">
        <v>1314</v>
      </c>
      <c r="P249" s="7"/>
      <c r="Q249" s="7" t="s">
        <v>1315</v>
      </c>
      <c r="R249" s="7" t="s">
        <v>542</v>
      </c>
      <c r="S249" s="65">
        <v>3091.0</v>
      </c>
      <c r="T249" s="7"/>
      <c r="U249" s="7"/>
    </row>
    <row r="250">
      <c r="A250" s="45">
        <v>45884.729409722226</v>
      </c>
      <c r="B250" s="7" t="s">
        <v>406</v>
      </c>
      <c r="C250" s="7" t="s">
        <v>1864</v>
      </c>
      <c r="D250" s="74">
        <v>1.0</v>
      </c>
      <c r="E250" s="46"/>
      <c r="F250" s="47">
        <v>24.99</v>
      </c>
      <c r="G250" s="47">
        <v>0.0</v>
      </c>
      <c r="H250" s="7"/>
      <c r="I250" s="47">
        <v>1.4</v>
      </c>
      <c r="J250" s="8"/>
      <c r="K250" s="7"/>
      <c r="L250" s="7"/>
      <c r="M250" s="7"/>
      <c r="N250" s="7"/>
      <c r="O250" s="7" t="s">
        <v>1555</v>
      </c>
      <c r="P250" s="7"/>
      <c r="Q250" s="7" t="s">
        <v>1556</v>
      </c>
      <c r="R250" s="7" t="s">
        <v>545</v>
      </c>
      <c r="S250" s="65">
        <v>3089.0</v>
      </c>
      <c r="T250" s="7"/>
      <c r="U250" s="7"/>
    </row>
    <row r="251">
      <c r="A251" s="45">
        <v>45884.72707175926</v>
      </c>
      <c r="B251" s="7" t="s">
        <v>344</v>
      </c>
      <c r="C251" s="67" t="s">
        <v>2022</v>
      </c>
      <c r="D251" s="74">
        <v>1.0</v>
      </c>
      <c r="E251" s="74">
        <v>1.0</v>
      </c>
      <c r="F251" s="47">
        <v>124.99</v>
      </c>
      <c r="G251" s="47">
        <v>0.0</v>
      </c>
      <c r="H251" s="7"/>
      <c r="I251" s="47">
        <v>5.8</v>
      </c>
      <c r="J251" s="8"/>
      <c r="K251" s="7"/>
      <c r="L251" s="7"/>
      <c r="M251" s="7"/>
      <c r="N251" s="7"/>
      <c r="O251" s="7" t="s">
        <v>1189</v>
      </c>
      <c r="P251" s="7"/>
      <c r="Q251" s="7" t="s">
        <v>1190</v>
      </c>
      <c r="R251" s="7" t="s">
        <v>525</v>
      </c>
      <c r="S251" s="65">
        <v>3087.0</v>
      </c>
      <c r="T251" s="7"/>
      <c r="U251" s="7"/>
    </row>
    <row r="252">
      <c r="A252" s="45">
        <v>45884.726747685185</v>
      </c>
      <c r="B252" s="7" t="s">
        <v>1191</v>
      </c>
      <c r="C252" s="7" t="s">
        <v>1864</v>
      </c>
      <c r="D252" s="74">
        <v>1.0</v>
      </c>
      <c r="E252" s="46"/>
      <c r="F252" s="47">
        <v>27.3</v>
      </c>
      <c r="G252" s="47">
        <v>0.0</v>
      </c>
      <c r="H252" s="7"/>
      <c r="I252" s="47">
        <v>1.09</v>
      </c>
      <c r="J252" s="8"/>
      <c r="K252" s="7"/>
      <c r="L252" s="7"/>
      <c r="M252" s="7"/>
      <c r="N252" s="7"/>
      <c r="O252" s="7" t="s">
        <v>1192</v>
      </c>
      <c r="P252" s="7"/>
      <c r="Q252" s="7" t="s">
        <v>1193</v>
      </c>
      <c r="R252" s="7" t="s">
        <v>493</v>
      </c>
      <c r="S252" s="65">
        <v>3086.0</v>
      </c>
      <c r="T252" s="7"/>
      <c r="U252" s="7"/>
    </row>
    <row r="253">
      <c r="A253" s="45">
        <v>45884.72670138889</v>
      </c>
      <c r="B253" s="7" t="s">
        <v>217</v>
      </c>
      <c r="C253" s="67" t="s">
        <v>2022</v>
      </c>
      <c r="D253" s="74">
        <v>1.0</v>
      </c>
      <c r="E253" s="74">
        <v>1.0</v>
      </c>
      <c r="F253" s="47">
        <v>124.99</v>
      </c>
      <c r="G253" s="47">
        <v>0.0</v>
      </c>
      <c r="H253" s="7"/>
      <c r="I253" s="47">
        <v>5.8</v>
      </c>
      <c r="J253" s="8"/>
      <c r="K253" s="7"/>
      <c r="L253" s="7"/>
      <c r="M253" s="7"/>
      <c r="N253" s="7"/>
      <c r="O253" s="7" t="s">
        <v>1148</v>
      </c>
      <c r="P253" s="7"/>
      <c r="Q253" s="7" t="s">
        <v>1150</v>
      </c>
      <c r="R253" s="7" t="s">
        <v>555</v>
      </c>
      <c r="S253" s="65">
        <v>3081.0</v>
      </c>
      <c r="T253" s="7"/>
      <c r="U253" s="7"/>
    </row>
    <row r="254">
      <c r="A254" s="45">
        <v>45884.72640046296</v>
      </c>
      <c r="B254" s="7" t="s">
        <v>518</v>
      </c>
      <c r="C254" s="7" t="s">
        <v>1864</v>
      </c>
      <c r="D254" s="74">
        <v>1.0</v>
      </c>
      <c r="E254" s="46"/>
      <c r="F254" s="47">
        <v>24.99</v>
      </c>
      <c r="G254" s="47">
        <v>0.0</v>
      </c>
      <c r="H254" s="7"/>
      <c r="I254" s="47">
        <v>1.4</v>
      </c>
      <c r="J254" s="8"/>
      <c r="K254" s="7"/>
      <c r="L254" s="7"/>
      <c r="M254" s="7"/>
      <c r="N254" s="7"/>
      <c r="O254" s="7" t="s">
        <v>1499</v>
      </c>
      <c r="P254" s="7"/>
      <c r="Q254" s="7" t="s">
        <v>520</v>
      </c>
      <c r="R254" s="7" t="s">
        <v>521</v>
      </c>
      <c r="S254" s="65">
        <v>3083.0</v>
      </c>
      <c r="T254" s="7"/>
      <c r="U254" s="7"/>
    </row>
    <row r="255">
      <c r="A255" s="45">
        <v>45884.72516203704</v>
      </c>
      <c r="B255" s="7" t="s">
        <v>199</v>
      </c>
      <c r="C255" s="67" t="s">
        <v>2022</v>
      </c>
      <c r="D255" s="74">
        <v>1.0</v>
      </c>
      <c r="E255" s="74">
        <v>1.0</v>
      </c>
      <c r="F255" s="47">
        <v>124.99</v>
      </c>
      <c r="G255" s="47">
        <v>0.0</v>
      </c>
      <c r="H255" s="7"/>
      <c r="I255" s="47">
        <v>5.8</v>
      </c>
      <c r="J255" s="8"/>
      <c r="K255" s="7"/>
      <c r="L255" s="7"/>
      <c r="M255" s="7"/>
      <c r="N255" s="7"/>
      <c r="O255" s="7" t="s">
        <v>2043</v>
      </c>
      <c r="P255" s="65">
        <v>16.0</v>
      </c>
      <c r="Q255" s="7" t="s">
        <v>1379</v>
      </c>
      <c r="R255" s="7" t="s">
        <v>525</v>
      </c>
      <c r="S255" s="65">
        <v>3080.0</v>
      </c>
      <c r="T255" s="7"/>
      <c r="U255" s="7"/>
    </row>
    <row r="256">
      <c r="A256" s="45">
        <v>45884.723969907405</v>
      </c>
      <c r="B256" s="7" t="s">
        <v>1501</v>
      </c>
      <c r="C256" s="7" t="s">
        <v>1864</v>
      </c>
      <c r="D256" s="74">
        <v>1.0</v>
      </c>
      <c r="E256" s="46"/>
      <c r="F256" s="47">
        <v>24.99</v>
      </c>
      <c r="G256" s="47">
        <v>0.0</v>
      </c>
      <c r="H256" s="7"/>
      <c r="I256" s="47">
        <v>1.4</v>
      </c>
      <c r="J256" s="8"/>
      <c r="K256" s="7"/>
      <c r="L256" s="7"/>
      <c r="M256" s="7"/>
      <c r="N256" s="7"/>
      <c r="O256" s="7" t="s">
        <v>2044</v>
      </c>
      <c r="P256" s="7" t="s">
        <v>2045</v>
      </c>
      <c r="Q256" s="7" t="s">
        <v>789</v>
      </c>
      <c r="R256" s="7" t="s">
        <v>617</v>
      </c>
      <c r="S256" s="65">
        <v>3077.0</v>
      </c>
      <c r="T256" s="7"/>
      <c r="U256" s="7"/>
    </row>
    <row r="257">
      <c r="A257" s="45">
        <v>45884.7231712963</v>
      </c>
      <c r="B257" s="7" t="s">
        <v>2046</v>
      </c>
      <c r="C257" s="7" t="s">
        <v>1864</v>
      </c>
      <c r="D257" s="74">
        <v>1.0</v>
      </c>
      <c r="E257" s="46"/>
      <c r="F257" s="47">
        <v>24.99</v>
      </c>
      <c r="G257" s="47">
        <v>0.0</v>
      </c>
      <c r="H257" s="7"/>
      <c r="I257" s="47">
        <v>1.4</v>
      </c>
      <c r="J257" s="8"/>
      <c r="K257" s="7"/>
      <c r="L257" s="7"/>
      <c r="M257" s="7"/>
      <c r="N257" s="7"/>
      <c r="O257" s="7" t="s">
        <v>2047</v>
      </c>
      <c r="P257" s="7"/>
      <c r="Q257" s="7" t="s">
        <v>962</v>
      </c>
      <c r="R257" s="7" t="s">
        <v>726</v>
      </c>
      <c r="S257" s="65">
        <v>3076.0</v>
      </c>
      <c r="T257" s="7"/>
      <c r="U257" s="7"/>
    </row>
    <row r="258">
      <c r="A258" s="45">
        <v>45884.72314814815</v>
      </c>
      <c r="B258" s="7" t="s">
        <v>463</v>
      </c>
      <c r="C258" s="7" t="s">
        <v>1864</v>
      </c>
      <c r="D258" s="74">
        <v>1.0</v>
      </c>
      <c r="E258" s="46"/>
      <c r="F258" s="47">
        <v>24.99</v>
      </c>
      <c r="G258" s="47">
        <v>0.0</v>
      </c>
      <c r="H258" s="7"/>
      <c r="I258" s="47">
        <v>1.02</v>
      </c>
      <c r="J258" s="8"/>
      <c r="K258" s="7"/>
      <c r="L258" s="7"/>
      <c r="M258" s="7"/>
      <c r="N258" s="7"/>
      <c r="O258" s="7" t="s">
        <v>1301</v>
      </c>
      <c r="P258" s="7"/>
      <c r="Q258" s="7" t="s">
        <v>1302</v>
      </c>
      <c r="R258" s="7" t="s">
        <v>493</v>
      </c>
      <c r="S258" s="65">
        <v>3075.0</v>
      </c>
      <c r="T258" s="7"/>
      <c r="U258" s="7"/>
    </row>
    <row r="259">
      <c r="A259" s="45">
        <v>45884.72284722222</v>
      </c>
      <c r="B259" s="7" t="s">
        <v>289</v>
      </c>
      <c r="C259" s="7" t="s">
        <v>1864</v>
      </c>
      <c r="D259" s="74">
        <v>1.0</v>
      </c>
      <c r="E259" s="46"/>
      <c r="F259" s="47">
        <v>24.99</v>
      </c>
      <c r="G259" s="47">
        <v>0.0</v>
      </c>
      <c r="H259" s="7"/>
      <c r="I259" s="47">
        <v>1.02</v>
      </c>
      <c r="J259" s="8"/>
      <c r="K259" s="7"/>
      <c r="L259" s="7"/>
      <c r="M259" s="7"/>
      <c r="N259" s="7"/>
      <c r="O259" s="7" t="s">
        <v>1305</v>
      </c>
      <c r="P259" s="7"/>
      <c r="Q259" s="7" t="s">
        <v>1306</v>
      </c>
      <c r="R259" s="7" t="s">
        <v>493</v>
      </c>
      <c r="S259" s="65">
        <v>3063.0</v>
      </c>
      <c r="T259" s="7"/>
      <c r="U259" s="7"/>
    </row>
    <row r="260">
      <c r="A260" s="45">
        <v>45884.72222222222</v>
      </c>
      <c r="B260" s="7" t="s">
        <v>410</v>
      </c>
      <c r="C260" s="67" t="s">
        <v>2022</v>
      </c>
      <c r="D260" s="74">
        <v>1.0</v>
      </c>
      <c r="E260" s="74">
        <v>1.0</v>
      </c>
      <c r="F260" s="47">
        <v>124.99</v>
      </c>
      <c r="G260" s="47">
        <v>0.0</v>
      </c>
      <c r="H260" s="7"/>
      <c r="I260" s="47">
        <v>3.92</v>
      </c>
      <c r="J260" s="8"/>
      <c r="K260" s="7"/>
      <c r="L260" s="7"/>
      <c r="M260" s="7"/>
      <c r="N260" s="7"/>
      <c r="O260" s="7" t="s">
        <v>1186</v>
      </c>
      <c r="P260" s="7"/>
      <c r="Q260" s="7" t="s">
        <v>1187</v>
      </c>
      <c r="R260" s="7" t="s">
        <v>493</v>
      </c>
      <c r="S260" s="65">
        <v>3073.0</v>
      </c>
      <c r="T260" s="7"/>
      <c r="U260" s="7"/>
    </row>
    <row r="261">
      <c r="A261" s="45">
        <v>45884.72185185185</v>
      </c>
      <c r="B261" s="7" t="s">
        <v>333</v>
      </c>
      <c r="C261" s="7" t="s">
        <v>1864</v>
      </c>
      <c r="D261" s="74">
        <v>1.0</v>
      </c>
      <c r="E261" s="46"/>
      <c r="F261" s="47">
        <v>24.99</v>
      </c>
      <c r="G261" s="47">
        <v>0.0</v>
      </c>
      <c r="H261" s="7"/>
      <c r="I261" s="47">
        <v>1.02</v>
      </c>
      <c r="J261" s="8"/>
      <c r="K261" s="7"/>
      <c r="L261" s="7"/>
      <c r="M261" s="7"/>
      <c r="N261" s="7"/>
      <c r="O261" s="7" t="s">
        <v>801</v>
      </c>
      <c r="P261" s="7"/>
      <c r="Q261" s="7" t="s">
        <v>802</v>
      </c>
      <c r="R261" s="7" t="s">
        <v>493</v>
      </c>
      <c r="S261" s="65">
        <v>3069.0</v>
      </c>
      <c r="T261" s="7"/>
      <c r="U261" s="7"/>
    </row>
    <row r="262">
      <c r="A262" s="45">
        <v>45884.72180555556</v>
      </c>
      <c r="B262" s="7" t="s">
        <v>365</v>
      </c>
      <c r="C262" s="67" t="s">
        <v>2022</v>
      </c>
      <c r="D262" s="74">
        <v>1.0</v>
      </c>
      <c r="E262" s="74">
        <v>1.0</v>
      </c>
      <c r="F262" s="47">
        <v>124.99</v>
      </c>
      <c r="G262" s="47">
        <v>0.0</v>
      </c>
      <c r="H262" s="7"/>
      <c r="I262" s="47">
        <v>5.8</v>
      </c>
      <c r="J262" s="8"/>
      <c r="K262" s="7"/>
      <c r="L262" s="7"/>
      <c r="M262" s="7"/>
      <c r="N262" s="7"/>
      <c r="O262" s="7" t="s">
        <v>1021</v>
      </c>
      <c r="P262" s="7"/>
      <c r="Q262" s="7" t="s">
        <v>1022</v>
      </c>
      <c r="R262" s="7" t="s">
        <v>545</v>
      </c>
      <c r="S262" s="65">
        <v>3070.0</v>
      </c>
      <c r="T262" s="7"/>
      <c r="U262" s="7"/>
    </row>
    <row r="263">
      <c r="A263" s="45">
        <v>45884.72163194444</v>
      </c>
      <c r="B263" s="7" t="s">
        <v>416</v>
      </c>
      <c r="C263" s="7" t="s">
        <v>1864</v>
      </c>
      <c r="D263" s="74">
        <v>1.0</v>
      </c>
      <c r="E263" s="46"/>
      <c r="F263" s="47">
        <v>24.99</v>
      </c>
      <c r="G263" s="47">
        <v>0.0</v>
      </c>
      <c r="H263" s="7"/>
      <c r="I263" s="47">
        <v>1.02</v>
      </c>
      <c r="J263" s="8"/>
      <c r="K263" s="7"/>
      <c r="L263" s="7"/>
      <c r="M263" s="7"/>
      <c r="N263" s="7"/>
      <c r="O263" s="7" t="s">
        <v>1440</v>
      </c>
      <c r="P263" s="7" t="s">
        <v>1441</v>
      </c>
      <c r="Q263" s="7" t="s">
        <v>1442</v>
      </c>
      <c r="R263" s="7" t="s">
        <v>493</v>
      </c>
      <c r="S263" s="65">
        <v>3068.0</v>
      </c>
      <c r="T263" s="7"/>
      <c r="U263" s="7"/>
    </row>
    <row r="264">
      <c r="A264" s="45">
        <v>45884.72149305556</v>
      </c>
      <c r="B264" s="7" t="s">
        <v>2048</v>
      </c>
      <c r="C264" s="67" t="s">
        <v>2022</v>
      </c>
      <c r="D264" s="74">
        <v>1.0</v>
      </c>
      <c r="E264" s="74">
        <v>1.0</v>
      </c>
      <c r="F264" s="47">
        <v>177.97</v>
      </c>
      <c r="G264" s="47">
        <v>0.0</v>
      </c>
      <c r="H264" s="7"/>
      <c r="I264" s="47">
        <v>8.13</v>
      </c>
      <c r="J264" s="8"/>
      <c r="K264" s="7"/>
      <c r="L264" s="7"/>
      <c r="M264" s="7"/>
      <c r="N264" s="7"/>
      <c r="O264" s="7" t="s">
        <v>1625</v>
      </c>
      <c r="P264" s="7" t="s">
        <v>1626</v>
      </c>
      <c r="Q264" s="7" t="s">
        <v>875</v>
      </c>
      <c r="R264" s="7" t="s">
        <v>555</v>
      </c>
      <c r="S264" s="65">
        <v>3065.0</v>
      </c>
      <c r="T264" s="7"/>
      <c r="U264" s="7"/>
    </row>
    <row r="265">
      <c r="A265" s="45">
        <v>45884.721354166664</v>
      </c>
      <c r="B265" s="7" t="s">
        <v>1822</v>
      </c>
      <c r="C265" s="67" t="s">
        <v>2022</v>
      </c>
      <c r="D265" s="74">
        <v>1.0</v>
      </c>
      <c r="E265" s="74">
        <v>1.0</v>
      </c>
      <c r="F265" s="47">
        <v>135.3</v>
      </c>
      <c r="G265" s="47">
        <v>0.0</v>
      </c>
      <c r="H265" s="7"/>
      <c r="I265" s="47">
        <v>4.22</v>
      </c>
      <c r="J265" s="8"/>
      <c r="K265" s="7"/>
      <c r="L265" s="7"/>
      <c r="M265" s="7"/>
      <c r="N265" s="7"/>
      <c r="O265" s="7" t="s">
        <v>1823</v>
      </c>
      <c r="P265" s="7"/>
      <c r="Q265" s="7" t="s">
        <v>1356</v>
      </c>
      <c r="R265" s="7" t="s">
        <v>493</v>
      </c>
      <c r="S265" s="65">
        <v>3067.0</v>
      </c>
      <c r="T265" s="7"/>
      <c r="U265" s="7"/>
    </row>
    <row r="266">
      <c r="A266" s="45">
        <v>45884.721238425926</v>
      </c>
      <c r="B266" s="7" t="s">
        <v>316</v>
      </c>
      <c r="C266" s="7" t="s">
        <v>1864</v>
      </c>
      <c r="D266" s="74">
        <v>1.0</v>
      </c>
      <c r="E266" s="46"/>
      <c r="F266" s="47">
        <v>24.99</v>
      </c>
      <c r="G266" s="47">
        <v>0.0</v>
      </c>
      <c r="H266" s="7"/>
      <c r="I266" s="47">
        <v>1.02</v>
      </c>
      <c r="J266" s="8"/>
      <c r="K266" s="7"/>
      <c r="L266" s="7"/>
      <c r="M266" s="7"/>
      <c r="N266" s="7"/>
      <c r="O266" s="7"/>
      <c r="P266" s="7"/>
      <c r="Q266" s="7"/>
      <c r="R266" s="7" t="s">
        <v>493</v>
      </c>
      <c r="S266" s="65">
        <v>3066.0</v>
      </c>
      <c r="T266" s="7"/>
      <c r="U266" s="7"/>
    </row>
    <row r="267">
      <c r="A267" s="45">
        <v>45884.718298611115</v>
      </c>
      <c r="B267" s="7" t="s">
        <v>374</v>
      </c>
      <c r="C267" s="7" t="s">
        <v>1864</v>
      </c>
      <c r="D267" s="74">
        <v>1.0</v>
      </c>
      <c r="E267" s="46"/>
      <c r="F267" s="47">
        <v>24.99</v>
      </c>
      <c r="G267" s="47">
        <v>0.0</v>
      </c>
      <c r="H267" s="7"/>
      <c r="I267" s="47">
        <v>1.4</v>
      </c>
      <c r="J267" s="8"/>
      <c r="K267" s="7"/>
      <c r="L267" s="7"/>
      <c r="M267" s="7"/>
      <c r="N267" s="7"/>
      <c r="O267" s="7" t="s">
        <v>507</v>
      </c>
      <c r="P267" s="7" t="s">
        <v>508</v>
      </c>
      <c r="Q267" s="7" t="s">
        <v>509</v>
      </c>
      <c r="R267" s="7" t="s">
        <v>510</v>
      </c>
      <c r="S267" s="65">
        <v>3061.0</v>
      </c>
      <c r="T267" s="7"/>
      <c r="U267" s="7"/>
    </row>
    <row r="268">
      <c r="A268" s="45">
        <v>45884.717094907406</v>
      </c>
      <c r="B268" s="7" t="s">
        <v>319</v>
      </c>
      <c r="C268" s="67" t="s">
        <v>2022</v>
      </c>
      <c r="D268" s="74">
        <v>1.0</v>
      </c>
      <c r="E268" s="74">
        <v>1.0</v>
      </c>
      <c r="F268" s="47">
        <v>124.99</v>
      </c>
      <c r="G268" s="47">
        <v>0.0</v>
      </c>
      <c r="H268" s="7"/>
      <c r="I268" s="47">
        <v>3.92</v>
      </c>
      <c r="J268" s="8"/>
      <c r="K268" s="7"/>
      <c r="L268" s="7"/>
      <c r="M268" s="7"/>
      <c r="N268" s="7"/>
      <c r="O268" s="7" t="s">
        <v>1248</v>
      </c>
      <c r="P268" s="7"/>
      <c r="Q268" s="7" t="s">
        <v>1249</v>
      </c>
      <c r="R268" s="7" t="s">
        <v>493</v>
      </c>
      <c r="S268" s="65">
        <v>3053.0</v>
      </c>
      <c r="T268" s="7"/>
      <c r="U268" s="7"/>
    </row>
    <row r="269">
      <c r="A269" s="45">
        <v>45884.71668981481</v>
      </c>
      <c r="B269" s="7" t="s">
        <v>338</v>
      </c>
      <c r="C269" s="7" t="s">
        <v>1864</v>
      </c>
      <c r="D269" s="74">
        <v>1.0</v>
      </c>
      <c r="E269" s="46"/>
      <c r="F269" s="47">
        <v>24.99</v>
      </c>
      <c r="G269" s="47">
        <v>0.0</v>
      </c>
      <c r="H269" s="7"/>
      <c r="I269" s="47">
        <v>1.02</v>
      </c>
      <c r="J269" s="8"/>
      <c r="K269" s="7"/>
      <c r="L269" s="7"/>
      <c r="M269" s="7"/>
      <c r="N269" s="7"/>
      <c r="O269" s="7" t="s">
        <v>1062</v>
      </c>
      <c r="P269" s="7"/>
      <c r="Q269" s="7" t="s">
        <v>1063</v>
      </c>
      <c r="R269" s="7" t="s">
        <v>493</v>
      </c>
      <c r="S269" s="65">
        <v>3059.0</v>
      </c>
      <c r="T269" s="7"/>
      <c r="U269" s="7"/>
    </row>
    <row r="270">
      <c r="A270" s="45">
        <v>45884.716678240744</v>
      </c>
      <c r="B270" s="7" t="s">
        <v>137</v>
      </c>
      <c r="C270" s="67" t="s">
        <v>2022</v>
      </c>
      <c r="D270" s="74">
        <v>1.0</v>
      </c>
      <c r="E270" s="74">
        <v>1.0</v>
      </c>
      <c r="F270" s="47">
        <v>137.22</v>
      </c>
      <c r="G270" s="47">
        <v>0.0</v>
      </c>
      <c r="H270" s="7"/>
      <c r="I270" s="47">
        <v>4.28</v>
      </c>
      <c r="J270" s="8"/>
      <c r="K270" s="7"/>
      <c r="L270" s="7"/>
      <c r="M270" s="7"/>
      <c r="N270" s="7"/>
      <c r="O270" s="7" t="s">
        <v>1230</v>
      </c>
      <c r="P270" s="7"/>
      <c r="Q270" s="7" t="s">
        <v>1231</v>
      </c>
      <c r="R270" s="7" t="s">
        <v>493</v>
      </c>
      <c r="S270" s="65">
        <v>3060.0</v>
      </c>
      <c r="T270" s="7"/>
      <c r="U270" s="7"/>
    </row>
    <row r="271">
      <c r="A271" s="45">
        <v>45884.716319444444</v>
      </c>
      <c r="B271" s="7" t="s">
        <v>2049</v>
      </c>
      <c r="C271" s="7" t="s">
        <v>1864</v>
      </c>
      <c r="D271" s="74">
        <v>1.0</v>
      </c>
      <c r="E271" s="46"/>
      <c r="F271" s="47">
        <v>24.99</v>
      </c>
      <c r="G271" s="47">
        <v>0.0</v>
      </c>
      <c r="H271" s="7"/>
      <c r="I271" s="47">
        <v>1.02</v>
      </c>
      <c r="J271" s="8"/>
      <c r="K271" s="7"/>
      <c r="L271" s="7"/>
      <c r="M271" s="7"/>
      <c r="N271" s="7"/>
      <c r="O271" s="7"/>
      <c r="P271" s="7"/>
      <c r="Q271" s="7"/>
      <c r="R271" s="7" t="s">
        <v>493</v>
      </c>
      <c r="S271" s="65">
        <v>3056.0</v>
      </c>
      <c r="T271" s="7"/>
      <c r="U271" s="7"/>
    </row>
    <row r="272">
      <c r="A272" s="45">
        <v>45884.71616898148</v>
      </c>
      <c r="B272" s="7" t="s">
        <v>323</v>
      </c>
      <c r="C272" s="7" t="s">
        <v>1864</v>
      </c>
      <c r="D272" s="74">
        <v>1.0</v>
      </c>
      <c r="E272" s="46"/>
      <c r="F272" s="47">
        <v>24.99</v>
      </c>
      <c r="G272" s="47">
        <v>0.0</v>
      </c>
      <c r="H272" s="7"/>
      <c r="I272" s="47">
        <v>1.4</v>
      </c>
      <c r="J272" s="8"/>
      <c r="K272" s="7"/>
      <c r="L272" s="7"/>
      <c r="M272" s="7"/>
      <c r="N272" s="7"/>
      <c r="O272" s="7"/>
      <c r="P272" s="7"/>
      <c r="Q272" s="7"/>
      <c r="R272" s="7" t="s">
        <v>726</v>
      </c>
      <c r="S272" s="65">
        <v>3055.0</v>
      </c>
      <c r="T272" s="7"/>
      <c r="U272" s="7"/>
    </row>
    <row r="273">
      <c r="A273" s="45">
        <v>45884.71575231481</v>
      </c>
      <c r="B273" s="7" t="s">
        <v>136</v>
      </c>
      <c r="C273" s="7" t="s">
        <v>1864</v>
      </c>
      <c r="D273" s="74">
        <v>1.0</v>
      </c>
      <c r="E273" s="46"/>
      <c r="F273" s="47">
        <v>24.99</v>
      </c>
      <c r="G273" s="47">
        <v>0.0</v>
      </c>
      <c r="H273" s="7"/>
      <c r="I273" s="47">
        <v>1.02</v>
      </c>
      <c r="J273" s="8"/>
      <c r="K273" s="7"/>
      <c r="L273" s="7"/>
      <c r="M273" s="7"/>
      <c r="N273" s="7"/>
      <c r="O273" s="7" t="s">
        <v>652</v>
      </c>
      <c r="P273" s="7"/>
      <c r="Q273" s="7" t="s">
        <v>653</v>
      </c>
      <c r="R273" s="7" t="s">
        <v>493</v>
      </c>
      <c r="S273" s="65">
        <v>3058.0</v>
      </c>
      <c r="T273" s="7"/>
      <c r="U273" s="7"/>
    </row>
    <row r="274">
      <c r="A274" s="45">
        <v>45884.71469907407</v>
      </c>
      <c r="B274" s="7" t="s">
        <v>360</v>
      </c>
      <c r="C274" s="7" t="s">
        <v>1864</v>
      </c>
      <c r="D274" s="74">
        <v>1.0</v>
      </c>
      <c r="E274" s="46"/>
      <c r="F274" s="47">
        <v>24.99</v>
      </c>
      <c r="G274" s="47">
        <v>0.0</v>
      </c>
      <c r="H274" s="7"/>
      <c r="I274" s="47">
        <v>1.4</v>
      </c>
      <c r="J274" s="8"/>
      <c r="K274" s="7"/>
      <c r="L274" s="7"/>
      <c r="M274" s="7"/>
      <c r="N274" s="7"/>
      <c r="O274" s="7" t="s">
        <v>1265</v>
      </c>
      <c r="P274" s="7"/>
      <c r="Q274" s="7" t="s">
        <v>1266</v>
      </c>
      <c r="R274" s="7" t="s">
        <v>542</v>
      </c>
      <c r="S274" s="65">
        <v>3051.0</v>
      </c>
      <c r="T274" s="7"/>
      <c r="U274" s="7"/>
    </row>
    <row r="275">
      <c r="A275" s="45">
        <v>45884.71399305556</v>
      </c>
      <c r="B275" s="7" t="s">
        <v>1225</v>
      </c>
      <c r="C275" s="7" t="s">
        <v>1864</v>
      </c>
      <c r="D275" s="74">
        <v>1.0</v>
      </c>
      <c r="E275" s="46"/>
      <c r="F275" s="47">
        <v>24.99</v>
      </c>
      <c r="G275" s="47">
        <v>0.0</v>
      </c>
      <c r="H275" s="7"/>
      <c r="I275" s="47">
        <v>1.4</v>
      </c>
      <c r="J275" s="8"/>
      <c r="K275" s="7"/>
      <c r="L275" s="7"/>
      <c r="M275" s="7"/>
      <c r="N275" s="7"/>
      <c r="O275" s="7" t="s">
        <v>1226</v>
      </c>
      <c r="P275" s="7"/>
      <c r="Q275" s="7" t="s">
        <v>1227</v>
      </c>
      <c r="R275" s="7" t="s">
        <v>726</v>
      </c>
      <c r="S275" s="65">
        <v>3049.0</v>
      </c>
      <c r="T275" s="7"/>
      <c r="U275" s="7"/>
    </row>
    <row r="276">
      <c r="A276" s="45">
        <v>45884.713912037034</v>
      </c>
      <c r="B276" s="7" t="s">
        <v>378</v>
      </c>
      <c r="C276" s="67" t="s">
        <v>2022</v>
      </c>
      <c r="D276" s="74">
        <v>1.0</v>
      </c>
      <c r="E276" s="74">
        <v>1.0</v>
      </c>
      <c r="F276" s="47">
        <v>124.99</v>
      </c>
      <c r="G276" s="47">
        <v>0.0</v>
      </c>
      <c r="H276" s="7"/>
      <c r="I276" s="47">
        <v>3.92</v>
      </c>
      <c r="J276" s="8"/>
      <c r="K276" s="7"/>
      <c r="L276" s="7"/>
      <c r="M276" s="7"/>
      <c r="N276" s="7"/>
      <c r="O276" s="7" t="s">
        <v>772</v>
      </c>
      <c r="P276" s="7"/>
      <c r="Q276" s="7" t="s">
        <v>773</v>
      </c>
      <c r="R276" s="7" t="s">
        <v>493</v>
      </c>
      <c r="S276" s="65">
        <v>3048.0</v>
      </c>
      <c r="T276" s="7"/>
      <c r="U276" s="7"/>
    </row>
    <row r="277">
      <c r="A277" s="45">
        <v>45884.71263888889</v>
      </c>
      <c r="B277" s="7" t="s">
        <v>253</v>
      </c>
      <c r="C277" s="67" t="s">
        <v>2022</v>
      </c>
      <c r="D277" s="74">
        <v>1.0</v>
      </c>
      <c r="E277" s="74">
        <v>1.0</v>
      </c>
      <c r="F277" s="47">
        <v>124.99</v>
      </c>
      <c r="G277" s="47">
        <v>0.0</v>
      </c>
      <c r="H277" s="7"/>
      <c r="I277" s="47">
        <v>3.92</v>
      </c>
      <c r="J277" s="8"/>
      <c r="K277" s="7"/>
      <c r="L277" s="7"/>
      <c r="M277" s="7"/>
      <c r="N277" s="7"/>
      <c r="O277" s="7" t="s">
        <v>927</v>
      </c>
      <c r="P277" s="7"/>
      <c r="Q277" s="7" t="s">
        <v>928</v>
      </c>
      <c r="R277" s="7" t="s">
        <v>493</v>
      </c>
      <c r="S277" s="65">
        <v>3043.0</v>
      </c>
      <c r="T277" s="7"/>
      <c r="U277" s="7"/>
    </row>
    <row r="278">
      <c r="A278" s="45">
        <v>45884.71261574074</v>
      </c>
      <c r="B278" s="7" t="s">
        <v>352</v>
      </c>
      <c r="C278" s="7" t="s">
        <v>1864</v>
      </c>
      <c r="D278" s="74">
        <v>1.0</v>
      </c>
      <c r="E278" s="46"/>
      <c r="F278" s="47">
        <v>24.99</v>
      </c>
      <c r="G278" s="47">
        <v>0.0</v>
      </c>
      <c r="H278" s="7"/>
      <c r="I278" s="47">
        <v>1.4</v>
      </c>
      <c r="J278" s="8"/>
      <c r="K278" s="7"/>
      <c r="L278" s="7"/>
      <c r="M278" s="7"/>
      <c r="N278" s="7"/>
      <c r="O278" s="7"/>
      <c r="P278" s="7"/>
      <c r="Q278" s="7"/>
      <c r="R278" s="7" t="s">
        <v>973</v>
      </c>
      <c r="S278" s="65">
        <v>3046.0</v>
      </c>
      <c r="T278" s="7"/>
      <c r="U278" s="7"/>
    </row>
    <row r="279">
      <c r="A279" s="45">
        <v>45884.71255787037</v>
      </c>
      <c r="B279" s="7" t="s">
        <v>205</v>
      </c>
      <c r="C279" s="7" t="s">
        <v>1864</v>
      </c>
      <c r="D279" s="74">
        <v>1.0</v>
      </c>
      <c r="E279" s="46"/>
      <c r="F279" s="47">
        <v>24.99</v>
      </c>
      <c r="G279" s="47">
        <v>0.0</v>
      </c>
      <c r="H279" s="7"/>
      <c r="I279" s="47">
        <v>1.4</v>
      </c>
      <c r="J279" s="8"/>
      <c r="K279" s="7"/>
      <c r="L279" s="7"/>
      <c r="M279" s="7"/>
      <c r="N279" s="7"/>
      <c r="O279" s="7" t="s">
        <v>964</v>
      </c>
      <c r="P279" s="65">
        <v>7.0</v>
      </c>
      <c r="Q279" s="7" t="s">
        <v>965</v>
      </c>
      <c r="R279" s="7" t="s">
        <v>966</v>
      </c>
      <c r="S279" s="65">
        <v>3047.0</v>
      </c>
      <c r="T279" s="7"/>
      <c r="U279" s="7"/>
    </row>
    <row r="280">
      <c r="A280" s="45">
        <v>45884.71179398148</v>
      </c>
      <c r="B280" s="7" t="s">
        <v>608</v>
      </c>
      <c r="C280" s="67" t="s">
        <v>2022</v>
      </c>
      <c r="D280" s="74">
        <v>1.0</v>
      </c>
      <c r="E280" s="74">
        <v>1.0</v>
      </c>
      <c r="F280" s="47">
        <v>124.99</v>
      </c>
      <c r="G280" s="47">
        <v>0.0</v>
      </c>
      <c r="H280" s="7"/>
      <c r="I280" s="47">
        <v>5.8</v>
      </c>
      <c r="J280" s="8"/>
      <c r="K280" s="7"/>
      <c r="L280" s="7"/>
      <c r="M280" s="7"/>
      <c r="N280" s="7"/>
      <c r="O280" s="7" t="s">
        <v>609</v>
      </c>
      <c r="P280" s="7" t="s">
        <v>610</v>
      </c>
      <c r="Q280" s="7" t="s">
        <v>611</v>
      </c>
      <c r="R280" s="7" t="s">
        <v>542</v>
      </c>
      <c r="S280" s="65">
        <v>3044.0</v>
      </c>
      <c r="T280" s="7"/>
      <c r="U280" s="7"/>
    </row>
    <row r="281">
      <c r="A281" s="45">
        <v>45884.711597222224</v>
      </c>
      <c r="B281" s="7" t="s">
        <v>336</v>
      </c>
      <c r="C281" s="67" t="s">
        <v>2022</v>
      </c>
      <c r="D281" s="74">
        <v>1.0</v>
      </c>
      <c r="E281" s="74">
        <v>1.0</v>
      </c>
      <c r="F281" s="47">
        <v>124.99</v>
      </c>
      <c r="G281" s="47">
        <v>0.0</v>
      </c>
      <c r="H281" s="7"/>
      <c r="I281" s="47">
        <v>3.92</v>
      </c>
      <c r="J281" s="8"/>
      <c r="K281" s="7"/>
      <c r="L281" s="7"/>
      <c r="M281" s="7"/>
      <c r="N281" s="7"/>
      <c r="O281" s="7" t="s">
        <v>1430</v>
      </c>
      <c r="P281" s="7"/>
      <c r="Q281" s="7" t="s">
        <v>1431</v>
      </c>
      <c r="R281" s="7" t="s">
        <v>493</v>
      </c>
      <c r="S281" s="65">
        <v>3042.0</v>
      </c>
      <c r="T281" s="7"/>
      <c r="U281" s="7"/>
    </row>
    <row r="282">
      <c r="A282" s="45">
        <v>45884.71094907408</v>
      </c>
      <c r="B282" s="7" t="s">
        <v>906</v>
      </c>
      <c r="C282" s="7" t="s">
        <v>1864</v>
      </c>
      <c r="D282" s="74">
        <v>1.0</v>
      </c>
      <c r="E282" s="46"/>
      <c r="F282" s="47">
        <v>24.99</v>
      </c>
      <c r="G282" s="47">
        <v>0.0</v>
      </c>
      <c r="H282" s="7"/>
      <c r="I282" s="47">
        <v>1.02</v>
      </c>
      <c r="J282" s="8"/>
      <c r="K282" s="7"/>
      <c r="L282" s="7"/>
      <c r="M282" s="7"/>
      <c r="N282" s="7"/>
      <c r="O282" s="7" t="s">
        <v>907</v>
      </c>
      <c r="P282" s="7"/>
      <c r="Q282" s="7" t="s">
        <v>854</v>
      </c>
      <c r="R282" s="7" t="s">
        <v>493</v>
      </c>
      <c r="S282" s="65">
        <v>3036.0</v>
      </c>
      <c r="T282" s="7"/>
      <c r="U282" s="7"/>
    </row>
    <row r="283">
      <c r="A283" s="45">
        <v>45884.71092592592</v>
      </c>
      <c r="B283" s="7" t="s">
        <v>890</v>
      </c>
      <c r="C283" s="7" t="s">
        <v>1864</v>
      </c>
      <c r="D283" s="74">
        <v>1.0</v>
      </c>
      <c r="E283" s="46"/>
      <c r="F283" s="47">
        <v>24.99</v>
      </c>
      <c r="G283" s="47">
        <v>0.0</v>
      </c>
      <c r="H283" s="7"/>
      <c r="I283" s="47">
        <v>1.4</v>
      </c>
      <c r="J283" s="8"/>
      <c r="K283" s="7"/>
      <c r="L283" s="7"/>
      <c r="M283" s="7"/>
      <c r="N283" s="7"/>
      <c r="O283" s="7"/>
      <c r="P283" s="7"/>
      <c r="Q283" s="7"/>
      <c r="R283" s="7" t="s">
        <v>560</v>
      </c>
      <c r="S283" s="65">
        <v>3039.0</v>
      </c>
      <c r="T283" s="7"/>
      <c r="U283" s="7"/>
    </row>
    <row r="284">
      <c r="A284" s="45">
        <v>45884.71</v>
      </c>
      <c r="B284" s="7" t="s">
        <v>1671</v>
      </c>
      <c r="C284" s="7" t="s">
        <v>1864</v>
      </c>
      <c r="D284" s="74">
        <v>1.0</v>
      </c>
      <c r="E284" s="46"/>
      <c r="F284" s="47">
        <v>24.99</v>
      </c>
      <c r="G284" s="47">
        <v>0.0</v>
      </c>
      <c r="H284" s="7"/>
      <c r="I284" s="47">
        <v>1.4</v>
      </c>
      <c r="J284" s="8"/>
      <c r="K284" s="7"/>
      <c r="L284" s="7"/>
      <c r="M284" s="7"/>
      <c r="N284" s="7"/>
      <c r="O284" s="7" t="s">
        <v>1407</v>
      </c>
      <c r="P284" s="7" t="s">
        <v>1408</v>
      </c>
      <c r="Q284" s="7" t="s">
        <v>1409</v>
      </c>
      <c r="R284" s="7" t="s">
        <v>542</v>
      </c>
      <c r="S284" s="65">
        <v>3041.0</v>
      </c>
      <c r="T284" s="7"/>
      <c r="U284" s="7"/>
    </row>
    <row r="285">
      <c r="A285" s="45">
        <v>45884.70991898148</v>
      </c>
      <c r="B285" s="7" t="s">
        <v>130</v>
      </c>
      <c r="C285" s="67" t="s">
        <v>2022</v>
      </c>
      <c r="D285" s="74">
        <v>1.0</v>
      </c>
      <c r="E285" s="74">
        <v>1.0</v>
      </c>
      <c r="F285" s="47">
        <v>124.99</v>
      </c>
      <c r="G285" s="47">
        <v>0.0</v>
      </c>
      <c r="H285" s="7"/>
      <c r="I285" s="47">
        <v>5.8</v>
      </c>
      <c r="J285" s="8"/>
      <c r="K285" s="7"/>
      <c r="L285" s="7"/>
      <c r="M285" s="7"/>
      <c r="N285" s="7"/>
      <c r="O285" s="7"/>
      <c r="P285" s="7"/>
      <c r="Q285" s="7"/>
      <c r="R285" s="7" t="s">
        <v>521</v>
      </c>
      <c r="S285" s="65">
        <v>3024.0</v>
      </c>
      <c r="T285" s="7"/>
      <c r="U285" s="7"/>
    </row>
    <row r="286">
      <c r="A286" s="45">
        <v>45884.709861111114</v>
      </c>
      <c r="B286" s="7" t="s">
        <v>206</v>
      </c>
      <c r="C286" s="67" t="s">
        <v>2022</v>
      </c>
      <c r="D286" s="74">
        <v>1.0</v>
      </c>
      <c r="E286" s="74">
        <v>1.0</v>
      </c>
      <c r="F286" s="47">
        <v>124.99</v>
      </c>
      <c r="G286" s="47">
        <v>0.0</v>
      </c>
      <c r="H286" s="7"/>
      <c r="I286" s="47">
        <v>5.8</v>
      </c>
      <c r="J286" s="8"/>
      <c r="K286" s="7"/>
      <c r="L286" s="7"/>
      <c r="M286" s="7"/>
      <c r="N286" s="7"/>
      <c r="O286" s="7" t="s">
        <v>1083</v>
      </c>
      <c r="P286" s="7"/>
      <c r="Q286" s="7" t="s">
        <v>1084</v>
      </c>
      <c r="R286" s="7" t="s">
        <v>617</v>
      </c>
      <c r="S286" s="65">
        <v>3040.0</v>
      </c>
      <c r="T286" s="7"/>
      <c r="U286" s="7"/>
    </row>
    <row r="287">
      <c r="A287" s="45">
        <v>45884.70980324074</v>
      </c>
      <c r="B287" s="7" t="s">
        <v>2050</v>
      </c>
      <c r="C287" s="7" t="s">
        <v>1864</v>
      </c>
      <c r="D287" s="74">
        <v>1.0</v>
      </c>
      <c r="E287" s="46"/>
      <c r="F287" s="47">
        <v>59.59</v>
      </c>
      <c r="G287" s="47">
        <v>0.0</v>
      </c>
      <c r="H287" s="7"/>
      <c r="I287" s="47">
        <v>2.92</v>
      </c>
      <c r="J287" s="8"/>
      <c r="K287" s="7"/>
      <c r="L287" s="7"/>
      <c r="M287" s="7"/>
      <c r="N287" s="7"/>
      <c r="O287" s="7" t="s">
        <v>2051</v>
      </c>
      <c r="P287" s="7"/>
      <c r="Q287" s="7" t="s">
        <v>2052</v>
      </c>
      <c r="R287" s="7" t="s">
        <v>2053</v>
      </c>
      <c r="S287" s="65">
        <v>3030.0</v>
      </c>
      <c r="T287" s="7"/>
      <c r="U287" s="7"/>
    </row>
    <row r="288">
      <c r="A288" s="45">
        <v>45884.709641203706</v>
      </c>
      <c r="B288" s="7" t="s">
        <v>424</v>
      </c>
      <c r="C288" s="67" t="s">
        <v>2022</v>
      </c>
      <c r="D288" s="74">
        <v>1.0</v>
      </c>
      <c r="E288" s="74">
        <v>1.0</v>
      </c>
      <c r="F288" s="47">
        <v>124.99</v>
      </c>
      <c r="G288" s="47">
        <v>0.0</v>
      </c>
      <c r="H288" s="7"/>
      <c r="I288" s="47">
        <v>3.92</v>
      </c>
      <c r="J288" s="8"/>
      <c r="K288" s="7"/>
      <c r="L288" s="7"/>
      <c r="M288" s="7"/>
      <c r="N288" s="7"/>
      <c r="O288" s="7" t="s">
        <v>1676</v>
      </c>
      <c r="P288" s="7"/>
      <c r="Q288" s="7" t="s">
        <v>1373</v>
      </c>
      <c r="R288" s="7" t="s">
        <v>493</v>
      </c>
      <c r="S288" s="65">
        <v>3034.0</v>
      </c>
      <c r="T288" s="7"/>
      <c r="U288" s="7"/>
    </row>
    <row r="289">
      <c r="A289" s="45">
        <v>45884.709641203706</v>
      </c>
      <c r="B289" s="7" t="s">
        <v>351</v>
      </c>
      <c r="C289" s="7" t="s">
        <v>1864</v>
      </c>
      <c r="D289" s="74">
        <v>1.0</v>
      </c>
      <c r="E289" s="46"/>
      <c r="F289" s="47">
        <v>24.99</v>
      </c>
      <c r="G289" s="47">
        <v>0.0</v>
      </c>
      <c r="H289" s="7"/>
      <c r="I289" s="47">
        <v>1.4</v>
      </c>
      <c r="J289" s="8"/>
      <c r="K289" s="7"/>
      <c r="L289" s="7"/>
      <c r="M289" s="7"/>
      <c r="N289" s="7"/>
      <c r="O289" s="7" t="s">
        <v>996</v>
      </c>
      <c r="P289" s="7" t="s">
        <v>997</v>
      </c>
      <c r="Q289" s="7" t="s">
        <v>998</v>
      </c>
      <c r="R289" s="7" t="s">
        <v>497</v>
      </c>
      <c r="S289" s="65">
        <v>3028.0</v>
      </c>
      <c r="T289" s="7"/>
      <c r="U289" s="7"/>
    </row>
    <row r="290">
      <c r="A290" s="45">
        <v>45884.70957175926</v>
      </c>
      <c r="B290" s="7" t="s">
        <v>929</v>
      </c>
      <c r="C290" s="7" t="s">
        <v>1864</v>
      </c>
      <c r="D290" s="74">
        <v>1.0</v>
      </c>
      <c r="E290" s="46"/>
      <c r="F290" s="47">
        <v>24.99</v>
      </c>
      <c r="G290" s="47">
        <v>0.0</v>
      </c>
      <c r="H290" s="7"/>
      <c r="I290" s="47">
        <v>1.4</v>
      </c>
      <c r="J290" s="8"/>
      <c r="K290" s="7"/>
      <c r="L290" s="7"/>
      <c r="M290" s="7"/>
      <c r="N290" s="7"/>
      <c r="O290" s="7"/>
      <c r="P290" s="7"/>
      <c r="Q290" s="7"/>
      <c r="R290" s="7" t="s">
        <v>545</v>
      </c>
      <c r="S290" s="65">
        <v>3037.0</v>
      </c>
      <c r="T290" s="7"/>
      <c r="U290" s="7"/>
    </row>
    <row r="291">
      <c r="A291" s="45">
        <v>45884.709027777775</v>
      </c>
      <c r="B291" s="7" t="s">
        <v>1219</v>
      </c>
      <c r="C291" s="7" t="s">
        <v>1864</v>
      </c>
      <c r="D291" s="74">
        <v>1.0</v>
      </c>
      <c r="E291" s="46"/>
      <c r="F291" s="47">
        <v>24.99</v>
      </c>
      <c r="G291" s="47">
        <v>0.0</v>
      </c>
      <c r="H291" s="7"/>
      <c r="I291" s="47">
        <v>1.02</v>
      </c>
      <c r="J291" s="8"/>
      <c r="K291" s="7"/>
      <c r="L291" s="7"/>
      <c r="M291" s="7"/>
      <c r="N291" s="7"/>
      <c r="O291" s="7" t="s">
        <v>1220</v>
      </c>
      <c r="P291" s="7"/>
      <c r="Q291" s="7" t="s">
        <v>1221</v>
      </c>
      <c r="R291" s="7" t="s">
        <v>493</v>
      </c>
      <c r="S291" s="65">
        <v>3038.0</v>
      </c>
      <c r="T291" s="7"/>
      <c r="U291" s="7"/>
    </row>
    <row r="292">
      <c r="A292" s="45">
        <v>45884.70891203704</v>
      </c>
      <c r="B292" s="7" t="s">
        <v>462</v>
      </c>
      <c r="C292" s="7" t="s">
        <v>1864</v>
      </c>
      <c r="D292" s="74">
        <v>1.0</v>
      </c>
      <c r="E292" s="46"/>
      <c r="F292" s="47">
        <v>26.93</v>
      </c>
      <c r="G292" s="47">
        <v>0.0</v>
      </c>
      <c r="H292" s="7"/>
      <c r="I292" s="47">
        <v>1.08</v>
      </c>
      <c r="J292" s="8"/>
      <c r="K292" s="7"/>
      <c r="L292" s="7"/>
      <c r="M292" s="7"/>
      <c r="N292" s="7"/>
      <c r="O292" s="7" t="s">
        <v>1392</v>
      </c>
      <c r="P292" s="7"/>
      <c r="Q292" s="7" t="s">
        <v>1393</v>
      </c>
      <c r="R292" s="7" t="s">
        <v>493</v>
      </c>
      <c r="S292" s="65">
        <v>3035.0</v>
      </c>
      <c r="T292" s="7"/>
      <c r="U292" s="7"/>
    </row>
    <row r="293">
      <c r="A293" s="45">
        <v>45884.70869212963</v>
      </c>
      <c r="B293" s="7" t="s">
        <v>1069</v>
      </c>
      <c r="C293" s="7" t="s">
        <v>1864</v>
      </c>
      <c r="D293" s="74">
        <v>1.0</v>
      </c>
      <c r="E293" s="46"/>
      <c r="F293" s="47">
        <v>24.99</v>
      </c>
      <c r="G293" s="47">
        <v>0.0</v>
      </c>
      <c r="H293" s="7"/>
      <c r="I293" s="47">
        <v>1.4</v>
      </c>
      <c r="J293" s="8"/>
      <c r="K293" s="7"/>
      <c r="L293" s="7"/>
      <c r="M293" s="7"/>
      <c r="N293" s="7"/>
      <c r="O293" s="7" t="s">
        <v>1640</v>
      </c>
      <c r="P293" s="7"/>
      <c r="Q293" s="7" t="s">
        <v>509</v>
      </c>
      <c r="R293" s="7" t="s">
        <v>510</v>
      </c>
      <c r="S293" s="65">
        <v>3031.0</v>
      </c>
      <c r="T293" s="7"/>
      <c r="U293" s="7"/>
    </row>
    <row r="294">
      <c r="A294" s="45">
        <v>45884.70825231481</v>
      </c>
      <c r="B294" s="7" t="s">
        <v>418</v>
      </c>
      <c r="C294" s="7" t="s">
        <v>1864</v>
      </c>
      <c r="D294" s="74">
        <v>1.0</v>
      </c>
      <c r="E294" s="46"/>
      <c r="F294" s="47">
        <v>24.99</v>
      </c>
      <c r="G294" s="47">
        <v>0.0</v>
      </c>
      <c r="H294" s="7"/>
      <c r="I294" s="47">
        <v>1.4</v>
      </c>
      <c r="J294" s="8"/>
      <c r="K294" s="7"/>
      <c r="L294" s="7"/>
      <c r="M294" s="7"/>
      <c r="N294" s="7"/>
      <c r="O294" s="7" t="s">
        <v>2054</v>
      </c>
      <c r="P294" s="7" t="s">
        <v>2054</v>
      </c>
      <c r="Q294" s="7" t="s">
        <v>1336</v>
      </c>
      <c r="R294" s="7" t="s">
        <v>545</v>
      </c>
      <c r="S294" s="65">
        <v>3033.0</v>
      </c>
      <c r="T294" s="7"/>
      <c r="U294" s="7"/>
    </row>
    <row r="295">
      <c r="A295" s="45">
        <v>45884.70751157407</v>
      </c>
      <c r="B295" s="7" t="s">
        <v>804</v>
      </c>
      <c r="C295" s="7" t="s">
        <v>1864</v>
      </c>
      <c r="D295" s="74">
        <v>1.0</v>
      </c>
      <c r="E295" s="46"/>
      <c r="F295" s="47">
        <v>24.99</v>
      </c>
      <c r="G295" s="47">
        <v>0.0</v>
      </c>
      <c r="H295" s="7"/>
      <c r="I295" s="47">
        <v>1.02</v>
      </c>
      <c r="J295" s="8"/>
      <c r="K295" s="7"/>
      <c r="L295" s="7"/>
      <c r="M295" s="7"/>
      <c r="N295" s="7"/>
      <c r="O295" s="7" t="s">
        <v>805</v>
      </c>
      <c r="P295" s="7"/>
      <c r="Q295" s="7" t="s">
        <v>806</v>
      </c>
      <c r="R295" s="7" t="s">
        <v>493</v>
      </c>
      <c r="S295" s="65">
        <v>3026.0</v>
      </c>
      <c r="T295" s="7"/>
      <c r="U295" s="7"/>
    </row>
    <row r="296">
      <c r="A296" s="45">
        <v>45884.707337962966</v>
      </c>
      <c r="B296" s="7" t="s">
        <v>464</v>
      </c>
      <c r="C296" s="7" t="s">
        <v>1864</v>
      </c>
      <c r="D296" s="74">
        <v>1.0</v>
      </c>
      <c r="E296" s="46"/>
      <c r="F296" s="47">
        <v>24.99</v>
      </c>
      <c r="G296" s="47">
        <v>0.0</v>
      </c>
      <c r="H296" s="7"/>
      <c r="I296" s="47">
        <v>1.02</v>
      </c>
      <c r="J296" s="8"/>
      <c r="K296" s="7"/>
      <c r="L296" s="7"/>
      <c r="M296" s="7"/>
      <c r="N296" s="7"/>
      <c r="O296" s="7" t="s">
        <v>1369</v>
      </c>
      <c r="P296" s="7"/>
      <c r="Q296" s="7" t="s">
        <v>1370</v>
      </c>
      <c r="R296" s="7" t="s">
        <v>493</v>
      </c>
      <c r="S296" s="65">
        <v>3029.0</v>
      </c>
      <c r="T296" s="7"/>
      <c r="U296" s="7"/>
    </row>
    <row r="297">
      <c r="A297" s="45">
        <v>45884.70725694444</v>
      </c>
      <c r="B297" s="7" t="s">
        <v>759</v>
      </c>
      <c r="C297" s="67" t="s">
        <v>2022</v>
      </c>
      <c r="D297" s="74">
        <v>1.0</v>
      </c>
      <c r="E297" s="74">
        <v>1.0</v>
      </c>
      <c r="F297" s="47">
        <v>124.99</v>
      </c>
      <c r="G297" s="47">
        <v>0.0</v>
      </c>
      <c r="H297" s="7"/>
      <c r="I297" s="47">
        <v>3.92</v>
      </c>
      <c r="J297" s="8"/>
      <c r="K297" s="7"/>
      <c r="L297" s="7"/>
      <c r="M297" s="7"/>
      <c r="N297" s="7"/>
      <c r="O297" s="7" t="s">
        <v>760</v>
      </c>
      <c r="P297" s="7" t="s">
        <v>761</v>
      </c>
      <c r="Q297" s="7" t="s">
        <v>762</v>
      </c>
      <c r="R297" s="7" t="s">
        <v>493</v>
      </c>
      <c r="S297" s="65">
        <v>3021.0</v>
      </c>
      <c r="T297" s="7"/>
      <c r="U297" s="7"/>
    </row>
    <row r="298">
      <c r="A298" s="45">
        <v>45884.707141203704</v>
      </c>
      <c r="B298" s="7" t="s">
        <v>240</v>
      </c>
      <c r="C298" s="67" t="s">
        <v>2022</v>
      </c>
      <c r="D298" s="74">
        <v>1.0</v>
      </c>
      <c r="E298" s="74">
        <v>1.0</v>
      </c>
      <c r="F298" s="47">
        <v>135.43</v>
      </c>
      <c r="G298" s="47">
        <v>0.0</v>
      </c>
      <c r="H298" s="7"/>
      <c r="I298" s="47">
        <v>4.23</v>
      </c>
      <c r="J298" s="8"/>
      <c r="K298" s="7"/>
      <c r="L298" s="7"/>
      <c r="M298" s="7"/>
      <c r="N298" s="7"/>
      <c r="O298" s="7" t="s">
        <v>1544</v>
      </c>
      <c r="P298" s="7"/>
      <c r="Q298" s="7" t="s">
        <v>1545</v>
      </c>
      <c r="R298" s="7" t="s">
        <v>493</v>
      </c>
      <c r="S298" s="65">
        <v>3027.0</v>
      </c>
      <c r="T298" s="7"/>
      <c r="U298" s="7"/>
    </row>
    <row r="299">
      <c r="A299" s="45">
        <v>45884.70710648148</v>
      </c>
      <c r="B299" s="7" t="s">
        <v>1630</v>
      </c>
      <c r="C299" s="7" t="s">
        <v>1864</v>
      </c>
      <c r="D299" s="74">
        <v>1.0</v>
      </c>
      <c r="E299" s="46"/>
      <c r="F299" s="47">
        <v>24.99</v>
      </c>
      <c r="G299" s="47">
        <v>0.0</v>
      </c>
      <c r="H299" s="7"/>
      <c r="I299" s="47">
        <v>1.4</v>
      </c>
      <c r="J299" s="8"/>
      <c r="K299" s="7"/>
      <c r="L299" s="7"/>
      <c r="M299" s="7"/>
      <c r="N299" s="7"/>
      <c r="O299" s="7" t="s">
        <v>1817</v>
      </c>
      <c r="P299" s="7"/>
      <c r="Q299" s="7" t="s">
        <v>1196</v>
      </c>
      <c r="R299" s="7" t="s">
        <v>1197</v>
      </c>
      <c r="S299" s="65">
        <v>3023.0</v>
      </c>
      <c r="T299" s="7"/>
      <c r="U299" s="7"/>
    </row>
    <row r="300">
      <c r="A300" s="45">
        <v>45884.70657407407</v>
      </c>
      <c r="B300" s="7" t="s">
        <v>404</v>
      </c>
      <c r="C300" s="7" t="s">
        <v>1864</v>
      </c>
      <c r="D300" s="74">
        <v>1.0</v>
      </c>
      <c r="E300" s="46"/>
      <c r="F300" s="47">
        <v>24.99</v>
      </c>
      <c r="G300" s="47">
        <v>0.0</v>
      </c>
      <c r="H300" s="7"/>
      <c r="I300" s="47">
        <v>1.4</v>
      </c>
      <c r="J300" s="8"/>
      <c r="K300" s="7"/>
      <c r="L300" s="7"/>
      <c r="M300" s="7"/>
      <c r="N300" s="7"/>
      <c r="O300" s="7" t="s">
        <v>1272</v>
      </c>
      <c r="P300" s="7"/>
      <c r="Q300" s="7" t="s">
        <v>1273</v>
      </c>
      <c r="R300" s="7" t="s">
        <v>521</v>
      </c>
      <c r="S300" s="65">
        <v>3015.0</v>
      </c>
      <c r="T300" s="7"/>
      <c r="U300" s="7"/>
    </row>
    <row r="301">
      <c r="A301" s="45">
        <v>45884.706400462965</v>
      </c>
      <c r="B301" s="7" t="s">
        <v>434</v>
      </c>
      <c r="C301" s="7" t="s">
        <v>1864</v>
      </c>
      <c r="D301" s="74">
        <v>1.0</v>
      </c>
      <c r="E301" s="46"/>
      <c r="F301" s="47">
        <v>26.49</v>
      </c>
      <c r="G301" s="47">
        <v>0.0</v>
      </c>
      <c r="H301" s="7"/>
      <c r="I301" s="47">
        <v>1.07</v>
      </c>
      <c r="J301" s="8"/>
      <c r="K301" s="7"/>
      <c r="L301" s="7"/>
      <c r="M301" s="7"/>
      <c r="N301" s="7"/>
      <c r="O301" s="7" t="s">
        <v>1342</v>
      </c>
      <c r="P301" s="7"/>
      <c r="Q301" s="7" t="s">
        <v>1343</v>
      </c>
      <c r="R301" s="7" t="s">
        <v>493</v>
      </c>
      <c r="S301" s="65">
        <v>3022.0</v>
      </c>
      <c r="T301" s="7"/>
      <c r="U301" s="7"/>
    </row>
    <row r="302">
      <c r="A302" s="45">
        <v>45884.706354166665</v>
      </c>
      <c r="B302" s="7" t="s">
        <v>1159</v>
      </c>
      <c r="C302" s="67" t="s">
        <v>2022</v>
      </c>
      <c r="D302" s="74">
        <v>1.0</v>
      </c>
      <c r="E302" s="74">
        <v>1.0</v>
      </c>
      <c r="F302" s="47">
        <v>124.99</v>
      </c>
      <c r="G302" s="47">
        <v>0.0</v>
      </c>
      <c r="H302" s="7"/>
      <c r="I302" s="47">
        <v>5.8</v>
      </c>
      <c r="J302" s="8"/>
      <c r="K302" s="7"/>
      <c r="L302" s="7"/>
      <c r="M302" s="7"/>
      <c r="N302" s="7"/>
      <c r="O302" s="7" t="s">
        <v>1160</v>
      </c>
      <c r="P302" s="7"/>
      <c r="Q302" s="7" t="s">
        <v>1161</v>
      </c>
      <c r="R302" s="7" t="s">
        <v>939</v>
      </c>
      <c r="S302" s="65">
        <v>3010.0</v>
      </c>
      <c r="T302" s="7"/>
      <c r="U302" s="7"/>
    </row>
    <row r="303">
      <c r="A303" s="45">
        <v>45884.706238425926</v>
      </c>
      <c r="B303" s="7" t="s">
        <v>1104</v>
      </c>
      <c r="C303" s="7" t="s">
        <v>1864</v>
      </c>
      <c r="D303" s="74">
        <v>1.0</v>
      </c>
      <c r="E303" s="46"/>
      <c r="F303" s="47">
        <v>24.99</v>
      </c>
      <c r="G303" s="47">
        <v>0.0</v>
      </c>
      <c r="H303" s="7"/>
      <c r="I303" s="47">
        <v>1.02</v>
      </c>
      <c r="J303" s="8"/>
      <c r="K303" s="7"/>
      <c r="L303" s="7"/>
      <c r="M303" s="7"/>
      <c r="N303" s="7"/>
      <c r="O303" s="7" t="s">
        <v>1105</v>
      </c>
      <c r="P303" s="7"/>
      <c r="Q303" s="7" t="s">
        <v>1106</v>
      </c>
      <c r="R303" s="7" t="s">
        <v>493</v>
      </c>
      <c r="S303" s="65">
        <v>3020.0</v>
      </c>
      <c r="T303" s="7"/>
      <c r="U303" s="7"/>
    </row>
    <row r="304">
      <c r="A304" s="45">
        <v>45884.70613425926</v>
      </c>
      <c r="B304" s="7" t="s">
        <v>353</v>
      </c>
      <c r="C304" s="7" t="s">
        <v>1864</v>
      </c>
      <c r="D304" s="74">
        <v>1.0</v>
      </c>
      <c r="E304" s="46"/>
      <c r="F304" s="47">
        <v>24.99</v>
      </c>
      <c r="G304" s="47">
        <v>0.0</v>
      </c>
      <c r="H304" s="7"/>
      <c r="I304" s="47">
        <v>1.4</v>
      </c>
      <c r="J304" s="8"/>
      <c r="K304" s="7"/>
      <c r="L304" s="7"/>
      <c r="M304" s="7"/>
      <c r="N304" s="7"/>
      <c r="O304" s="7" t="s">
        <v>1621</v>
      </c>
      <c r="P304" s="7"/>
      <c r="Q304" s="7" t="s">
        <v>1264</v>
      </c>
      <c r="R304" s="7" t="s">
        <v>545</v>
      </c>
      <c r="S304" s="65">
        <v>3014.0</v>
      </c>
      <c r="T304" s="7"/>
      <c r="U304" s="7"/>
    </row>
    <row r="305">
      <c r="A305" s="45">
        <v>45884.70590277778</v>
      </c>
      <c r="B305" s="7" t="s">
        <v>1099</v>
      </c>
      <c r="C305" s="7" t="s">
        <v>1864</v>
      </c>
      <c r="D305" s="74">
        <v>1.0</v>
      </c>
      <c r="E305" s="46"/>
      <c r="F305" s="47">
        <v>27.61</v>
      </c>
      <c r="G305" s="47">
        <v>0.0</v>
      </c>
      <c r="H305" s="7"/>
      <c r="I305" s="47">
        <v>1.1</v>
      </c>
      <c r="J305" s="8"/>
      <c r="K305" s="7"/>
      <c r="L305" s="7"/>
      <c r="M305" s="7"/>
      <c r="N305" s="7"/>
      <c r="O305" s="7" t="s">
        <v>2055</v>
      </c>
      <c r="P305" s="7"/>
      <c r="Q305" s="7" t="s">
        <v>1101</v>
      </c>
      <c r="R305" s="7" t="s">
        <v>493</v>
      </c>
      <c r="S305" s="65">
        <v>2994.0</v>
      </c>
      <c r="T305" s="7"/>
      <c r="U305" s="7"/>
    </row>
    <row r="306">
      <c r="A306" s="45">
        <v>45884.70585648148</v>
      </c>
      <c r="B306" s="7" t="s">
        <v>250</v>
      </c>
      <c r="C306" s="7" t="s">
        <v>1864</v>
      </c>
      <c r="D306" s="74">
        <v>1.0</v>
      </c>
      <c r="E306" s="46"/>
      <c r="F306" s="47">
        <v>24.99</v>
      </c>
      <c r="G306" s="47">
        <v>0.0</v>
      </c>
      <c r="H306" s="7"/>
      <c r="I306" s="47">
        <v>1.4</v>
      </c>
      <c r="J306" s="8"/>
      <c r="K306" s="7"/>
      <c r="L306" s="7"/>
      <c r="M306" s="7"/>
      <c r="N306" s="7"/>
      <c r="O306" s="7" t="s">
        <v>1075</v>
      </c>
      <c r="P306" s="7"/>
      <c r="Q306" s="7" t="s">
        <v>1076</v>
      </c>
      <c r="R306" s="7" t="s">
        <v>525</v>
      </c>
      <c r="S306" s="65">
        <v>3007.0</v>
      </c>
      <c r="T306" s="7"/>
      <c r="U306" s="7"/>
    </row>
    <row r="307">
      <c r="A307" s="45">
        <v>45884.70570601852</v>
      </c>
      <c r="B307" s="7" t="s">
        <v>127</v>
      </c>
      <c r="C307" s="7" t="s">
        <v>1864</v>
      </c>
      <c r="D307" s="74">
        <v>1.0</v>
      </c>
      <c r="E307" s="46"/>
      <c r="F307" s="47">
        <v>57.03</v>
      </c>
      <c r="G307" s="47">
        <v>0.0</v>
      </c>
      <c r="H307" s="7"/>
      <c r="I307" s="47">
        <v>2.81</v>
      </c>
      <c r="J307" s="8"/>
      <c r="K307" s="7"/>
      <c r="L307" s="7"/>
      <c r="M307" s="7"/>
      <c r="N307" s="7"/>
      <c r="O307" s="7" t="s">
        <v>1422</v>
      </c>
      <c r="P307" s="7"/>
      <c r="Q307" s="7" t="s">
        <v>1423</v>
      </c>
      <c r="R307" s="7" t="s">
        <v>542</v>
      </c>
      <c r="S307" s="65">
        <v>3018.0</v>
      </c>
      <c r="T307" s="7"/>
      <c r="U307" s="7"/>
    </row>
    <row r="308">
      <c r="A308" s="45">
        <v>45884.70556712963</v>
      </c>
      <c r="B308" s="7" t="s">
        <v>275</v>
      </c>
      <c r="C308" s="67" t="s">
        <v>2022</v>
      </c>
      <c r="D308" s="74">
        <v>1.0</v>
      </c>
      <c r="E308" s="74">
        <v>1.0</v>
      </c>
      <c r="F308" s="47">
        <v>124.99</v>
      </c>
      <c r="G308" s="47">
        <v>0.0</v>
      </c>
      <c r="H308" s="7"/>
      <c r="I308" s="47">
        <v>3.92</v>
      </c>
      <c r="J308" s="8"/>
      <c r="K308" s="7"/>
      <c r="L308" s="7"/>
      <c r="M308" s="7"/>
      <c r="N308" s="7"/>
      <c r="O308" s="7" t="s">
        <v>1331</v>
      </c>
      <c r="P308" s="7"/>
      <c r="Q308" s="7" t="s">
        <v>1332</v>
      </c>
      <c r="R308" s="7" t="s">
        <v>493</v>
      </c>
      <c r="S308" s="65">
        <v>3017.0</v>
      </c>
      <c r="T308" s="7"/>
      <c r="U308" s="7"/>
    </row>
    <row r="309">
      <c r="A309" s="45">
        <v>45884.705555555556</v>
      </c>
      <c r="B309" s="7" t="s">
        <v>412</v>
      </c>
      <c r="C309" s="7" t="s">
        <v>1864</v>
      </c>
      <c r="D309" s="74">
        <v>1.0</v>
      </c>
      <c r="E309" s="46"/>
      <c r="F309" s="47">
        <v>24.99</v>
      </c>
      <c r="G309" s="47">
        <v>0.0</v>
      </c>
      <c r="H309" s="7"/>
      <c r="I309" s="47">
        <v>1.02</v>
      </c>
      <c r="J309" s="8"/>
      <c r="K309" s="7"/>
      <c r="L309" s="7"/>
      <c r="M309" s="7"/>
      <c r="N309" s="7"/>
      <c r="O309" s="7" t="s">
        <v>1297</v>
      </c>
      <c r="P309" s="7"/>
      <c r="Q309" s="7" t="s">
        <v>1298</v>
      </c>
      <c r="R309" s="7" t="s">
        <v>493</v>
      </c>
      <c r="S309" s="65">
        <v>3019.0</v>
      </c>
      <c r="T309" s="7"/>
      <c r="U309" s="7"/>
    </row>
    <row r="310">
      <c r="A310" s="45">
        <v>45884.705462962964</v>
      </c>
      <c r="B310" s="7" t="s">
        <v>2056</v>
      </c>
      <c r="C310" s="7" t="s">
        <v>1864</v>
      </c>
      <c r="D310" s="74">
        <v>1.0</v>
      </c>
      <c r="E310" s="46"/>
      <c r="F310" s="47">
        <v>26.49</v>
      </c>
      <c r="G310" s="47">
        <v>0.0</v>
      </c>
      <c r="H310" s="7"/>
      <c r="I310" s="47">
        <v>1.07</v>
      </c>
      <c r="J310" s="8"/>
      <c r="K310" s="7"/>
      <c r="L310" s="7"/>
      <c r="M310" s="7"/>
      <c r="N310" s="7"/>
      <c r="O310" s="7" t="s">
        <v>1404</v>
      </c>
      <c r="P310" s="7"/>
      <c r="Q310" s="7" t="s">
        <v>1405</v>
      </c>
      <c r="R310" s="7" t="s">
        <v>493</v>
      </c>
      <c r="S310" s="65">
        <v>3009.0</v>
      </c>
      <c r="T310" s="7"/>
      <c r="U310" s="7"/>
    </row>
    <row r="311">
      <c r="A311" s="45">
        <v>45884.70474537037</v>
      </c>
      <c r="B311" s="7" t="s">
        <v>181</v>
      </c>
      <c r="C311" s="7" t="s">
        <v>1884</v>
      </c>
      <c r="D311" s="74">
        <v>2.0</v>
      </c>
      <c r="E311" s="46"/>
      <c r="F311" s="47">
        <v>49.98</v>
      </c>
      <c r="G311" s="47">
        <v>0.0</v>
      </c>
      <c r="H311" s="7"/>
      <c r="I311" s="47">
        <v>2.5</v>
      </c>
      <c r="J311" s="8"/>
      <c r="K311" s="7"/>
      <c r="L311" s="7"/>
      <c r="M311" s="7"/>
      <c r="N311" s="7"/>
      <c r="O311" s="7"/>
      <c r="P311" s="7"/>
      <c r="Q311" s="7"/>
      <c r="R311" s="7" t="s">
        <v>521</v>
      </c>
      <c r="S311" s="65">
        <v>3004.0</v>
      </c>
      <c r="T311" s="7"/>
      <c r="U311" s="7"/>
    </row>
    <row r="312">
      <c r="A312" s="45">
        <v>45884.70423611111</v>
      </c>
      <c r="B312" s="7" t="s">
        <v>358</v>
      </c>
      <c r="C312" s="67" t="s">
        <v>2022</v>
      </c>
      <c r="D312" s="74">
        <v>1.0</v>
      </c>
      <c r="E312" s="74">
        <v>1.0</v>
      </c>
      <c r="F312" s="47">
        <v>124.99</v>
      </c>
      <c r="G312" s="47">
        <v>0.0</v>
      </c>
      <c r="H312" s="7"/>
      <c r="I312" s="47">
        <v>3.92</v>
      </c>
      <c r="J312" s="8"/>
      <c r="K312" s="7"/>
      <c r="L312" s="7"/>
      <c r="M312" s="7"/>
      <c r="N312" s="7"/>
      <c r="O312" s="7" t="s">
        <v>1176</v>
      </c>
      <c r="P312" s="7"/>
      <c r="Q312" s="7" t="s">
        <v>1147</v>
      </c>
      <c r="R312" s="7" t="s">
        <v>493</v>
      </c>
      <c r="S312" s="65">
        <v>3005.0</v>
      </c>
      <c r="T312" s="7"/>
      <c r="U312" s="7"/>
    </row>
    <row r="313">
      <c r="A313" s="45">
        <v>45884.70396990741</v>
      </c>
      <c r="B313" s="7" t="s">
        <v>1280</v>
      </c>
      <c r="C313" s="7" t="s">
        <v>1864</v>
      </c>
      <c r="D313" s="74">
        <v>1.0</v>
      </c>
      <c r="E313" s="46"/>
      <c r="F313" s="47">
        <v>24.99</v>
      </c>
      <c r="G313" s="47">
        <v>0.0</v>
      </c>
      <c r="H313" s="7"/>
      <c r="I313" s="47">
        <v>1.02</v>
      </c>
      <c r="J313" s="8"/>
      <c r="K313" s="7"/>
      <c r="L313" s="7"/>
      <c r="M313" s="7"/>
      <c r="N313" s="7"/>
      <c r="O313" s="7" t="s">
        <v>1281</v>
      </c>
      <c r="P313" s="7" t="s">
        <v>1282</v>
      </c>
      <c r="Q313" s="7" t="s">
        <v>1283</v>
      </c>
      <c r="R313" s="7" t="s">
        <v>493</v>
      </c>
      <c r="S313" s="65">
        <v>3002.0</v>
      </c>
      <c r="T313" s="7"/>
      <c r="U313" s="7"/>
    </row>
    <row r="314">
      <c r="A314" s="45">
        <v>45884.70342592592</v>
      </c>
      <c r="B314" s="7" t="s">
        <v>299</v>
      </c>
      <c r="C314" s="67" t="s">
        <v>2022</v>
      </c>
      <c r="D314" s="74">
        <v>1.0</v>
      </c>
      <c r="E314" s="74">
        <v>1.0</v>
      </c>
      <c r="F314" s="47">
        <v>124.99</v>
      </c>
      <c r="G314" s="47">
        <v>0.0</v>
      </c>
      <c r="H314" s="7"/>
      <c r="I314" s="47">
        <v>5.8</v>
      </c>
      <c r="J314" s="8"/>
      <c r="K314" s="7"/>
      <c r="L314" s="7"/>
      <c r="M314" s="7"/>
      <c r="N314" s="7"/>
      <c r="O314" s="7" t="s">
        <v>1374</v>
      </c>
      <c r="P314" s="7"/>
      <c r="Q314" s="7" t="s">
        <v>1375</v>
      </c>
      <c r="R314" s="7" t="s">
        <v>633</v>
      </c>
      <c r="S314" s="65">
        <v>2997.0</v>
      </c>
      <c r="T314" s="7"/>
      <c r="U314" s="7"/>
    </row>
    <row r="315">
      <c r="A315" s="45">
        <v>45884.70309027778</v>
      </c>
      <c r="B315" s="7" t="s">
        <v>1339</v>
      </c>
      <c r="C315" s="7" t="s">
        <v>1864</v>
      </c>
      <c r="D315" s="74">
        <v>1.0</v>
      </c>
      <c r="E315" s="46"/>
      <c r="F315" s="47">
        <v>24.99</v>
      </c>
      <c r="G315" s="47">
        <v>0.0</v>
      </c>
      <c r="H315" s="7"/>
      <c r="I315" s="47">
        <v>1.4</v>
      </c>
      <c r="J315" s="8"/>
      <c r="K315" s="7"/>
      <c r="L315" s="7"/>
      <c r="M315" s="7"/>
      <c r="N315" s="7"/>
      <c r="O315" s="7" t="s">
        <v>1340</v>
      </c>
      <c r="P315" s="7"/>
      <c r="Q315" s="7" t="s">
        <v>1341</v>
      </c>
      <c r="R315" s="7" t="s">
        <v>525</v>
      </c>
      <c r="S315" s="65">
        <v>3001.0</v>
      </c>
      <c r="T315" s="7"/>
      <c r="U315" s="7"/>
    </row>
    <row r="316">
      <c r="A316" s="45">
        <v>45884.70210648148</v>
      </c>
      <c r="B316" s="7" t="s">
        <v>1384</v>
      </c>
      <c r="C316" s="7" t="s">
        <v>1864</v>
      </c>
      <c r="D316" s="74">
        <v>1.0</v>
      </c>
      <c r="E316" s="46"/>
      <c r="F316" s="47">
        <v>24.99</v>
      </c>
      <c r="G316" s="47">
        <v>0.0</v>
      </c>
      <c r="H316" s="7"/>
      <c r="I316" s="47">
        <v>1.02</v>
      </c>
      <c r="J316" s="8"/>
      <c r="K316" s="7"/>
      <c r="L316" s="7"/>
      <c r="M316" s="7"/>
      <c r="N316" s="7"/>
      <c r="O316" s="7" t="s">
        <v>1385</v>
      </c>
      <c r="P316" s="7"/>
      <c r="Q316" s="7" t="s">
        <v>1386</v>
      </c>
      <c r="R316" s="7" t="s">
        <v>493</v>
      </c>
      <c r="S316" s="65">
        <v>2999.0</v>
      </c>
      <c r="T316" s="7"/>
      <c r="U316" s="7"/>
    </row>
    <row r="317">
      <c r="A317" s="45">
        <v>45884.70185185185</v>
      </c>
      <c r="B317" s="7" t="s">
        <v>402</v>
      </c>
      <c r="C317" s="67" t="s">
        <v>2022</v>
      </c>
      <c r="D317" s="74">
        <v>1.0</v>
      </c>
      <c r="E317" s="74">
        <v>1.0</v>
      </c>
      <c r="F317" s="47">
        <v>124.99</v>
      </c>
      <c r="G317" s="47">
        <v>0.0</v>
      </c>
      <c r="H317" s="7"/>
      <c r="I317" s="47">
        <v>5.8</v>
      </c>
      <c r="J317" s="8"/>
      <c r="K317" s="7"/>
      <c r="L317" s="7"/>
      <c r="M317" s="7"/>
      <c r="N317" s="7"/>
      <c r="O317" s="7" t="s">
        <v>1285</v>
      </c>
      <c r="P317" s="7"/>
      <c r="Q317" s="7" t="s">
        <v>1286</v>
      </c>
      <c r="R317" s="7" t="s">
        <v>1287</v>
      </c>
      <c r="S317" s="65">
        <v>2991.0</v>
      </c>
      <c r="T317" s="7"/>
      <c r="U317" s="7"/>
    </row>
    <row r="318">
      <c r="A318" s="45">
        <v>45884.70180555555</v>
      </c>
      <c r="B318" s="7" t="s">
        <v>2057</v>
      </c>
      <c r="C318" s="67" t="s">
        <v>2022</v>
      </c>
      <c r="D318" s="74">
        <v>1.0</v>
      </c>
      <c r="E318" s="74">
        <v>1.0</v>
      </c>
      <c r="F318" s="47">
        <v>134.46</v>
      </c>
      <c r="G318" s="47">
        <v>0.0</v>
      </c>
      <c r="H318" s="7"/>
      <c r="I318" s="47">
        <v>4.2</v>
      </c>
      <c r="J318" s="8"/>
      <c r="K318" s="7"/>
      <c r="L318" s="7"/>
      <c r="M318" s="7"/>
      <c r="N318" s="7"/>
      <c r="O318" s="7" t="s">
        <v>2058</v>
      </c>
      <c r="P318" s="7"/>
      <c r="Q318" s="7" t="s">
        <v>2059</v>
      </c>
      <c r="R318" s="7" t="s">
        <v>493</v>
      </c>
      <c r="S318" s="65">
        <v>2995.0</v>
      </c>
      <c r="T318" s="7"/>
      <c r="U318" s="7"/>
    </row>
    <row r="319">
      <c r="A319" s="45">
        <v>45884.70096064815</v>
      </c>
      <c r="B319" s="7" t="s">
        <v>1842</v>
      </c>
      <c r="C319" s="67" t="s">
        <v>2022</v>
      </c>
      <c r="D319" s="74">
        <v>1.0</v>
      </c>
      <c r="E319" s="74">
        <v>1.0</v>
      </c>
      <c r="F319" s="47">
        <v>124.99</v>
      </c>
      <c r="G319" s="47">
        <v>0.0</v>
      </c>
      <c r="H319" s="7"/>
      <c r="I319" s="47">
        <v>5.8</v>
      </c>
      <c r="J319" s="8"/>
      <c r="K319" s="7"/>
      <c r="L319" s="7"/>
      <c r="M319" s="7"/>
      <c r="N319" s="7"/>
      <c r="O319" s="7" t="s">
        <v>1325</v>
      </c>
      <c r="P319" s="7"/>
      <c r="Q319" s="7" t="s">
        <v>1326</v>
      </c>
      <c r="R319" s="7" t="s">
        <v>545</v>
      </c>
      <c r="S319" s="65">
        <v>2989.0</v>
      </c>
      <c r="T319" s="7"/>
      <c r="U319" s="7"/>
    </row>
    <row r="320">
      <c r="A320" s="45">
        <v>45884.70081018518</v>
      </c>
      <c r="B320" s="7" t="s">
        <v>2060</v>
      </c>
      <c r="C320" s="67" t="s">
        <v>2022</v>
      </c>
      <c r="D320" s="74">
        <v>1.0</v>
      </c>
      <c r="E320" s="74">
        <v>1.0</v>
      </c>
      <c r="F320" s="47">
        <v>124.99</v>
      </c>
      <c r="G320" s="47">
        <v>0.0</v>
      </c>
      <c r="H320" s="7"/>
      <c r="I320" s="47">
        <v>5.8</v>
      </c>
      <c r="J320" s="8"/>
      <c r="K320" s="7"/>
      <c r="L320" s="7"/>
      <c r="M320" s="7"/>
      <c r="N320" s="7"/>
      <c r="O320" s="7" t="s">
        <v>1397</v>
      </c>
      <c r="P320" s="7"/>
      <c r="Q320" s="7" t="s">
        <v>1398</v>
      </c>
      <c r="R320" s="7" t="s">
        <v>726</v>
      </c>
      <c r="S320" s="65">
        <v>2977.0</v>
      </c>
      <c r="T320" s="7"/>
      <c r="U320" s="7"/>
    </row>
    <row r="321">
      <c r="A321" s="45">
        <v>45884.70070601852</v>
      </c>
      <c r="B321" s="7" t="s">
        <v>441</v>
      </c>
      <c r="C321" s="7" t="s">
        <v>1864</v>
      </c>
      <c r="D321" s="74">
        <v>1.0</v>
      </c>
      <c r="E321" s="46"/>
      <c r="F321" s="47">
        <v>24.99</v>
      </c>
      <c r="G321" s="47">
        <v>0.0</v>
      </c>
      <c r="H321" s="7"/>
      <c r="I321" s="47">
        <v>1.02</v>
      </c>
      <c r="J321" s="8"/>
      <c r="K321" s="7"/>
      <c r="L321" s="7"/>
      <c r="M321" s="7"/>
      <c r="N321" s="7"/>
      <c r="O321" s="7" t="s">
        <v>1410</v>
      </c>
      <c r="P321" s="7"/>
      <c r="Q321" s="7" t="s">
        <v>1411</v>
      </c>
      <c r="R321" s="7" t="s">
        <v>493</v>
      </c>
      <c r="S321" s="65">
        <v>2988.0</v>
      </c>
      <c r="T321" s="7"/>
      <c r="U321" s="7"/>
    </row>
    <row r="322">
      <c r="A322" s="45">
        <v>45884.70049768518</v>
      </c>
      <c r="B322" s="7" t="s">
        <v>847</v>
      </c>
      <c r="C322" s="67" t="s">
        <v>2022</v>
      </c>
      <c r="D322" s="74">
        <v>1.0</v>
      </c>
      <c r="E322" s="74">
        <v>1.0</v>
      </c>
      <c r="F322" s="47">
        <v>124.99</v>
      </c>
      <c r="G322" s="47">
        <v>0.0</v>
      </c>
      <c r="H322" s="7"/>
      <c r="I322" s="47">
        <v>3.92</v>
      </c>
      <c r="J322" s="8"/>
      <c r="K322" s="7"/>
      <c r="L322" s="7"/>
      <c r="M322" s="7"/>
      <c r="N322" s="7"/>
      <c r="O322" s="7" t="s">
        <v>848</v>
      </c>
      <c r="P322" s="7" t="s">
        <v>849</v>
      </c>
      <c r="Q322" s="7" t="s">
        <v>850</v>
      </c>
      <c r="R322" s="7" t="s">
        <v>493</v>
      </c>
      <c r="S322" s="65">
        <v>2985.0</v>
      </c>
      <c r="T322" s="7"/>
      <c r="U322" s="7"/>
    </row>
    <row r="323">
      <c r="A323" s="45">
        <v>45884.70049768518</v>
      </c>
      <c r="B323" s="7" t="s">
        <v>356</v>
      </c>
      <c r="C323" s="7" t="s">
        <v>1864</v>
      </c>
      <c r="D323" s="74">
        <v>1.0</v>
      </c>
      <c r="E323" s="46"/>
      <c r="F323" s="47">
        <v>24.99</v>
      </c>
      <c r="G323" s="47">
        <v>0.0</v>
      </c>
      <c r="H323" s="7"/>
      <c r="I323" s="47">
        <v>1.4</v>
      </c>
      <c r="J323" s="8"/>
      <c r="K323" s="7"/>
      <c r="L323" s="7"/>
      <c r="M323" s="7"/>
      <c r="N323" s="7"/>
      <c r="O323" s="7" t="s">
        <v>797</v>
      </c>
      <c r="P323" s="7"/>
      <c r="Q323" s="7" t="s">
        <v>798</v>
      </c>
      <c r="R323" s="7" t="s">
        <v>525</v>
      </c>
      <c r="S323" s="65">
        <v>2990.0</v>
      </c>
      <c r="T323" s="7"/>
      <c r="U323" s="7"/>
    </row>
    <row r="324">
      <c r="A324" s="45">
        <v>45884.70033564815</v>
      </c>
      <c r="B324" s="7" t="s">
        <v>354</v>
      </c>
      <c r="C324" s="7" t="s">
        <v>1864</v>
      </c>
      <c r="D324" s="74">
        <v>1.0</v>
      </c>
      <c r="E324" s="46"/>
      <c r="F324" s="47">
        <v>24.99</v>
      </c>
      <c r="G324" s="47">
        <v>0.0</v>
      </c>
      <c r="H324" s="7"/>
      <c r="I324" s="47">
        <v>1.4</v>
      </c>
      <c r="J324" s="8"/>
      <c r="K324" s="7"/>
      <c r="L324" s="7"/>
      <c r="M324" s="7"/>
      <c r="N324" s="7"/>
      <c r="O324" s="7" t="s">
        <v>1660</v>
      </c>
      <c r="P324" s="7"/>
      <c r="Q324" s="7" t="s">
        <v>1661</v>
      </c>
      <c r="R324" s="7" t="s">
        <v>521</v>
      </c>
      <c r="S324" s="65">
        <v>2987.0</v>
      </c>
      <c r="T324" s="7"/>
      <c r="U324" s="7"/>
    </row>
    <row r="325">
      <c r="A325" s="45">
        <v>45884.70028935185</v>
      </c>
      <c r="B325" s="7" t="s">
        <v>812</v>
      </c>
      <c r="C325" s="67" t="s">
        <v>2022</v>
      </c>
      <c r="D325" s="74">
        <v>1.0</v>
      </c>
      <c r="E325" s="74">
        <v>1.0</v>
      </c>
      <c r="F325" s="47">
        <v>124.99</v>
      </c>
      <c r="G325" s="47">
        <v>0.0</v>
      </c>
      <c r="H325" s="7"/>
      <c r="I325" s="47">
        <v>5.8</v>
      </c>
      <c r="J325" s="8"/>
      <c r="K325" s="7"/>
      <c r="L325" s="7"/>
      <c r="M325" s="7"/>
      <c r="N325" s="7"/>
      <c r="O325" s="7" t="s">
        <v>813</v>
      </c>
      <c r="P325" s="7" t="s">
        <v>1668</v>
      </c>
      <c r="Q325" s="7" t="s">
        <v>815</v>
      </c>
      <c r="R325" s="7" t="s">
        <v>555</v>
      </c>
      <c r="S325" s="65">
        <v>2978.0</v>
      </c>
      <c r="T325" s="7"/>
      <c r="U325" s="7"/>
    </row>
    <row r="326">
      <c r="A326" s="45">
        <v>45884.70028935185</v>
      </c>
      <c r="B326" s="7" t="s">
        <v>2061</v>
      </c>
      <c r="C326" s="67" t="s">
        <v>2022</v>
      </c>
      <c r="D326" s="74">
        <v>1.0</v>
      </c>
      <c r="E326" s="74">
        <v>1.0</v>
      </c>
      <c r="F326" s="47">
        <v>124.99</v>
      </c>
      <c r="G326" s="47">
        <v>0.0</v>
      </c>
      <c r="H326" s="7"/>
      <c r="I326" s="47">
        <v>5.8</v>
      </c>
      <c r="J326" s="8"/>
      <c r="K326" s="7"/>
      <c r="L326" s="7"/>
      <c r="M326" s="7"/>
      <c r="N326" s="7"/>
      <c r="O326" s="7" t="s">
        <v>1449</v>
      </c>
      <c r="P326" s="7" t="s">
        <v>1450</v>
      </c>
      <c r="Q326" s="7" t="s">
        <v>1451</v>
      </c>
      <c r="R326" s="7" t="s">
        <v>555</v>
      </c>
      <c r="S326" s="65">
        <v>2983.0</v>
      </c>
      <c r="T326" s="7"/>
      <c r="U326" s="7"/>
    </row>
    <row r="327">
      <c r="A327" s="45">
        <v>45884.70009259259</v>
      </c>
      <c r="B327" s="7" t="s">
        <v>428</v>
      </c>
      <c r="C327" s="7" t="s">
        <v>1864</v>
      </c>
      <c r="D327" s="74">
        <v>1.0</v>
      </c>
      <c r="E327" s="46"/>
      <c r="F327" s="47">
        <v>24.99</v>
      </c>
      <c r="G327" s="47">
        <v>0.0</v>
      </c>
      <c r="H327" s="7"/>
      <c r="I327" s="47">
        <v>1.4</v>
      </c>
      <c r="J327" s="8"/>
      <c r="K327" s="7"/>
      <c r="L327" s="7"/>
      <c r="M327" s="7"/>
      <c r="N327" s="7"/>
      <c r="O327" s="7" t="s">
        <v>1376</v>
      </c>
      <c r="P327" s="7"/>
      <c r="Q327" s="7" t="s">
        <v>1377</v>
      </c>
      <c r="R327" s="7" t="s">
        <v>545</v>
      </c>
      <c r="S327" s="65">
        <v>2984.0</v>
      </c>
      <c r="T327" s="7"/>
      <c r="U327" s="7"/>
    </row>
    <row r="328">
      <c r="A328" s="45">
        <v>45884.70008101852</v>
      </c>
      <c r="B328" s="7" t="s">
        <v>429</v>
      </c>
      <c r="C328" s="7" t="s">
        <v>1864</v>
      </c>
      <c r="D328" s="74">
        <v>1.0</v>
      </c>
      <c r="E328" s="46"/>
      <c r="F328" s="47">
        <v>24.99</v>
      </c>
      <c r="G328" s="47">
        <v>0.0</v>
      </c>
      <c r="H328" s="7"/>
      <c r="I328" s="47">
        <v>1.4</v>
      </c>
      <c r="J328" s="8"/>
      <c r="K328" s="7"/>
      <c r="L328" s="7"/>
      <c r="M328" s="7"/>
      <c r="N328" s="7"/>
      <c r="O328" s="7" t="s">
        <v>1438</v>
      </c>
      <c r="P328" s="7"/>
      <c r="Q328" s="7" t="s">
        <v>1439</v>
      </c>
      <c r="R328" s="7" t="s">
        <v>939</v>
      </c>
      <c r="S328" s="65">
        <v>2975.0</v>
      </c>
      <c r="T328" s="7"/>
      <c r="U328" s="7"/>
    </row>
    <row r="329">
      <c r="A329" s="45">
        <v>45884.69974537037</v>
      </c>
      <c r="B329" s="7" t="s">
        <v>1047</v>
      </c>
      <c r="C329" s="7" t="s">
        <v>1864</v>
      </c>
      <c r="D329" s="74">
        <v>1.0</v>
      </c>
      <c r="E329" s="46"/>
      <c r="F329" s="47">
        <v>27.3</v>
      </c>
      <c r="G329" s="47">
        <v>0.0</v>
      </c>
      <c r="H329" s="7"/>
      <c r="I329" s="47">
        <v>1.09</v>
      </c>
      <c r="J329" s="8"/>
      <c r="K329" s="7"/>
      <c r="L329" s="7"/>
      <c r="M329" s="7"/>
      <c r="N329" s="7"/>
      <c r="O329" s="7" t="s">
        <v>1048</v>
      </c>
      <c r="P329" s="7"/>
      <c r="Q329" s="7" t="s">
        <v>1049</v>
      </c>
      <c r="R329" s="7" t="s">
        <v>493</v>
      </c>
      <c r="S329" s="65">
        <v>2979.0</v>
      </c>
      <c r="T329" s="7"/>
      <c r="U329" s="7"/>
    </row>
    <row r="330">
      <c r="A330" s="45">
        <v>45884.69971064815</v>
      </c>
      <c r="B330" s="7" t="s">
        <v>427</v>
      </c>
      <c r="C330" s="67" t="s">
        <v>2022</v>
      </c>
      <c r="D330" s="74">
        <v>1.0</v>
      </c>
      <c r="E330" s="74">
        <v>1.0</v>
      </c>
      <c r="F330" s="47">
        <v>124.99</v>
      </c>
      <c r="G330" s="47">
        <v>0.0</v>
      </c>
      <c r="H330" s="7"/>
      <c r="I330" s="47">
        <v>3.92</v>
      </c>
      <c r="J330" s="8"/>
      <c r="K330" s="7"/>
      <c r="L330" s="7"/>
      <c r="M330" s="7"/>
      <c r="N330" s="7"/>
      <c r="O330" s="7" t="s">
        <v>1359</v>
      </c>
      <c r="P330" s="7"/>
      <c r="Q330" s="7" t="s">
        <v>1360</v>
      </c>
      <c r="R330" s="7" t="s">
        <v>493</v>
      </c>
      <c r="S330" s="65">
        <v>2981.0</v>
      </c>
      <c r="T330" s="7"/>
      <c r="U330" s="7"/>
    </row>
    <row r="331">
      <c r="A331" s="45">
        <v>45884.6996875</v>
      </c>
      <c r="B331" s="7" t="s">
        <v>385</v>
      </c>
      <c r="C331" s="7" t="s">
        <v>1864</v>
      </c>
      <c r="D331" s="74">
        <v>1.0</v>
      </c>
      <c r="E331" s="46"/>
      <c r="F331" s="47">
        <v>24.99</v>
      </c>
      <c r="G331" s="47">
        <v>0.0</v>
      </c>
      <c r="H331" s="7"/>
      <c r="I331" s="47">
        <v>1.4</v>
      </c>
      <c r="J331" s="8"/>
      <c r="K331" s="7"/>
      <c r="L331" s="7"/>
      <c r="M331" s="7"/>
      <c r="N331" s="7"/>
      <c r="O331" s="7" t="s">
        <v>1303</v>
      </c>
      <c r="P331" s="7"/>
      <c r="Q331" s="7" t="s">
        <v>1304</v>
      </c>
      <c r="R331" s="7" t="s">
        <v>726</v>
      </c>
      <c r="S331" s="65">
        <v>2976.0</v>
      </c>
      <c r="T331" s="7"/>
      <c r="U331" s="7"/>
    </row>
    <row r="332">
      <c r="A332" s="45">
        <v>45884.6996875</v>
      </c>
      <c r="B332" s="7" t="s">
        <v>388</v>
      </c>
      <c r="C332" s="7" t="s">
        <v>1864</v>
      </c>
      <c r="D332" s="74">
        <v>1.0</v>
      </c>
      <c r="E332" s="46"/>
      <c r="F332" s="47">
        <v>24.99</v>
      </c>
      <c r="G332" s="47">
        <v>0.0</v>
      </c>
      <c r="H332" s="7"/>
      <c r="I332" s="47">
        <v>1.4</v>
      </c>
      <c r="J332" s="8"/>
      <c r="K332" s="7"/>
      <c r="L332" s="7"/>
      <c r="M332" s="7"/>
      <c r="N332" s="7"/>
      <c r="O332" s="7" t="s">
        <v>1665</v>
      </c>
      <c r="P332" s="7"/>
      <c r="Q332" s="7" t="s">
        <v>2062</v>
      </c>
      <c r="R332" s="7" t="s">
        <v>555</v>
      </c>
      <c r="S332" s="65">
        <v>2980.0</v>
      </c>
      <c r="T332" s="7"/>
      <c r="U332" s="7"/>
    </row>
    <row r="333">
      <c r="A333" s="45">
        <v>45884.69960648148</v>
      </c>
      <c r="B333" s="7" t="s">
        <v>425</v>
      </c>
      <c r="C333" s="67" t="s">
        <v>2022</v>
      </c>
      <c r="D333" s="74">
        <v>1.0</v>
      </c>
      <c r="E333" s="74">
        <v>1.0</v>
      </c>
      <c r="F333" s="47">
        <v>124.99</v>
      </c>
      <c r="G333" s="47">
        <v>0.0</v>
      </c>
      <c r="H333" s="7"/>
      <c r="I333" s="47">
        <v>5.8</v>
      </c>
      <c r="J333" s="8"/>
      <c r="K333" s="7"/>
      <c r="L333" s="7"/>
      <c r="M333" s="7"/>
      <c r="N333" s="7"/>
      <c r="O333" s="7" t="s">
        <v>1443</v>
      </c>
      <c r="P333" s="7"/>
      <c r="Q333" s="7" t="s">
        <v>1444</v>
      </c>
      <c r="R333" s="7" t="s">
        <v>525</v>
      </c>
      <c r="S333" s="65">
        <v>2982.0</v>
      </c>
      <c r="T333" s="7"/>
      <c r="U333" s="7"/>
    </row>
    <row r="334">
      <c r="A334" s="45">
        <v>45884.699467592596</v>
      </c>
      <c r="B334" s="7" t="s">
        <v>408</v>
      </c>
      <c r="C334" s="7" t="s">
        <v>1864</v>
      </c>
      <c r="D334" s="74">
        <v>1.0</v>
      </c>
      <c r="E334" s="46"/>
      <c r="F334" s="47">
        <v>24.99</v>
      </c>
      <c r="G334" s="47">
        <v>0.0</v>
      </c>
      <c r="H334" s="7"/>
      <c r="I334" s="47">
        <v>1.02</v>
      </c>
      <c r="J334" s="8"/>
      <c r="K334" s="7"/>
      <c r="L334" s="7"/>
      <c r="M334" s="7"/>
      <c r="N334" s="7"/>
      <c r="O334" s="7" t="s">
        <v>1013</v>
      </c>
      <c r="P334" s="7"/>
      <c r="Q334" s="7" t="s">
        <v>1014</v>
      </c>
      <c r="R334" s="7" t="s">
        <v>493</v>
      </c>
      <c r="S334" s="65">
        <v>2974.0</v>
      </c>
      <c r="T334" s="7"/>
      <c r="U334" s="7"/>
    </row>
    <row r="335">
      <c r="A335" s="45">
        <v>45884.69945601852</v>
      </c>
      <c r="B335" s="7" t="s">
        <v>1121</v>
      </c>
      <c r="C335" s="7" t="s">
        <v>1864</v>
      </c>
      <c r="D335" s="74">
        <v>1.0</v>
      </c>
      <c r="E335" s="46"/>
      <c r="F335" s="47">
        <v>24.99</v>
      </c>
      <c r="G335" s="47">
        <v>0.0</v>
      </c>
      <c r="H335" s="7"/>
      <c r="I335" s="47">
        <v>1.4</v>
      </c>
      <c r="J335" s="8"/>
      <c r="K335" s="7"/>
      <c r="L335" s="7"/>
      <c r="M335" s="7"/>
      <c r="N335" s="7"/>
      <c r="O335" s="7" t="s">
        <v>1122</v>
      </c>
      <c r="P335" s="7"/>
      <c r="Q335" s="7" t="s">
        <v>1123</v>
      </c>
      <c r="R335" s="7" t="s">
        <v>525</v>
      </c>
      <c r="S335" s="65">
        <v>2970.0</v>
      </c>
      <c r="T335" s="7"/>
      <c r="U335" s="7"/>
    </row>
    <row r="336">
      <c r="A336" s="45">
        <v>45884.69936342593</v>
      </c>
      <c r="B336" s="7" t="s">
        <v>407</v>
      </c>
      <c r="C336" s="7" t="s">
        <v>1864</v>
      </c>
      <c r="D336" s="74">
        <v>1.0</v>
      </c>
      <c r="E336" s="46"/>
      <c r="F336" s="47">
        <v>24.99</v>
      </c>
      <c r="G336" s="47">
        <v>0.0</v>
      </c>
      <c r="H336" s="7"/>
      <c r="I336" s="47">
        <v>1.4</v>
      </c>
      <c r="J336" s="8"/>
      <c r="K336" s="7"/>
      <c r="L336" s="7"/>
      <c r="M336" s="7"/>
      <c r="N336" s="7"/>
      <c r="O336" s="7" t="s">
        <v>1299</v>
      </c>
      <c r="P336" s="7"/>
      <c r="Q336" s="7" t="s">
        <v>1300</v>
      </c>
      <c r="R336" s="7" t="s">
        <v>633</v>
      </c>
      <c r="S336" s="65">
        <v>2972.0</v>
      </c>
      <c r="T336" s="7"/>
      <c r="U336" s="7"/>
    </row>
    <row r="337">
      <c r="A337" s="45">
        <v>45884.699212962965</v>
      </c>
      <c r="B337" s="7" t="s">
        <v>390</v>
      </c>
      <c r="C337" s="67" t="s">
        <v>2022</v>
      </c>
      <c r="D337" s="74">
        <v>1.0</v>
      </c>
      <c r="E337" s="74">
        <v>1.0</v>
      </c>
      <c r="F337" s="47">
        <v>124.99</v>
      </c>
      <c r="G337" s="47">
        <v>0.0</v>
      </c>
      <c r="H337" s="7"/>
      <c r="I337" s="47">
        <v>5.8</v>
      </c>
      <c r="J337" s="8"/>
      <c r="K337" s="7"/>
      <c r="L337" s="7"/>
      <c r="M337" s="7"/>
      <c r="N337" s="7"/>
      <c r="O337" s="7"/>
      <c r="P337" s="7"/>
      <c r="Q337" s="7"/>
      <c r="R337" s="7" t="s">
        <v>545</v>
      </c>
      <c r="S337" s="65">
        <v>2968.0</v>
      </c>
      <c r="T337" s="7"/>
      <c r="U337" s="7"/>
    </row>
    <row r="338">
      <c r="A338" s="45">
        <v>45884.69917824074</v>
      </c>
      <c r="B338" s="7" t="s">
        <v>394</v>
      </c>
      <c r="C338" s="7" t="s">
        <v>1864</v>
      </c>
      <c r="D338" s="74">
        <v>1.0</v>
      </c>
      <c r="E338" s="46"/>
      <c r="F338" s="47">
        <v>24.99</v>
      </c>
      <c r="G338" s="47">
        <v>0.0</v>
      </c>
      <c r="H338" s="7"/>
      <c r="I338" s="47">
        <v>1.4</v>
      </c>
      <c r="J338" s="8"/>
      <c r="K338" s="7"/>
      <c r="L338" s="7"/>
      <c r="M338" s="7"/>
      <c r="N338" s="7"/>
      <c r="O338" s="7" t="s">
        <v>1854</v>
      </c>
      <c r="P338" s="7"/>
      <c r="Q338" s="7" t="s">
        <v>1672</v>
      </c>
      <c r="R338" s="7" t="s">
        <v>521</v>
      </c>
      <c r="S338" s="65">
        <v>2966.0</v>
      </c>
      <c r="T338" s="7"/>
      <c r="U338" s="7"/>
    </row>
    <row r="339">
      <c r="A339" s="45">
        <v>45884.699166666665</v>
      </c>
      <c r="B339" s="7" t="s">
        <v>422</v>
      </c>
      <c r="C339" s="67" t="s">
        <v>2022</v>
      </c>
      <c r="D339" s="74">
        <v>1.0</v>
      </c>
      <c r="E339" s="74">
        <v>1.0</v>
      </c>
      <c r="F339" s="47">
        <v>124.99</v>
      </c>
      <c r="G339" s="47">
        <v>0.0</v>
      </c>
      <c r="H339" s="7"/>
      <c r="I339" s="47">
        <v>5.8</v>
      </c>
      <c r="J339" s="8"/>
      <c r="K339" s="7"/>
      <c r="L339" s="7"/>
      <c r="M339" s="7"/>
      <c r="N339" s="7"/>
      <c r="O339" s="7" t="s">
        <v>1232</v>
      </c>
      <c r="P339" s="65">
        <v>34.0</v>
      </c>
      <c r="Q339" s="7" t="s">
        <v>1233</v>
      </c>
      <c r="R339" s="7" t="s">
        <v>525</v>
      </c>
      <c r="S339" s="65">
        <v>2973.0</v>
      </c>
      <c r="T339" s="7"/>
      <c r="U339" s="7"/>
    </row>
    <row r="340">
      <c r="A340" s="45">
        <v>45884.69912037037</v>
      </c>
      <c r="B340" s="7" t="s">
        <v>457</v>
      </c>
      <c r="C340" s="67" t="s">
        <v>2022</v>
      </c>
      <c r="D340" s="74">
        <v>1.0</v>
      </c>
      <c r="E340" s="74">
        <v>1.0</v>
      </c>
      <c r="F340" s="47">
        <v>124.99</v>
      </c>
      <c r="G340" s="47">
        <v>0.0</v>
      </c>
      <c r="H340" s="7"/>
      <c r="I340" s="47">
        <v>3.92</v>
      </c>
      <c r="J340" s="8"/>
      <c r="K340" s="7"/>
      <c r="L340" s="7"/>
      <c r="M340" s="7"/>
      <c r="N340" s="7"/>
      <c r="O340" s="7" t="s">
        <v>1333</v>
      </c>
      <c r="P340" s="7"/>
      <c r="Q340" s="7" t="s">
        <v>1334</v>
      </c>
      <c r="R340" s="7" t="s">
        <v>493</v>
      </c>
      <c r="S340" s="65">
        <v>2969.0</v>
      </c>
      <c r="T340" s="7"/>
      <c r="U340" s="7"/>
    </row>
    <row r="341">
      <c r="A341" s="45">
        <v>45884.69887731481</v>
      </c>
      <c r="B341" s="7" t="s">
        <v>387</v>
      </c>
      <c r="C341" s="7" t="s">
        <v>1864</v>
      </c>
      <c r="D341" s="74">
        <v>1.0</v>
      </c>
      <c r="E341" s="46"/>
      <c r="F341" s="47">
        <v>24.99</v>
      </c>
      <c r="G341" s="47">
        <v>0.0</v>
      </c>
      <c r="H341" s="7"/>
      <c r="I341" s="47">
        <v>1.4</v>
      </c>
      <c r="J341" s="8"/>
      <c r="K341" s="7"/>
      <c r="L341" s="7"/>
      <c r="M341" s="7"/>
      <c r="N341" s="7"/>
      <c r="O341" s="7" t="s">
        <v>1453</v>
      </c>
      <c r="P341" s="7"/>
      <c r="Q341" s="7" t="s">
        <v>1454</v>
      </c>
      <c r="R341" s="7" t="s">
        <v>726</v>
      </c>
      <c r="S341" s="65">
        <v>2971.0</v>
      </c>
      <c r="T341" s="7"/>
      <c r="U341" s="7"/>
    </row>
    <row r="342">
      <c r="A342" s="45">
        <v>45884.69869212963</v>
      </c>
      <c r="B342" s="7" t="s">
        <v>1162</v>
      </c>
      <c r="C342" s="7" t="s">
        <v>1864</v>
      </c>
      <c r="D342" s="74">
        <v>1.0</v>
      </c>
      <c r="E342" s="46"/>
      <c r="F342" s="47">
        <v>36.68</v>
      </c>
      <c r="G342" s="47">
        <v>0.0</v>
      </c>
      <c r="H342" s="7"/>
      <c r="I342" s="47">
        <v>1.36</v>
      </c>
      <c r="J342" s="8"/>
      <c r="K342" s="7"/>
      <c r="L342" s="7"/>
      <c r="M342" s="7"/>
      <c r="N342" s="7"/>
      <c r="O342" s="7" t="s">
        <v>1163</v>
      </c>
      <c r="P342" s="7"/>
      <c r="Q342" s="7" t="s">
        <v>653</v>
      </c>
      <c r="R342" s="7" t="s">
        <v>493</v>
      </c>
      <c r="S342" s="65">
        <v>2965.0</v>
      </c>
      <c r="T342" s="7"/>
      <c r="U342" s="7"/>
    </row>
    <row r="343">
      <c r="A343" s="45">
        <v>45884.69863425926</v>
      </c>
      <c r="B343" s="7" t="s">
        <v>419</v>
      </c>
      <c r="C343" s="7" t="s">
        <v>1864</v>
      </c>
      <c r="D343" s="74">
        <v>1.0</v>
      </c>
      <c r="E343" s="46"/>
      <c r="F343" s="47">
        <v>27.18</v>
      </c>
      <c r="G343" s="47">
        <v>0.0</v>
      </c>
      <c r="H343" s="7"/>
      <c r="I343" s="47">
        <v>1.09</v>
      </c>
      <c r="J343" s="8"/>
      <c r="K343" s="7"/>
      <c r="L343" s="7"/>
      <c r="M343" s="7"/>
      <c r="N343" s="7"/>
      <c r="O343" s="7" t="s">
        <v>1455</v>
      </c>
      <c r="P343" s="7"/>
      <c r="Q343" s="7" t="s">
        <v>1456</v>
      </c>
      <c r="R343" s="7" t="s">
        <v>493</v>
      </c>
      <c r="S343" s="65">
        <v>2967.0</v>
      </c>
      <c r="T343" s="7"/>
      <c r="U343" s="7"/>
    </row>
    <row r="344">
      <c r="A344" s="45">
        <v>45884.698425925926</v>
      </c>
      <c r="B344" s="7" t="s">
        <v>296</v>
      </c>
      <c r="C344" s="67" t="s">
        <v>2022</v>
      </c>
      <c r="D344" s="74">
        <v>1.0</v>
      </c>
      <c r="E344" s="74">
        <v>1.0</v>
      </c>
      <c r="F344" s="47">
        <v>124.99</v>
      </c>
      <c r="G344" s="47">
        <v>0.0</v>
      </c>
      <c r="H344" s="7"/>
      <c r="I344" s="47">
        <v>5.8</v>
      </c>
      <c r="J344" s="8"/>
      <c r="K344" s="7"/>
      <c r="L344" s="7"/>
      <c r="M344" s="7"/>
      <c r="N344" s="7"/>
      <c r="O344" s="7" t="s">
        <v>968</v>
      </c>
      <c r="P344" s="7"/>
      <c r="Q344" s="7" t="s">
        <v>969</v>
      </c>
      <c r="R344" s="7" t="s">
        <v>617</v>
      </c>
      <c r="S344" s="65">
        <v>2964.0</v>
      </c>
      <c r="T344" s="7"/>
      <c r="U344" s="7"/>
    </row>
    <row r="345">
      <c r="A345" s="45">
        <v>45884.69835648148</v>
      </c>
      <c r="B345" s="7" t="s">
        <v>411</v>
      </c>
      <c r="C345" s="7" t="s">
        <v>1864</v>
      </c>
      <c r="D345" s="74">
        <v>1.0</v>
      </c>
      <c r="E345" s="46"/>
      <c r="F345" s="47">
        <v>24.99</v>
      </c>
      <c r="G345" s="47">
        <v>0.0</v>
      </c>
      <c r="H345" s="7"/>
      <c r="I345" s="47">
        <v>1.4</v>
      </c>
      <c r="J345" s="8"/>
      <c r="K345" s="7"/>
      <c r="L345" s="7"/>
      <c r="M345" s="7"/>
      <c r="N345" s="7"/>
      <c r="O345" s="7" t="s">
        <v>1380</v>
      </c>
      <c r="P345" s="7"/>
      <c r="Q345" s="7" t="s">
        <v>1381</v>
      </c>
      <c r="R345" s="7" t="s">
        <v>525</v>
      </c>
      <c r="S345" s="65">
        <v>2962.0</v>
      </c>
      <c r="T345" s="7"/>
      <c r="U345" s="7"/>
    </row>
    <row r="346">
      <c r="A346" s="45">
        <v>45884.69829861111</v>
      </c>
      <c r="B346" s="7" t="s">
        <v>356</v>
      </c>
      <c r="C346" s="7" t="s">
        <v>1864</v>
      </c>
      <c r="D346" s="74">
        <v>1.0</v>
      </c>
      <c r="E346" s="46"/>
      <c r="F346" s="47">
        <v>24.99</v>
      </c>
      <c r="G346" s="47">
        <v>0.0</v>
      </c>
      <c r="H346" s="7"/>
      <c r="I346" s="47">
        <v>1.4</v>
      </c>
      <c r="J346" s="8"/>
      <c r="K346" s="7"/>
      <c r="L346" s="7"/>
      <c r="M346" s="7"/>
      <c r="N346" s="7"/>
      <c r="O346" s="7" t="s">
        <v>797</v>
      </c>
      <c r="P346" s="7"/>
      <c r="Q346" s="7" t="s">
        <v>798</v>
      </c>
      <c r="R346" s="7" t="s">
        <v>525</v>
      </c>
      <c r="S346" s="65">
        <v>2963.0</v>
      </c>
      <c r="T346" s="7"/>
      <c r="U346" s="7"/>
    </row>
    <row r="347">
      <c r="A347" s="45">
        <v>45884.697858796295</v>
      </c>
      <c r="B347" s="7" t="s">
        <v>1645</v>
      </c>
      <c r="C347" s="7" t="s">
        <v>1864</v>
      </c>
      <c r="D347" s="74">
        <v>1.0</v>
      </c>
      <c r="E347" s="46"/>
      <c r="F347" s="47">
        <v>24.99</v>
      </c>
      <c r="G347" s="47">
        <v>0.0</v>
      </c>
      <c r="H347" s="7"/>
      <c r="I347" s="47">
        <v>1.4</v>
      </c>
      <c r="J347" s="8"/>
      <c r="K347" s="7"/>
      <c r="L347" s="7"/>
      <c r="M347" s="7"/>
      <c r="N347" s="7"/>
      <c r="O347" s="7" t="s">
        <v>649</v>
      </c>
      <c r="P347" s="7" t="s">
        <v>1849</v>
      </c>
      <c r="Q347" s="7" t="s">
        <v>651</v>
      </c>
      <c r="R347" s="7" t="s">
        <v>510</v>
      </c>
      <c r="S347" s="65">
        <v>2961.0</v>
      </c>
      <c r="T347" s="7"/>
      <c r="U347" s="7"/>
    </row>
    <row r="348">
      <c r="A348" s="45">
        <v>45884.69730324074</v>
      </c>
      <c r="B348" s="7" t="s">
        <v>956</v>
      </c>
      <c r="C348" s="7" t="s">
        <v>1864</v>
      </c>
      <c r="D348" s="74">
        <v>1.0</v>
      </c>
      <c r="E348" s="46"/>
      <c r="F348" s="47">
        <v>24.99</v>
      </c>
      <c r="G348" s="47">
        <v>0.0</v>
      </c>
      <c r="H348" s="7"/>
      <c r="I348" s="47">
        <v>1.02</v>
      </c>
      <c r="J348" s="8"/>
      <c r="K348" s="7"/>
      <c r="L348" s="7"/>
      <c r="M348" s="7"/>
      <c r="N348" s="7"/>
      <c r="O348" s="7" t="s">
        <v>1691</v>
      </c>
      <c r="P348" s="7"/>
      <c r="Q348" s="7" t="s">
        <v>958</v>
      </c>
      <c r="R348" s="7" t="s">
        <v>493</v>
      </c>
      <c r="S348" s="65">
        <v>2960.0</v>
      </c>
      <c r="T348" s="7"/>
      <c r="U348" s="7"/>
    </row>
    <row r="349">
      <c r="A349" s="45">
        <v>45884.695543981485</v>
      </c>
      <c r="B349" s="7" t="s">
        <v>328</v>
      </c>
      <c r="C349" s="67" t="s">
        <v>2022</v>
      </c>
      <c r="D349" s="74">
        <v>1.0</v>
      </c>
      <c r="E349" s="74">
        <v>1.0</v>
      </c>
      <c r="F349" s="47">
        <v>124.99</v>
      </c>
      <c r="G349" s="47">
        <v>0.0</v>
      </c>
      <c r="H349" s="7"/>
      <c r="I349" s="47">
        <v>3.92</v>
      </c>
      <c r="J349" s="8"/>
      <c r="K349" s="7"/>
      <c r="L349" s="7"/>
      <c r="M349" s="7"/>
      <c r="N349" s="7"/>
      <c r="O349" s="7" t="s">
        <v>1210</v>
      </c>
      <c r="P349" s="7"/>
      <c r="Q349" s="7" t="s">
        <v>1211</v>
      </c>
      <c r="R349" s="7" t="s">
        <v>493</v>
      </c>
      <c r="S349" s="65">
        <v>2959.0</v>
      </c>
      <c r="T349" s="7"/>
      <c r="U349" s="7"/>
    </row>
    <row r="350">
      <c r="A350" s="45">
        <v>45884.695081018515</v>
      </c>
      <c r="B350" s="7" t="s">
        <v>430</v>
      </c>
      <c r="C350" s="7" t="s">
        <v>1864</v>
      </c>
      <c r="D350" s="74">
        <v>1.0</v>
      </c>
      <c r="E350" s="46"/>
      <c r="F350" s="47">
        <v>24.99</v>
      </c>
      <c r="G350" s="47">
        <v>0.0</v>
      </c>
      <c r="H350" s="7"/>
      <c r="I350" s="47">
        <v>1.4</v>
      </c>
      <c r="J350" s="8"/>
      <c r="K350" s="7"/>
      <c r="L350" s="7"/>
      <c r="M350" s="7"/>
      <c r="N350" s="7"/>
      <c r="O350" s="7" t="s">
        <v>1117</v>
      </c>
      <c r="P350" s="7"/>
      <c r="Q350" s="7" t="s">
        <v>1118</v>
      </c>
      <c r="R350" s="7" t="s">
        <v>1824</v>
      </c>
      <c r="S350" s="65">
        <v>2958.0</v>
      </c>
      <c r="T350" s="7"/>
      <c r="U350" s="7"/>
    </row>
    <row r="351">
      <c r="A351" s="45">
        <v>45884.69452546296</v>
      </c>
      <c r="B351" s="7" t="s">
        <v>398</v>
      </c>
      <c r="C351" s="7" t="s">
        <v>1864</v>
      </c>
      <c r="D351" s="74">
        <v>1.0</v>
      </c>
      <c r="E351" s="46"/>
      <c r="F351" s="47">
        <v>24.99</v>
      </c>
      <c r="G351" s="47">
        <v>0.0</v>
      </c>
      <c r="H351" s="7"/>
      <c r="I351" s="47">
        <v>1.02</v>
      </c>
      <c r="J351" s="8"/>
      <c r="K351" s="7"/>
      <c r="L351" s="7"/>
      <c r="M351" s="7"/>
      <c r="N351" s="7"/>
      <c r="O351" s="7" t="s">
        <v>2063</v>
      </c>
      <c r="P351" s="7"/>
      <c r="Q351" s="7" t="s">
        <v>1139</v>
      </c>
      <c r="R351" s="7" t="s">
        <v>493</v>
      </c>
      <c r="S351" s="65">
        <v>2957.0</v>
      </c>
      <c r="T351" s="7"/>
      <c r="U351" s="7"/>
    </row>
    <row r="352">
      <c r="A352" s="45">
        <v>45884.69337962963</v>
      </c>
      <c r="B352" s="7" t="s">
        <v>170</v>
      </c>
      <c r="C352" s="7" t="s">
        <v>1864</v>
      </c>
      <c r="D352" s="74">
        <v>1.0</v>
      </c>
      <c r="E352" s="46"/>
      <c r="F352" s="47">
        <v>24.99</v>
      </c>
      <c r="G352" s="47">
        <v>0.0</v>
      </c>
      <c r="H352" s="7"/>
      <c r="I352" s="47">
        <v>1.4</v>
      </c>
      <c r="J352" s="8"/>
      <c r="K352" s="7"/>
      <c r="L352" s="7"/>
      <c r="M352" s="7"/>
      <c r="N352" s="7"/>
      <c r="O352" s="7" t="s">
        <v>1366</v>
      </c>
      <c r="P352" s="7"/>
      <c r="Q352" s="7" t="s">
        <v>1367</v>
      </c>
      <c r="R352" s="7" t="s">
        <v>1368</v>
      </c>
      <c r="S352" s="65">
        <v>2956.0</v>
      </c>
      <c r="T352" s="7"/>
      <c r="U352" s="7"/>
    </row>
    <row r="353">
      <c r="A353" s="45">
        <v>45884.69186342593</v>
      </c>
      <c r="B353" s="7" t="s">
        <v>447</v>
      </c>
      <c r="C353" s="7" t="s">
        <v>1864</v>
      </c>
      <c r="D353" s="74">
        <v>1.0</v>
      </c>
      <c r="E353" s="46"/>
      <c r="F353" s="47">
        <v>24.99</v>
      </c>
      <c r="G353" s="47">
        <v>0.0</v>
      </c>
      <c r="H353" s="7"/>
      <c r="I353" s="47">
        <v>1.02</v>
      </c>
      <c r="J353" s="8"/>
      <c r="K353" s="7"/>
      <c r="L353" s="7"/>
      <c r="M353" s="7"/>
      <c r="N353" s="7"/>
      <c r="O353" s="7" t="s">
        <v>1452</v>
      </c>
      <c r="P353" s="7"/>
      <c r="Q353" s="7" t="s">
        <v>575</v>
      </c>
      <c r="R353" s="7" t="s">
        <v>493</v>
      </c>
      <c r="S353" s="65">
        <v>2955.0</v>
      </c>
      <c r="T353" s="7"/>
      <c r="U353" s="7"/>
    </row>
    <row r="354">
      <c r="A354" s="45">
        <v>45884.691516203704</v>
      </c>
      <c r="B354" s="7" t="s">
        <v>2064</v>
      </c>
      <c r="C354" s="67" t="s">
        <v>2022</v>
      </c>
      <c r="D354" s="74">
        <v>1.0</v>
      </c>
      <c r="E354" s="74">
        <v>1.0</v>
      </c>
      <c r="F354" s="47">
        <v>124.99</v>
      </c>
      <c r="G354" s="47">
        <v>0.0</v>
      </c>
      <c r="H354" s="7"/>
      <c r="I354" s="47">
        <v>5.8</v>
      </c>
      <c r="J354" s="8"/>
      <c r="K354" s="7"/>
      <c r="L354" s="7"/>
      <c r="M354" s="7"/>
      <c r="N354" s="7"/>
      <c r="O354" s="7" t="s">
        <v>2065</v>
      </c>
      <c r="P354" s="7"/>
      <c r="Q354" s="7" t="s">
        <v>2066</v>
      </c>
      <c r="R354" s="7" t="s">
        <v>726</v>
      </c>
      <c r="S354" s="65">
        <v>2954.0</v>
      </c>
      <c r="T354" s="7"/>
      <c r="U354" s="7"/>
    </row>
    <row r="355">
      <c r="A355" s="45">
        <v>45884.69050925926</v>
      </c>
      <c r="B355" s="7" t="s">
        <v>386</v>
      </c>
      <c r="C355" s="67" t="s">
        <v>2022</v>
      </c>
      <c r="D355" s="74">
        <v>1.0</v>
      </c>
      <c r="E355" s="74">
        <v>1.0</v>
      </c>
      <c r="F355" s="47">
        <v>124.99</v>
      </c>
      <c r="G355" s="47">
        <v>0.0</v>
      </c>
      <c r="H355" s="7"/>
      <c r="I355" s="47">
        <v>3.92</v>
      </c>
      <c r="J355" s="8"/>
      <c r="K355" s="7"/>
      <c r="L355" s="7"/>
      <c r="M355" s="7"/>
      <c r="N355" s="7"/>
      <c r="O355" s="7" t="s">
        <v>1387</v>
      </c>
      <c r="P355" s="7"/>
      <c r="Q355" s="7" t="s">
        <v>1639</v>
      </c>
      <c r="R355" s="7" t="s">
        <v>493</v>
      </c>
      <c r="S355" s="65">
        <v>2953.0</v>
      </c>
      <c r="T355" s="7"/>
      <c r="U355" s="7"/>
    </row>
    <row r="356">
      <c r="A356" s="45">
        <v>45884.690254629626</v>
      </c>
      <c r="B356" s="7" t="s">
        <v>300</v>
      </c>
      <c r="C356" s="67" t="s">
        <v>2022</v>
      </c>
      <c r="D356" s="74">
        <v>1.0</v>
      </c>
      <c r="E356" s="74">
        <v>1.0</v>
      </c>
      <c r="F356" s="47">
        <v>124.99</v>
      </c>
      <c r="G356" s="47">
        <v>0.0</v>
      </c>
      <c r="H356" s="7"/>
      <c r="I356" s="47">
        <v>5.8</v>
      </c>
      <c r="J356" s="8"/>
      <c r="K356" s="7"/>
      <c r="L356" s="7"/>
      <c r="M356" s="7"/>
      <c r="N356" s="7"/>
      <c r="O356" s="7" t="s">
        <v>1291</v>
      </c>
      <c r="P356" s="7"/>
      <c r="Q356" s="7" t="s">
        <v>1699</v>
      </c>
      <c r="R356" s="7" t="s">
        <v>1293</v>
      </c>
      <c r="S356" s="65">
        <v>2952.0</v>
      </c>
      <c r="T356" s="7"/>
      <c r="U356" s="7"/>
    </row>
    <row r="357">
      <c r="A357" s="45">
        <v>45884.689409722225</v>
      </c>
      <c r="B357" s="7" t="s">
        <v>1678</v>
      </c>
      <c r="C357" s="7" t="s">
        <v>1864</v>
      </c>
      <c r="D357" s="74">
        <v>1.0</v>
      </c>
      <c r="E357" s="46"/>
      <c r="F357" s="47">
        <v>24.99</v>
      </c>
      <c r="G357" s="47">
        <v>0.0</v>
      </c>
      <c r="H357" s="7"/>
      <c r="I357" s="47">
        <v>1.02</v>
      </c>
      <c r="J357" s="8"/>
      <c r="K357" s="7"/>
      <c r="L357" s="7"/>
      <c r="M357" s="7"/>
      <c r="N357" s="7"/>
      <c r="O357" s="7" t="s">
        <v>2067</v>
      </c>
      <c r="P357" s="7"/>
      <c r="Q357" s="7" t="s">
        <v>656</v>
      </c>
      <c r="R357" s="7" t="s">
        <v>493</v>
      </c>
      <c r="S357" s="65">
        <v>2951.0</v>
      </c>
      <c r="T357" s="7"/>
      <c r="U357" s="7"/>
    </row>
    <row r="358">
      <c r="A358" s="45">
        <v>45884.689050925925</v>
      </c>
      <c r="B358" s="7" t="s">
        <v>395</v>
      </c>
      <c r="C358" s="67" t="s">
        <v>2022</v>
      </c>
      <c r="D358" s="74">
        <v>1.0</v>
      </c>
      <c r="E358" s="74">
        <v>1.0</v>
      </c>
      <c r="F358" s="47">
        <v>124.99</v>
      </c>
      <c r="G358" s="47">
        <v>0.0</v>
      </c>
      <c r="H358" s="7"/>
      <c r="I358" s="47">
        <v>5.8</v>
      </c>
      <c r="J358" s="8"/>
      <c r="K358" s="7"/>
      <c r="L358" s="7"/>
      <c r="M358" s="7"/>
      <c r="N358" s="7"/>
      <c r="O358" s="7" t="s">
        <v>2068</v>
      </c>
      <c r="P358" s="7" t="s">
        <v>1856</v>
      </c>
      <c r="Q358" s="7" t="s">
        <v>2069</v>
      </c>
      <c r="R358" s="7" t="s">
        <v>973</v>
      </c>
      <c r="S358" s="65">
        <v>2949.0</v>
      </c>
      <c r="T358" s="7"/>
      <c r="U358" s="7"/>
    </row>
    <row r="359">
      <c r="A359" s="45">
        <v>45884.688784722224</v>
      </c>
      <c r="B359" s="7" t="s">
        <v>308</v>
      </c>
      <c r="C359" s="67" t="s">
        <v>2070</v>
      </c>
      <c r="D359" s="74">
        <v>4.0</v>
      </c>
      <c r="E359" s="74">
        <v>1.0</v>
      </c>
      <c r="F359" s="47">
        <v>211.78</v>
      </c>
      <c r="G359" s="47">
        <v>0.0</v>
      </c>
      <c r="H359" s="7"/>
      <c r="I359" s="47">
        <v>9.62</v>
      </c>
      <c r="J359" s="8"/>
      <c r="K359" s="7"/>
      <c r="L359" s="7"/>
      <c r="M359" s="7"/>
      <c r="N359" s="7"/>
      <c r="O359" s="7" t="s">
        <v>1425</v>
      </c>
      <c r="P359" s="7" t="s">
        <v>1426</v>
      </c>
      <c r="Q359" s="7" t="s">
        <v>992</v>
      </c>
      <c r="R359" s="7" t="s">
        <v>684</v>
      </c>
      <c r="S359" s="65">
        <v>2948.0</v>
      </c>
      <c r="T359" s="7"/>
      <c r="U359" s="7"/>
    </row>
    <row r="360">
      <c r="A360" s="45">
        <v>45884.688622685186</v>
      </c>
      <c r="B360" s="7" t="s">
        <v>435</v>
      </c>
      <c r="C360" s="67" t="s">
        <v>2022</v>
      </c>
      <c r="D360" s="74">
        <v>1.0</v>
      </c>
      <c r="E360" s="74">
        <v>1.0</v>
      </c>
      <c r="F360" s="47">
        <v>124.99</v>
      </c>
      <c r="G360" s="47">
        <v>0.0</v>
      </c>
      <c r="H360" s="7"/>
      <c r="I360" s="47">
        <v>3.92</v>
      </c>
      <c r="J360" s="8"/>
      <c r="K360" s="7"/>
      <c r="L360" s="7"/>
      <c r="M360" s="7"/>
      <c r="N360" s="7"/>
      <c r="O360" s="7" t="s">
        <v>1853</v>
      </c>
      <c r="P360" s="7"/>
      <c r="Q360" s="7" t="s">
        <v>1437</v>
      </c>
      <c r="R360" s="7" t="s">
        <v>493</v>
      </c>
      <c r="S360" s="65">
        <v>2950.0</v>
      </c>
      <c r="T360" s="7"/>
      <c r="U360" s="7"/>
    </row>
    <row r="361">
      <c r="A361" s="45">
        <v>45884.68837962963</v>
      </c>
      <c r="B361" s="7" t="s">
        <v>432</v>
      </c>
      <c r="C361" s="67" t="s">
        <v>2022</v>
      </c>
      <c r="D361" s="74">
        <v>1.0</v>
      </c>
      <c r="E361" s="74">
        <v>1.0</v>
      </c>
      <c r="F361" s="47">
        <v>134.68</v>
      </c>
      <c r="G361" s="47">
        <v>0.0</v>
      </c>
      <c r="H361" s="7"/>
      <c r="I361" s="47">
        <v>4.21</v>
      </c>
      <c r="J361" s="8"/>
      <c r="K361" s="7"/>
      <c r="L361" s="7"/>
      <c r="M361" s="7"/>
      <c r="N361" s="7"/>
      <c r="O361" s="7" t="s">
        <v>1462</v>
      </c>
      <c r="P361" s="7"/>
      <c r="Q361" s="7" t="s">
        <v>1463</v>
      </c>
      <c r="R361" s="7" t="s">
        <v>493</v>
      </c>
      <c r="S361" s="65">
        <v>2947.0</v>
      </c>
      <c r="T361" s="7"/>
      <c r="U361" s="7"/>
    </row>
    <row r="362">
      <c r="A362" s="45">
        <v>45884.688125</v>
      </c>
      <c r="B362" s="7" t="s">
        <v>381</v>
      </c>
      <c r="C362" s="7" t="s">
        <v>1864</v>
      </c>
      <c r="D362" s="74">
        <v>1.0</v>
      </c>
      <c r="E362" s="46"/>
      <c r="F362" s="47">
        <v>24.99</v>
      </c>
      <c r="G362" s="47">
        <v>0.0</v>
      </c>
      <c r="H362" s="7"/>
      <c r="I362" s="47">
        <v>1.4</v>
      </c>
      <c r="J362" s="8"/>
      <c r="K362" s="7"/>
      <c r="L362" s="7"/>
      <c r="M362" s="7"/>
      <c r="N362" s="7"/>
      <c r="O362" s="7" t="s">
        <v>2071</v>
      </c>
      <c r="P362" s="7" t="s">
        <v>2072</v>
      </c>
      <c r="Q362" s="7" t="s">
        <v>509</v>
      </c>
      <c r="R362" s="7" t="s">
        <v>510</v>
      </c>
      <c r="S362" s="65">
        <v>2942.0</v>
      </c>
      <c r="T362" s="7"/>
      <c r="U362" s="7"/>
    </row>
    <row r="363">
      <c r="A363" s="45">
        <v>45884.688043981485</v>
      </c>
      <c r="B363" s="7" t="s">
        <v>564</v>
      </c>
      <c r="C363" s="7" t="s">
        <v>1864</v>
      </c>
      <c r="D363" s="74">
        <v>1.0</v>
      </c>
      <c r="E363" s="46"/>
      <c r="F363" s="47">
        <v>27.55</v>
      </c>
      <c r="G363" s="47">
        <v>0.0</v>
      </c>
      <c r="H363" s="7"/>
      <c r="I363" s="47">
        <v>1.1</v>
      </c>
      <c r="J363" s="8"/>
      <c r="K363" s="7"/>
      <c r="L363" s="7"/>
      <c r="M363" s="7"/>
      <c r="N363" s="7"/>
      <c r="O363" s="7"/>
      <c r="P363" s="7"/>
      <c r="Q363" s="7"/>
      <c r="R363" s="7" t="s">
        <v>493</v>
      </c>
      <c r="S363" s="65">
        <v>2943.0</v>
      </c>
      <c r="T363" s="7"/>
      <c r="U363" s="7"/>
    </row>
    <row r="364">
      <c r="A364" s="45">
        <v>45884.68780092592</v>
      </c>
      <c r="B364" s="7" t="s">
        <v>413</v>
      </c>
      <c r="C364" s="7" t="s">
        <v>1864</v>
      </c>
      <c r="D364" s="74">
        <v>1.0</v>
      </c>
      <c r="E364" s="46"/>
      <c r="F364" s="47">
        <v>24.99</v>
      </c>
      <c r="G364" s="47">
        <v>0.0</v>
      </c>
      <c r="H364" s="7"/>
      <c r="I364" s="47">
        <v>1.4</v>
      </c>
      <c r="J364" s="8"/>
      <c r="K364" s="7"/>
      <c r="L364" s="7"/>
      <c r="M364" s="7"/>
      <c r="N364" s="7"/>
      <c r="O364" s="7" t="s">
        <v>1693</v>
      </c>
      <c r="P364" s="7"/>
      <c r="Q364" s="7" t="s">
        <v>1694</v>
      </c>
      <c r="R364" s="7" t="s">
        <v>1420</v>
      </c>
      <c r="S364" s="65">
        <v>2944.0</v>
      </c>
      <c r="T364" s="7"/>
      <c r="U364" s="7"/>
    </row>
    <row r="365">
      <c r="A365" s="136" t="s">
        <v>1464</v>
      </c>
      <c r="B365" s="1"/>
      <c r="C365" s="1"/>
      <c r="D365" s="114">
        <f t="shared" ref="D365:G365" si="1">SUM(D2:D364)</f>
        <v>374</v>
      </c>
      <c r="E365" s="114">
        <f t="shared" si="1"/>
        <v>60</v>
      </c>
      <c r="F365" s="115">
        <f t="shared" si="1"/>
        <v>16593.92</v>
      </c>
      <c r="G365" s="115">
        <f t="shared" si="1"/>
        <v>0</v>
      </c>
      <c r="H365" s="1"/>
      <c r="I365" s="115">
        <f t="shared" ref="I365:J365" si="2">SUM(I2:I364)</f>
        <v>730.32</v>
      </c>
      <c r="J365" s="115">
        <f t="shared" si="2"/>
        <v>24.99</v>
      </c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>
      <c r="A366" s="7"/>
      <c r="B366" s="7"/>
      <c r="C366" s="7"/>
      <c r="D366" s="116"/>
      <c r="E366" s="116"/>
      <c r="F366" s="8"/>
      <c r="G366" s="8"/>
      <c r="H366" s="7"/>
      <c r="I366" s="8"/>
      <c r="J366" s="8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>
      <c r="A367" s="81" t="s">
        <v>467</v>
      </c>
      <c r="B367" s="82"/>
      <c r="C367" s="7"/>
      <c r="D367" s="116"/>
      <c r="E367" s="116"/>
      <c r="F367" s="8"/>
      <c r="G367" s="8"/>
      <c r="H367" s="7"/>
      <c r="I367" s="8"/>
      <c r="J367" s="8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>
      <c r="A368" s="83" t="s">
        <v>2073</v>
      </c>
      <c r="B368" s="84">
        <v>374.0</v>
      </c>
      <c r="C368" s="7"/>
      <c r="D368" s="116"/>
      <c r="E368" s="116"/>
      <c r="F368" s="8"/>
      <c r="G368" s="8"/>
      <c r="H368" s="7"/>
      <c r="I368" s="8"/>
      <c r="J368" s="8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>
      <c r="A369" s="31" t="s">
        <v>68</v>
      </c>
      <c r="B369" s="6">
        <v>24.99</v>
      </c>
      <c r="C369" s="7"/>
      <c r="D369" s="116"/>
      <c r="E369" s="116"/>
      <c r="F369" s="8"/>
      <c r="G369" s="8"/>
      <c r="H369" s="7"/>
      <c r="I369" s="8"/>
      <c r="J369" s="8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>
      <c r="A370" s="93" t="s">
        <v>1466</v>
      </c>
      <c r="B370" s="5">
        <f>B368*B369</f>
        <v>9346.26</v>
      </c>
      <c r="C370" s="7"/>
      <c r="D370" s="116"/>
      <c r="E370" s="116"/>
      <c r="F370" s="8"/>
      <c r="G370" s="8"/>
      <c r="H370" s="7"/>
      <c r="I370" s="8"/>
      <c r="J370" s="8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>
      <c r="A371" s="31" t="s">
        <v>470</v>
      </c>
      <c r="B371" s="85">
        <v>6000.0</v>
      </c>
      <c r="C371" s="7"/>
      <c r="D371" s="116"/>
      <c r="E371" s="116"/>
      <c r="F371" s="8"/>
      <c r="G371" s="8"/>
      <c r="H371" s="7"/>
      <c r="I371" s="8"/>
      <c r="J371" s="8"/>
      <c r="K371" s="80"/>
      <c r="L371" s="80"/>
      <c r="M371" s="7"/>
      <c r="N371" s="7"/>
      <c r="O371" s="7"/>
      <c r="P371" s="7"/>
      <c r="Q371" s="7"/>
      <c r="R371" s="7"/>
      <c r="S371" s="7"/>
      <c r="T371" s="7"/>
      <c r="U371" s="7"/>
    </row>
    <row r="372">
      <c r="A372" s="87" t="s">
        <v>11</v>
      </c>
      <c r="B372" s="88">
        <f>SUM(B370:B371)</f>
        <v>15346.26</v>
      </c>
      <c r="C372" s="7"/>
      <c r="D372" s="116"/>
      <c r="E372" s="116"/>
      <c r="F372" s="8"/>
      <c r="G372" s="8"/>
      <c r="H372" s="7"/>
      <c r="I372" s="8"/>
      <c r="J372" s="8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>
      <c r="A373" s="83" t="s">
        <v>471</v>
      </c>
      <c r="B373" s="89">
        <v>16593.92</v>
      </c>
      <c r="C373" s="7"/>
      <c r="D373" s="116"/>
      <c r="E373" s="116"/>
      <c r="F373" s="8"/>
      <c r="G373" s="8"/>
      <c r="H373" s="7"/>
      <c r="I373" s="8"/>
      <c r="J373" s="8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>
      <c r="A374" s="4" t="s">
        <v>472</v>
      </c>
      <c r="B374" s="5">
        <f>B373-B372</f>
        <v>1247.66</v>
      </c>
      <c r="C374" s="7"/>
      <c r="D374" s="116"/>
      <c r="E374" s="116"/>
      <c r="F374" s="8"/>
      <c r="G374" s="8"/>
      <c r="H374" s="7"/>
      <c r="I374" s="8"/>
      <c r="J374" s="8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>
      <c r="A375" s="90" t="s">
        <v>473</v>
      </c>
      <c r="B375" s="91">
        <v>730.32</v>
      </c>
      <c r="C375" s="7"/>
      <c r="D375" s="116"/>
      <c r="E375" s="116"/>
      <c r="F375" s="8"/>
      <c r="G375" s="8"/>
      <c r="H375" s="7"/>
      <c r="I375" s="8"/>
      <c r="J375" s="8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>
      <c r="A376" s="80"/>
      <c r="B376" s="7"/>
      <c r="C376" s="7"/>
      <c r="D376" s="116"/>
      <c r="E376" s="116"/>
      <c r="F376" s="8"/>
      <c r="G376" s="8"/>
      <c r="H376" s="7"/>
      <c r="I376" s="8"/>
      <c r="J376" s="8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>
      <c r="A377" s="64" t="s">
        <v>2074</v>
      </c>
      <c r="B377" s="7"/>
      <c r="C377" s="7"/>
      <c r="D377" s="116"/>
      <c r="E377" s="116"/>
      <c r="F377" s="8"/>
      <c r="G377" s="8"/>
      <c r="H377" s="7"/>
      <c r="I377" s="8"/>
      <c r="J377" s="8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>
      <c r="A378" s="94" t="s">
        <v>476</v>
      </c>
      <c r="B378" s="31"/>
      <c r="C378" s="7"/>
      <c r="D378" s="116"/>
      <c r="E378" s="116"/>
      <c r="F378" s="8"/>
      <c r="G378" s="8"/>
      <c r="H378" s="7"/>
      <c r="I378" s="8"/>
      <c r="J378" s="8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>
      <c r="A379" s="83" t="s">
        <v>477</v>
      </c>
      <c r="B379" s="95">
        <v>9.57</v>
      </c>
      <c r="C379" s="7"/>
      <c r="D379" s="116"/>
      <c r="E379" s="116"/>
      <c r="F379" s="8"/>
      <c r="G379" s="8"/>
      <c r="H379" s="7"/>
      <c r="I379" s="8"/>
      <c r="J379" s="8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>
      <c r="A380" s="83" t="s">
        <v>478</v>
      </c>
      <c r="B380" s="95">
        <v>90.24</v>
      </c>
      <c r="C380" s="7"/>
      <c r="D380" s="116"/>
      <c r="E380" s="116"/>
      <c r="F380" s="8"/>
      <c r="G380" s="8"/>
      <c r="H380" s="7"/>
      <c r="I380" s="8"/>
      <c r="J380" s="8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>
      <c r="A381" s="96" t="s">
        <v>479</v>
      </c>
      <c r="B381" s="97">
        <f>SUM(B379:B380)</f>
        <v>99.81</v>
      </c>
      <c r="C381" s="7"/>
      <c r="D381" s="116"/>
      <c r="E381" s="116"/>
      <c r="F381" s="8"/>
      <c r="G381" s="8"/>
      <c r="H381" s="7"/>
      <c r="I381" s="8"/>
      <c r="J381" s="8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>
      <c r="A382" s="80"/>
      <c r="B382" s="7"/>
      <c r="C382" s="7"/>
      <c r="D382" s="116"/>
      <c r="E382" s="116"/>
      <c r="F382" s="8"/>
      <c r="G382" s="8"/>
      <c r="H382" s="7"/>
      <c r="I382" s="8"/>
      <c r="J382" s="8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>
      <c r="A383" s="80"/>
      <c r="B383" s="7"/>
      <c r="C383" s="7"/>
      <c r="D383" s="116"/>
      <c r="E383" s="116"/>
      <c r="F383" s="8"/>
      <c r="G383" s="8"/>
      <c r="H383" s="7"/>
      <c r="I383" s="8"/>
      <c r="J383" s="8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>
      <c r="A384" s="121" t="s">
        <v>480</v>
      </c>
      <c r="B384" s="122">
        <v>24.99</v>
      </c>
      <c r="C384" s="7"/>
      <c r="D384" s="116"/>
      <c r="E384" s="116"/>
      <c r="F384" s="8"/>
      <c r="G384" s="8"/>
      <c r="H384" s="7"/>
      <c r="I384" s="8"/>
      <c r="J384" s="8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>
      <c r="A385" s="121" t="s">
        <v>8</v>
      </c>
      <c r="B385" s="123">
        <v>4.5</v>
      </c>
      <c r="C385" s="7"/>
      <c r="D385" s="116"/>
      <c r="E385" s="116"/>
      <c r="F385" s="8"/>
      <c r="G385" s="8"/>
      <c r="H385" s="7"/>
      <c r="I385" s="8"/>
      <c r="J385" s="8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>
      <c r="A386" s="121" t="s">
        <v>13</v>
      </c>
      <c r="B386" s="126">
        <f>2*0.127</f>
        <v>0.254</v>
      </c>
      <c r="C386" s="7"/>
      <c r="D386" s="116"/>
      <c r="E386" s="116"/>
      <c r="F386" s="8"/>
      <c r="G386" s="8"/>
      <c r="H386" s="7"/>
      <c r="I386" s="8"/>
      <c r="J386" s="8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>
      <c r="A387" s="121" t="s">
        <v>9</v>
      </c>
      <c r="B387" s="124">
        <f>B384-(B385+B386)</f>
        <v>20.236</v>
      </c>
      <c r="C387" s="7"/>
      <c r="D387" s="116"/>
      <c r="E387" s="116"/>
      <c r="F387" s="8"/>
      <c r="G387" s="8"/>
      <c r="H387" s="7"/>
      <c r="I387" s="8"/>
      <c r="J387" s="8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>
      <c r="A388" s="125"/>
      <c r="B388" s="126"/>
      <c r="C388" s="7"/>
      <c r="D388" s="116"/>
      <c r="E388" s="116"/>
      <c r="F388" s="8"/>
      <c r="G388" s="8"/>
      <c r="H388" s="7"/>
      <c r="I388" s="8"/>
      <c r="J388" s="8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>
      <c r="A389" s="121" t="s">
        <v>10</v>
      </c>
      <c r="B389" s="127">
        <v>374.0</v>
      </c>
      <c r="C389" s="7"/>
      <c r="D389" s="116"/>
      <c r="E389" s="116"/>
      <c r="F389" s="8"/>
      <c r="G389" s="8"/>
      <c r="H389" s="7"/>
      <c r="I389" s="8"/>
      <c r="J389" s="8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>
      <c r="A390" s="121" t="s">
        <v>481</v>
      </c>
      <c r="B390" s="126">
        <f>B384*B389</f>
        <v>9346.26</v>
      </c>
      <c r="C390" s="7"/>
      <c r="D390" s="116"/>
      <c r="E390" s="116"/>
      <c r="F390" s="8"/>
      <c r="G390" s="8"/>
      <c r="H390" s="7"/>
      <c r="I390" s="8"/>
      <c r="J390" s="8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>
      <c r="A391" s="121" t="s">
        <v>12</v>
      </c>
      <c r="B391" s="123">
        <v>4235.5</v>
      </c>
      <c r="C391" s="7"/>
      <c r="D391" s="116"/>
      <c r="E391" s="116"/>
      <c r="F391" s="8"/>
      <c r="G391" s="8"/>
      <c r="H391" s="7"/>
      <c r="I391" s="8"/>
      <c r="J391" s="8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>
      <c r="A392" s="138"/>
      <c r="B392" s="129">
        <f>B390-B391</f>
        <v>5110.76</v>
      </c>
      <c r="C392" s="7"/>
      <c r="D392" s="116"/>
      <c r="E392" s="116"/>
      <c r="F392" s="8"/>
      <c r="G392" s="8"/>
      <c r="H392" s="7"/>
      <c r="I392" s="8"/>
      <c r="J392" s="8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>
      <c r="A393" s="130"/>
      <c r="B393" s="130"/>
      <c r="C393" s="7"/>
      <c r="D393" s="116"/>
      <c r="E393" s="116"/>
      <c r="F393" s="8"/>
      <c r="G393" s="8"/>
      <c r="H393" s="7"/>
      <c r="I393" s="8"/>
      <c r="J393" s="8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>
      <c r="A394" s="121" t="s">
        <v>16</v>
      </c>
      <c r="B394" s="123">
        <f>70</f>
        <v>70</v>
      </c>
      <c r="C394" s="7"/>
      <c r="D394" s="116"/>
      <c r="E394" s="116"/>
      <c r="F394" s="8"/>
      <c r="G394" s="8"/>
      <c r="H394" s="7"/>
      <c r="I394" s="8"/>
      <c r="J394" s="8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>
      <c r="A395" s="121" t="s">
        <v>10</v>
      </c>
      <c r="B395" s="127">
        <v>60.0</v>
      </c>
      <c r="C395" s="7"/>
      <c r="D395" s="116"/>
      <c r="E395" s="116"/>
      <c r="F395" s="8"/>
      <c r="G395" s="8"/>
      <c r="H395" s="7"/>
      <c r="I395" s="8"/>
      <c r="J395" s="8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>
      <c r="A396" s="121" t="s">
        <v>17</v>
      </c>
      <c r="B396" s="126">
        <f>B394*B395</f>
        <v>4200</v>
      </c>
      <c r="C396" s="7"/>
      <c r="D396" s="116"/>
      <c r="E396" s="116"/>
      <c r="F396" s="8"/>
      <c r="G396" s="8"/>
      <c r="H396" s="7"/>
      <c r="I396" s="8"/>
      <c r="J396" s="8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>
      <c r="A397" s="121"/>
      <c r="B397" s="123"/>
      <c r="C397" s="7"/>
      <c r="D397" s="116"/>
      <c r="E397" s="116"/>
      <c r="F397" s="8"/>
      <c r="G397" s="8"/>
      <c r="H397" s="7"/>
      <c r="I397" s="8"/>
      <c r="J397" s="8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>
      <c r="A398" s="131" t="s">
        <v>18</v>
      </c>
      <c r="B398" s="124">
        <f>B392+B390</f>
        <v>14457.02</v>
      </c>
      <c r="C398" s="7"/>
      <c r="D398" s="116"/>
      <c r="E398" s="116"/>
      <c r="F398" s="8"/>
      <c r="G398" s="8"/>
      <c r="H398" s="7"/>
      <c r="I398" s="8"/>
      <c r="J398" s="8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>
      <c r="A399" s="130"/>
      <c r="B399" s="130"/>
      <c r="C399" s="7"/>
      <c r="D399" s="116"/>
      <c r="E399" s="116"/>
      <c r="F399" s="8"/>
      <c r="G399" s="8"/>
      <c r="H399" s="7"/>
      <c r="I399" s="8"/>
      <c r="J399" s="8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>
      <c r="A400" s="121" t="s">
        <v>19</v>
      </c>
      <c r="B400" s="132">
        <v>730.0</v>
      </c>
      <c r="C400" s="7"/>
      <c r="D400" s="116"/>
      <c r="E400" s="116"/>
      <c r="F400" s="8"/>
      <c r="G400" s="8"/>
      <c r="H400" s="7"/>
      <c r="I400" s="8"/>
      <c r="J400" s="8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>
      <c r="A401" s="133" t="s">
        <v>1472</v>
      </c>
      <c r="B401" s="134">
        <v>99.81</v>
      </c>
      <c r="C401" s="7"/>
      <c r="D401" s="116"/>
      <c r="E401" s="116"/>
      <c r="F401" s="8"/>
      <c r="G401" s="8"/>
      <c r="H401" s="7"/>
      <c r="I401" s="8"/>
      <c r="J401" s="8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>
      <c r="A402" s="131" t="s">
        <v>20</v>
      </c>
      <c r="B402" s="124">
        <f>B398-B400-B401</f>
        <v>13627.21</v>
      </c>
      <c r="C402" s="7"/>
      <c r="D402" s="116"/>
      <c r="E402" s="116"/>
      <c r="F402" s="8"/>
      <c r="G402" s="8"/>
      <c r="H402" s="7"/>
      <c r="I402" s="8"/>
      <c r="J402" s="8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>
      <c r="A403" s="80"/>
      <c r="B403" s="7"/>
      <c r="C403" s="7"/>
      <c r="D403" s="116"/>
      <c r="E403" s="116"/>
      <c r="F403" s="8"/>
      <c r="G403" s="8"/>
      <c r="H403" s="7"/>
      <c r="I403" s="8"/>
      <c r="J403" s="8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>
      <c r="A404" s="80"/>
      <c r="B404" s="7"/>
      <c r="C404" s="7"/>
      <c r="D404" s="116"/>
      <c r="E404" s="116"/>
      <c r="F404" s="8"/>
      <c r="G404" s="8"/>
      <c r="H404" s="7"/>
      <c r="I404" s="8"/>
      <c r="J404" s="8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>
      <c r="A405" s="80"/>
      <c r="B405" s="7"/>
      <c r="C405" s="7"/>
      <c r="D405" s="116"/>
      <c r="E405" s="116"/>
      <c r="F405" s="8"/>
      <c r="G405" s="8"/>
      <c r="H405" s="7"/>
      <c r="I405" s="8"/>
      <c r="J405" s="8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>
      <c r="A406" s="80"/>
      <c r="B406" s="7"/>
      <c r="C406" s="7"/>
      <c r="D406" s="116"/>
      <c r="E406" s="116"/>
      <c r="F406" s="8"/>
      <c r="G406" s="8"/>
      <c r="H406" s="7"/>
      <c r="I406" s="8"/>
      <c r="J406" s="8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>
      <c r="A407" s="80"/>
      <c r="B407" s="7"/>
      <c r="C407" s="7"/>
      <c r="D407" s="116"/>
      <c r="E407" s="116"/>
      <c r="F407" s="8"/>
      <c r="G407" s="8"/>
      <c r="H407" s="7"/>
      <c r="I407" s="8"/>
      <c r="J407" s="8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>
      <c r="A408" s="80"/>
      <c r="B408" s="7"/>
      <c r="C408" s="7"/>
      <c r="D408" s="116"/>
      <c r="E408" s="116"/>
      <c r="F408" s="8"/>
      <c r="G408" s="8"/>
      <c r="H408" s="7"/>
      <c r="I408" s="8"/>
      <c r="J408" s="8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>
      <c r="A409" s="80"/>
      <c r="B409" s="7"/>
      <c r="C409" s="7"/>
      <c r="D409" s="116"/>
      <c r="E409" s="116"/>
      <c r="F409" s="8"/>
      <c r="G409" s="8"/>
      <c r="H409" s="7"/>
      <c r="I409" s="8"/>
      <c r="J409" s="8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>
      <c r="A410" s="80"/>
      <c r="B410" s="7"/>
      <c r="C410" s="7"/>
      <c r="D410" s="116"/>
      <c r="E410" s="116"/>
      <c r="F410" s="8"/>
      <c r="G410" s="8"/>
      <c r="H410" s="7"/>
      <c r="I410" s="8"/>
      <c r="J410" s="8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>
      <c r="A411" s="80"/>
      <c r="B411" s="7"/>
      <c r="C411" s="7"/>
      <c r="D411" s="116"/>
      <c r="E411" s="116"/>
      <c r="F411" s="8"/>
      <c r="G411" s="8"/>
      <c r="H411" s="7"/>
      <c r="I411" s="8"/>
      <c r="J411" s="8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>
      <c r="A412" s="80"/>
      <c r="B412" s="7"/>
      <c r="C412" s="7"/>
      <c r="D412" s="116"/>
      <c r="E412" s="116"/>
      <c r="F412" s="8"/>
      <c r="G412" s="8"/>
      <c r="H412" s="7"/>
      <c r="I412" s="8"/>
      <c r="J412" s="8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>
      <c r="A413" s="80"/>
      <c r="B413" s="7"/>
      <c r="C413" s="7"/>
      <c r="D413" s="116"/>
      <c r="E413" s="116"/>
      <c r="F413" s="8"/>
      <c r="G413" s="8"/>
      <c r="H413" s="7"/>
      <c r="I413" s="8"/>
      <c r="J413" s="8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>
      <c r="A414" s="80"/>
      <c r="B414" s="7"/>
      <c r="C414" s="7"/>
      <c r="D414" s="116"/>
      <c r="E414" s="116"/>
      <c r="F414" s="8"/>
      <c r="G414" s="8"/>
      <c r="H414" s="7"/>
      <c r="I414" s="8"/>
      <c r="J414" s="8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>
      <c r="A415" s="80"/>
      <c r="B415" s="7"/>
      <c r="C415" s="7"/>
      <c r="D415" s="116"/>
      <c r="E415" s="116"/>
      <c r="F415" s="8"/>
      <c r="G415" s="8"/>
      <c r="H415" s="7"/>
      <c r="I415" s="8"/>
      <c r="J415" s="8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>
      <c r="A416" s="80"/>
      <c r="B416" s="7"/>
      <c r="C416" s="7"/>
      <c r="D416" s="116"/>
      <c r="E416" s="116"/>
      <c r="F416" s="8"/>
      <c r="G416" s="8"/>
      <c r="H416" s="7"/>
      <c r="I416" s="8"/>
      <c r="J416" s="8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>
      <c r="A417" s="80"/>
      <c r="B417" s="7"/>
      <c r="C417" s="7"/>
      <c r="D417" s="116"/>
      <c r="E417" s="116"/>
      <c r="F417" s="8"/>
      <c r="G417" s="8"/>
      <c r="H417" s="7"/>
      <c r="I417" s="8"/>
      <c r="J417" s="8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>
      <c r="A418" s="80"/>
      <c r="B418" s="7"/>
      <c r="C418" s="7"/>
      <c r="D418" s="116"/>
      <c r="E418" s="116"/>
      <c r="F418" s="8"/>
      <c r="G418" s="8"/>
      <c r="H418" s="7"/>
      <c r="I418" s="8"/>
      <c r="J418" s="8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>
      <c r="A419" s="80"/>
      <c r="B419" s="7"/>
      <c r="C419" s="7"/>
      <c r="D419" s="116"/>
      <c r="E419" s="116"/>
      <c r="F419" s="8"/>
      <c r="G419" s="8"/>
      <c r="H419" s="7"/>
      <c r="I419" s="8"/>
      <c r="J419" s="8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>
      <c r="A420" s="80"/>
      <c r="B420" s="7"/>
      <c r="C420" s="7"/>
      <c r="D420" s="116"/>
      <c r="E420" s="116"/>
      <c r="F420" s="8"/>
      <c r="G420" s="8"/>
      <c r="H420" s="7"/>
      <c r="I420" s="8"/>
      <c r="J420" s="8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>
      <c r="A421" s="80"/>
      <c r="B421" s="7"/>
      <c r="C421" s="7"/>
      <c r="D421" s="116"/>
      <c r="E421" s="116"/>
      <c r="F421" s="8"/>
      <c r="G421" s="8"/>
      <c r="H421" s="7"/>
      <c r="I421" s="8"/>
      <c r="J421" s="8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>
      <c r="A422" s="80"/>
      <c r="B422" s="7"/>
      <c r="C422" s="7"/>
      <c r="D422" s="116"/>
      <c r="E422" s="116"/>
      <c r="F422" s="8"/>
      <c r="G422" s="8"/>
      <c r="H422" s="7"/>
      <c r="I422" s="8"/>
      <c r="J422" s="8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>
      <c r="A423" s="80"/>
      <c r="B423" s="7"/>
      <c r="C423" s="7"/>
      <c r="D423" s="116"/>
      <c r="E423" s="116"/>
      <c r="F423" s="8"/>
      <c r="G423" s="8"/>
      <c r="H423" s="7"/>
      <c r="I423" s="8"/>
      <c r="J423" s="8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>
      <c r="A424" s="80"/>
      <c r="B424" s="7"/>
      <c r="C424" s="7"/>
      <c r="D424" s="116"/>
      <c r="E424" s="116"/>
      <c r="F424" s="8"/>
      <c r="G424" s="8"/>
      <c r="H424" s="7"/>
      <c r="I424" s="8"/>
      <c r="J424" s="8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>
      <c r="A425" s="80"/>
      <c r="B425" s="7"/>
      <c r="C425" s="7"/>
      <c r="D425" s="116"/>
      <c r="E425" s="116"/>
      <c r="F425" s="8"/>
      <c r="G425" s="8"/>
      <c r="H425" s="7"/>
      <c r="I425" s="8"/>
      <c r="J425" s="8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>
      <c r="A426" s="80"/>
      <c r="B426" s="7"/>
      <c r="C426" s="7"/>
      <c r="D426" s="116"/>
      <c r="E426" s="116"/>
      <c r="F426" s="8"/>
      <c r="G426" s="8"/>
      <c r="H426" s="7"/>
      <c r="I426" s="8"/>
      <c r="J426" s="8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>
      <c r="A427" s="80"/>
      <c r="B427" s="7"/>
      <c r="C427" s="7"/>
      <c r="D427" s="116"/>
      <c r="E427" s="116"/>
      <c r="F427" s="8"/>
      <c r="G427" s="8"/>
      <c r="H427" s="7"/>
      <c r="I427" s="8"/>
      <c r="J427" s="8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>
      <c r="A428" s="80"/>
      <c r="B428" s="7"/>
      <c r="C428" s="7"/>
      <c r="D428" s="116"/>
      <c r="E428" s="116"/>
      <c r="F428" s="8"/>
      <c r="G428" s="8"/>
      <c r="H428" s="7"/>
      <c r="I428" s="8"/>
      <c r="J428" s="8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>
      <c r="A429" s="80"/>
      <c r="B429" s="7"/>
      <c r="C429" s="7"/>
      <c r="D429" s="116"/>
      <c r="E429" s="116"/>
      <c r="F429" s="8"/>
      <c r="G429" s="8"/>
      <c r="H429" s="7"/>
      <c r="I429" s="8"/>
      <c r="J429" s="8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>
      <c r="A430" s="80"/>
      <c r="B430" s="7"/>
      <c r="C430" s="7"/>
      <c r="D430" s="116"/>
      <c r="E430" s="116"/>
      <c r="F430" s="8"/>
      <c r="G430" s="8"/>
      <c r="H430" s="7"/>
      <c r="I430" s="8"/>
      <c r="J430" s="8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>
      <c r="A431" s="80"/>
      <c r="B431" s="7"/>
      <c r="C431" s="7"/>
      <c r="D431" s="116"/>
      <c r="E431" s="116"/>
      <c r="F431" s="8"/>
      <c r="G431" s="8"/>
      <c r="H431" s="7"/>
      <c r="I431" s="8"/>
      <c r="J431" s="8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>
      <c r="A432" s="80"/>
      <c r="B432" s="7"/>
      <c r="C432" s="7"/>
      <c r="D432" s="116"/>
      <c r="E432" s="116"/>
      <c r="F432" s="8"/>
      <c r="G432" s="8"/>
      <c r="H432" s="7"/>
      <c r="I432" s="8"/>
      <c r="J432" s="8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>
      <c r="A433" s="80"/>
      <c r="B433" s="7"/>
      <c r="C433" s="7"/>
      <c r="D433" s="116"/>
      <c r="E433" s="116"/>
      <c r="F433" s="8"/>
      <c r="G433" s="8"/>
      <c r="H433" s="7"/>
      <c r="I433" s="8"/>
      <c r="J433" s="8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>
      <c r="A434" s="80"/>
      <c r="B434" s="7"/>
      <c r="C434" s="7"/>
      <c r="D434" s="116"/>
      <c r="E434" s="116"/>
      <c r="F434" s="8"/>
      <c r="G434" s="8"/>
      <c r="H434" s="7"/>
      <c r="I434" s="8"/>
      <c r="J434" s="8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>
      <c r="A435" s="80"/>
      <c r="B435" s="7"/>
      <c r="C435" s="7"/>
      <c r="D435" s="116"/>
      <c r="E435" s="116"/>
      <c r="F435" s="8"/>
      <c r="G435" s="8"/>
      <c r="H435" s="7"/>
      <c r="I435" s="8"/>
      <c r="J435" s="8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>
      <c r="A436" s="80"/>
      <c r="B436" s="7"/>
      <c r="C436" s="7"/>
      <c r="D436" s="116"/>
      <c r="E436" s="116"/>
      <c r="F436" s="8"/>
      <c r="G436" s="8"/>
      <c r="H436" s="7"/>
      <c r="I436" s="8"/>
      <c r="J436" s="8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>
      <c r="A437" s="80"/>
      <c r="B437" s="7"/>
      <c r="C437" s="7"/>
      <c r="D437" s="116"/>
      <c r="E437" s="116"/>
      <c r="F437" s="8"/>
      <c r="G437" s="8"/>
      <c r="H437" s="7"/>
      <c r="I437" s="8"/>
      <c r="J437" s="8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>
      <c r="A438" s="80"/>
      <c r="B438" s="7"/>
      <c r="C438" s="7"/>
      <c r="D438" s="116"/>
      <c r="E438" s="116"/>
      <c r="F438" s="8"/>
      <c r="G438" s="8"/>
      <c r="H438" s="7"/>
      <c r="I438" s="8"/>
      <c r="J438" s="8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>
      <c r="A439" s="80"/>
      <c r="B439" s="7"/>
      <c r="C439" s="7"/>
      <c r="D439" s="116"/>
      <c r="E439" s="116"/>
      <c r="F439" s="8"/>
      <c r="G439" s="8"/>
      <c r="H439" s="7"/>
      <c r="I439" s="8"/>
      <c r="J439" s="8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>
      <c r="A440" s="80"/>
      <c r="B440" s="7"/>
      <c r="C440" s="7"/>
      <c r="D440" s="116"/>
      <c r="E440" s="116"/>
      <c r="F440" s="8"/>
      <c r="G440" s="8"/>
      <c r="H440" s="7"/>
      <c r="I440" s="8"/>
      <c r="J440" s="8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>
      <c r="A441" s="80"/>
      <c r="B441" s="7"/>
      <c r="C441" s="7"/>
      <c r="D441" s="116"/>
      <c r="E441" s="116"/>
      <c r="F441" s="8"/>
      <c r="G441" s="8"/>
      <c r="H441" s="7"/>
      <c r="I441" s="8"/>
      <c r="J441" s="8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>
      <c r="A442" s="80"/>
      <c r="B442" s="7"/>
      <c r="C442" s="7"/>
      <c r="D442" s="116"/>
      <c r="E442" s="116"/>
      <c r="F442" s="8"/>
      <c r="G442" s="8"/>
      <c r="H442" s="7"/>
      <c r="I442" s="8"/>
      <c r="J442" s="8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>
      <c r="A443" s="80"/>
      <c r="B443" s="7"/>
      <c r="C443" s="7"/>
      <c r="D443" s="116"/>
      <c r="E443" s="116"/>
      <c r="F443" s="8"/>
      <c r="G443" s="8"/>
      <c r="H443" s="7"/>
      <c r="I443" s="8"/>
      <c r="J443" s="8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>
      <c r="A444" s="80"/>
      <c r="B444" s="7"/>
      <c r="C444" s="7"/>
      <c r="D444" s="116"/>
      <c r="E444" s="116"/>
      <c r="F444" s="8"/>
      <c r="G444" s="8"/>
      <c r="H444" s="7"/>
      <c r="I444" s="8"/>
      <c r="J444" s="8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>
      <c r="A445" s="80"/>
      <c r="B445" s="7"/>
      <c r="C445" s="7"/>
      <c r="D445" s="116"/>
      <c r="E445" s="116"/>
      <c r="F445" s="8"/>
      <c r="G445" s="8"/>
      <c r="H445" s="7"/>
      <c r="I445" s="8"/>
      <c r="J445" s="8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>
      <c r="A446" s="80"/>
      <c r="B446" s="7"/>
      <c r="C446" s="7"/>
      <c r="D446" s="116"/>
      <c r="E446" s="116"/>
      <c r="F446" s="8"/>
      <c r="G446" s="8"/>
      <c r="H446" s="7"/>
      <c r="I446" s="8"/>
      <c r="J446" s="8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>
      <c r="A447" s="80"/>
      <c r="B447" s="7"/>
      <c r="C447" s="7"/>
      <c r="D447" s="116"/>
      <c r="E447" s="116"/>
      <c r="F447" s="8"/>
      <c r="G447" s="8"/>
      <c r="H447" s="7"/>
      <c r="I447" s="8"/>
      <c r="J447" s="8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>
      <c r="A448" s="80"/>
      <c r="B448" s="7"/>
      <c r="C448" s="7"/>
      <c r="D448" s="116"/>
      <c r="E448" s="116"/>
      <c r="F448" s="8"/>
      <c r="G448" s="8"/>
      <c r="H448" s="7"/>
      <c r="I448" s="8"/>
      <c r="J448" s="8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>
      <c r="A449" s="80"/>
      <c r="B449" s="7"/>
      <c r="C449" s="7"/>
      <c r="D449" s="116"/>
      <c r="E449" s="116"/>
      <c r="F449" s="8"/>
      <c r="G449" s="8"/>
      <c r="H449" s="7"/>
      <c r="I449" s="8"/>
      <c r="J449" s="8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>
      <c r="A450" s="80"/>
      <c r="B450" s="7"/>
      <c r="C450" s="7"/>
      <c r="D450" s="116"/>
      <c r="E450" s="116"/>
      <c r="F450" s="8"/>
      <c r="G450" s="8"/>
      <c r="H450" s="7"/>
      <c r="I450" s="8"/>
      <c r="J450" s="8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>
      <c r="A451" s="80"/>
      <c r="B451" s="7"/>
      <c r="C451" s="7"/>
      <c r="D451" s="116"/>
      <c r="E451" s="116"/>
      <c r="F451" s="8"/>
      <c r="G451" s="8"/>
      <c r="H451" s="7"/>
      <c r="I451" s="8"/>
      <c r="J451" s="8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>
      <c r="A452" s="80"/>
      <c r="B452" s="7"/>
      <c r="C452" s="7"/>
      <c r="D452" s="116"/>
      <c r="E452" s="116"/>
      <c r="F452" s="8"/>
      <c r="G452" s="8"/>
      <c r="H452" s="7"/>
      <c r="I452" s="8"/>
      <c r="J452" s="8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>
      <c r="A453" s="80"/>
      <c r="B453" s="7"/>
      <c r="C453" s="7"/>
      <c r="D453" s="116"/>
      <c r="E453" s="116"/>
      <c r="F453" s="8"/>
      <c r="G453" s="8"/>
      <c r="H453" s="7"/>
      <c r="I453" s="8"/>
      <c r="J453" s="8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>
      <c r="A454" s="80"/>
      <c r="B454" s="7"/>
      <c r="C454" s="7"/>
      <c r="D454" s="116"/>
      <c r="E454" s="116"/>
      <c r="F454" s="8"/>
      <c r="G454" s="8"/>
      <c r="H454" s="7"/>
      <c r="I454" s="8"/>
      <c r="J454" s="8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>
      <c r="A455" s="80"/>
      <c r="B455" s="7"/>
      <c r="C455" s="7"/>
      <c r="D455" s="116"/>
      <c r="E455" s="116"/>
      <c r="F455" s="8"/>
      <c r="G455" s="8"/>
      <c r="H455" s="7"/>
      <c r="I455" s="8"/>
      <c r="J455" s="8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>
      <c r="A456" s="80"/>
      <c r="B456" s="7"/>
      <c r="C456" s="7"/>
      <c r="D456" s="116"/>
      <c r="E456" s="116"/>
      <c r="F456" s="8"/>
      <c r="G456" s="8"/>
      <c r="H456" s="7"/>
      <c r="I456" s="8"/>
      <c r="J456" s="8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>
      <c r="A457" s="80"/>
      <c r="B457" s="7"/>
      <c r="C457" s="7"/>
      <c r="D457" s="116"/>
      <c r="E457" s="116"/>
      <c r="F457" s="8"/>
      <c r="G457" s="8"/>
      <c r="H457" s="7"/>
      <c r="I457" s="8"/>
      <c r="J457" s="8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>
      <c r="A458" s="80"/>
      <c r="B458" s="7"/>
      <c r="C458" s="7"/>
      <c r="D458" s="116"/>
      <c r="E458" s="116"/>
      <c r="F458" s="8"/>
      <c r="G458" s="8"/>
      <c r="H458" s="7"/>
      <c r="I458" s="8"/>
      <c r="J458" s="8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>
      <c r="A459" s="80"/>
      <c r="B459" s="7"/>
      <c r="C459" s="7"/>
      <c r="D459" s="116"/>
      <c r="E459" s="116"/>
      <c r="F459" s="8"/>
      <c r="G459" s="8"/>
      <c r="H459" s="7"/>
      <c r="I459" s="8"/>
      <c r="J459" s="8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>
      <c r="A460" s="80"/>
      <c r="B460" s="7"/>
      <c r="C460" s="7"/>
      <c r="D460" s="116"/>
      <c r="E460" s="116"/>
      <c r="F460" s="8"/>
      <c r="G460" s="8"/>
      <c r="H460" s="7"/>
      <c r="I460" s="8"/>
      <c r="J460" s="8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>
      <c r="A461" s="80"/>
      <c r="B461" s="7"/>
      <c r="C461" s="7"/>
      <c r="D461" s="116"/>
      <c r="E461" s="116"/>
      <c r="F461" s="8"/>
      <c r="G461" s="8"/>
      <c r="H461" s="7"/>
      <c r="I461" s="8"/>
      <c r="J461" s="8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>
      <c r="A462" s="80"/>
      <c r="B462" s="7"/>
      <c r="C462" s="7"/>
      <c r="D462" s="116"/>
      <c r="E462" s="116"/>
      <c r="F462" s="8"/>
      <c r="G462" s="8"/>
      <c r="H462" s="7"/>
      <c r="I462" s="8"/>
      <c r="J462" s="8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>
      <c r="A463" s="80"/>
      <c r="B463" s="7"/>
      <c r="C463" s="7"/>
      <c r="D463" s="116"/>
      <c r="E463" s="116"/>
      <c r="F463" s="8"/>
      <c r="G463" s="8"/>
      <c r="H463" s="7"/>
      <c r="I463" s="8"/>
      <c r="J463" s="8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>
      <c r="A464" s="80"/>
      <c r="B464" s="7"/>
      <c r="C464" s="7"/>
      <c r="D464" s="116"/>
      <c r="E464" s="116"/>
      <c r="F464" s="8"/>
      <c r="G464" s="8"/>
      <c r="H464" s="7"/>
      <c r="I464" s="8"/>
      <c r="J464" s="8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>
      <c r="A465" s="80"/>
      <c r="B465" s="7"/>
      <c r="C465" s="7"/>
      <c r="D465" s="116"/>
      <c r="E465" s="116"/>
      <c r="F465" s="8"/>
      <c r="G465" s="8"/>
      <c r="H465" s="7"/>
      <c r="I465" s="8"/>
      <c r="J465" s="8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>
      <c r="A466" s="80"/>
      <c r="B466" s="7"/>
      <c r="C466" s="7"/>
      <c r="D466" s="116"/>
      <c r="E466" s="116"/>
      <c r="F466" s="8"/>
      <c r="G466" s="8"/>
      <c r="H466" s="7"/>
      <c r="I466" s="8"/>
      <c r="J466" s="8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>
      <c r="A467" s="80"/>
      <c r="B467" s="7"/>
      <c r="C467" s="7"/>
      <c r="D467" s="116"/>
      <c r="E467" s="116"/>
      <c r="F467" s="8"/>
      <c r="G467" s="8"/>
      <c r="H467" s="7"/>
      <c r="I467" s="8"/>
      <c r="J467" s="8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>
      <c r="A468" s="80"/>
      <c r="B468" s="7"/>
      <c r="C468" s="7"/>
      <c r="D468" s="116"/>
      <c r="E468" s="116"/>
      <c r="F468" s="8"/>
      <c r="G468" s="8"/>
      <c r="H468" s="7"/>
      <c r="I468" s="8"/>
      <c r="J468" s="8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>
      <c r="A469" s="80"/>
      <c r="B469" s="7"/>
      <c r="C469" s="7"/>
      <c r="D469" s="116"/>
      <c r="E469" s="116"/>
      <c r="F469" s="8"/>
      <c r="G469" s="8"/>
      <c r="H469" s="7"/>
      <c r="I469" s="8"/>
      <c r="J469" s="8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>
      <c r="A470" s="80"/>
      <c r="B470" s="7"/>
      <c r="C470" s="7"/>
      <c r="D470" s="116"/>
      <c r="E470" s="116"/>
      <c r="F470" s="8"/>
      <c r="G470" s="8"/>
      <c r="H470" s="7"/>
      <c r="I470" s="8"/>
      <c r="J470" s="8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>
      <c r="A471" s="80"/>
      <c r="B471" s="7"/>
      <c r="C471" s="7"/>
      <c r="D471" s="116"/>
      <c r="E471" s="116"/>
      <c r="F471" s="8"/>
      <c r="G471" s="8"/>
      <c r="H471" s="7"/>
      <c r="I471" s="8"/>
      <c r="J471" s="8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>
      <c r="A472" s="80"/>
      <c r="B472" s="7"/>
      <c r="C472" s="7"/>
      <c r="D472" s="116"/>
      <c r="E472" s="116"/>
      <c r="F472" s="8"/>
      <c r="G472" s="8"/>
      <c r="H472" s="7"/>
      <c r="I472" s="8"/>
      <c r="J472" s="8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>
      <c r="A473" s="80"/>
      <c r="B473" s="7"/>
      <c r="C473" s="7"/>
      <c r="D473" s="116"/>
      <c r="E473" s="116"/>
      <c r="F473" s="8"/>
      <c r="G473" s="8"/>
      <c r="H473" s="7"/>
      <c r="I473" s="8"/>
      <c r="J473" s="8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>
      <c r="A474" s="80"/>
      <c r="B474" s="7"/>
      <c r="C474" s="7"/>
      <c r="D474" s="116"/>
      <c r="E474" s="116"/>
      <c r="F474" s="8"/>
      <c r="G474" s="8"/>
      <c r="H474" s="7"/>
      <c r="I474" s="8"/>
      <c r="J474" s="8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>
      <c r="A475" s="80"/>
      <c r="B475" s="7"/>
      <c r="C475" s="7"/>
      <c r="D475" s="116"/>
      <c r="E475" s="116"/>
      <c r="F475" s="8"/>
      <c r="G475" s="8"/>
      <c r="H475" s="7"/>
      <c r="I475" s="8"/>
      <c r="J475" s="8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>
      <c r="A476" s="80"/>
      <c r="B476" s="7"/>
      <c r="C476" s="7"/>
      <c r="D476" s="116"/>
      <c r="E476" s="116"/>
      <c r="F476" s="8"/>
      <c r="G476" s="8"/>
      <c r="H476" s="7"/>
      <c r="I476" s="8"/>
      <c r="J476" s="8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>
      <c r="A477" s="80"/>
      <c r="B477" s="7"/>
      <c r="C477" s="7"/>
      <c r="D477" s="116"/>
      <c r="E477" s="116"/>
      <c r="F477" s="8"/>
      <c r="G477" s="8"/>
      <c r="H477" s="7"/>
      <c r="I477" s="8"/>
      <c r="J477" s="8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>
      <c r="A478" s="80"/>
      <c r="B478" s="7"/>
      <c r="C478" s="7"/>
      <c r="D478" s="116"/>
      <c r="E478" s="116"/>
      <c r="F478" s="8"/>
      <c r="G478" s="8"/>
      <c r="H478" s="7"/>
      <c r="I478" s="8"/>
      <c r="J478" s="8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>
      <c r="A479" s="80"/>
      <c r="B479" s="7"/>
      <c r="C479" s="7"/>
      <c r="D479" s="116"/>
      <c r="E479" s="116"/>
      <c r="F479" s="8"/>
      <c r="G479" s="8"/>
      <c r="H479" s="7"/>
      <c r="I479" s="8"/>
      <c r="J479" s="8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>
      <c r="A480" s="80"/>
      <c r="B480" s="7"/>
      <c r="C480" s="7"/>
      <c r="D480" s="116"/>
      <c r="E480" s="116"/>
      <c r="F480" s="8"/>
      <c r="G480" s="8"/>
      <c r="H480" s="7"/>
      <c r="I480" s="8"/>
      <c r="J480" s="8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>
      <c r="A481" s="80"/>
      <c r="B481" s="7"/>
      <c r="C481" s="7"/>
      <c r="D481" s="116"/>
      <c r="E481" s="116"/>
      <c r="F481" s="8"/>
      <c r="G481" s="8"/>
      <c r="H481" s="7"/>
      <c r="I481" s="8"/>
      <c r="J481" s="8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>
      <c r="A482" s="80"/>
      <c r="B482" s="7"/>
      <c r="C482" s="7"/>
      <c r="D482" s="116"/>
      <c r="E482" s="116"/>
      <c r="F482" s="8"/>
      <c r="G482" s="8"/>
      <c r="H482" s="7"/>
      <c r="I482" s="8"/>
      <c r="J482" s="8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>
      <c r="A483" s="80"/>
      <c r="B483" s="7"/>
      <c r="C483" s="7"/>
      <c r="D483" s="116"/>
      <c r="E483" s="116"/>
      <c r="F483" s="8"/>
      <c r="G483" s="8"/>
      <c r="H483" s="7"/>
      <c r="I483" s="8"/>
      <c r="J483" s="8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>
      <c r="A484" s="80"/>
      <c r="B484" s="7"/>
      <c r="C484" s="7"/>
      <c r="D484" s="116"/>
      <c r="E484" s="116"/>
      <c r="F484" s="8"/>
      <c r="G484" s="8"/>
      <c r="H484" s="7"/>
      <c r="I484" s="8"/>
      <c r="J484" s="8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>
      <c r="A485" s="80"/>
      <c r="B485" s="7"/>
      <c r="C485" s="7"/>
      <c r="D485" s="116"/>
      <c r="E485" s="116"/>
      <c r="F485" s="8"/>
      <c r="G485" s="8"/>
      <c r="H485" s="7"/>
      <c r="I485" s="8"/>
      <c r="J485" s="8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>
      <c r="A486" s="80"/>
      <c r="B486" s="7"/>
      <c r="C486" s="7"/>
      <c r="D486" s="116"/>
      <c r="E486" s="116"/>
      <c r="F486" s="8"/>
      <c r="G486" s="8"/>
      <c r="H486" s="7"/>
      <c r="I486" s="8"/>
      <c r="J486" s="8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>
      <c r="A487" s="80"/>
      <c r="B487" s="7"/>
      <c r="C487" s="7"/>
      <c r="D487" s="116"/>
      <c r="E487" s="116"/>
      <c r="F487" s="8"/>
      <c r="G487" s="8"/>
      <c r="H487" s="7"/>
      <c r="I487" s="8"/>
      <c r="J487" s="8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>
      <c r="A488" s="80"/>
      <c r="B488" s="7"/>
      <c r="C488" s="7"/>
      <c r="D488" s="116"/>
      <c r="E488" s="116"/>
      <c r="F488" s="8"/>
      <c r="G488" s="8"/>
      <c r="H488" s="7"/>
      <c r="I488" s="8"/>
      <c r="J488" s="8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>
      <c r="A489" s="80"/>
      <c r="B489" s="7"/>
      <c r="C489" s="7"/>
      <c r="D489" s="116"/>
      <c r="E489" s="116"/>
      <c r="F489" s="8"/>
      <c r="G489" s="8"/>
      <c r="H489" s="7"/>
      <c r="I489" s="8"/>
      <c r="J489" s="8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>
      <c r="A490" s="80"/>
      <c r="B490" s="7"/>
      <c r="C490" s="7"/>
      <c r="D490" s="116"/>
      <c r="E490" s="116"/>
      <c r="F490" s="8"/>
      <c r="G490" s="8"/>
      <c r="H490" s="7"/>
      <c r="I490" s="8"/>
      <c r="J490" s="8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>
      <c r="A491" s="80"/>
      <c r="B491" s="7"/>
      <c r="C491" s="7"/>
      <c r="D491" s="116"/>
      <c r="E491" s="116"/>
      <c r="F491" s="8"/>
      <c r="G491" s="8"/>
      <c r="H491" s="7"/>
      <c r="I491" s="8"/>
      <c r="J491" s="8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>
      <c r="A492" s="80"/>
      <c r="B492" s="7"/>
      <c r="C492" s="7"/>
      <c r="D492" s="116"/>
      <c r="E492" s="116"/>
      <c r="F492" s="8"/>
      <c r="G492" s="8"/>
      <c r="H492" s="7"/>
      <c r="I492" s="8"/>
      <c r="J492" s="8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>
      <c r="A493" s="80"/>
      <c r="B493" s="7"/>
      <c r="C493" s="7"/>
      <c r="D493" s="116"/>
      <c r="E493" s="116"/>
      <c r="F493" s="8"/>
      <c r="G493" s="8"/>
      <c r="H493" s="7"/>
      <c r="I493" s="8"/>
      <c r="J493" s="8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>
      <c r="A494" s="80"/>
      <c r="B494" s="7"/>
      <c r="C494" s="7"/>
      <c r="D494" s="116"/>
      <c r="E494" s="116"/>
      <c r="F494" s="8"/>
      <c r="G494" s="8"/>
      <c r="H494" s="7"/>
      <c r="I494" s="8"/>
      <c r="J494" s="8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>
      <c r="A495" s="80"/>
      <c r="B495" s="7"/>
      <c r="C495" s="7"/>
      <c r="D495" s="116"/>
      <c r="E495" s="116"/>
      <c r="F495" s="8"/>
      <c r="G495" s="8"/>
      <c r="H495" s="7"/>
      <c r="I495" s="8"/>
      <c r="J495" s="8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>
      <c r="A496" s="80"/>
      <c r="B496" s="7"/>
      <c r="C496" s="7"/>
      <c r="D496" s="116"/>
      <c r="E496" s="116"/>
      <c r="F496" s="8"/>
      <c r="G496" s="8"/>
      <c r="H496" s="7"/>
      <c r="I496" s="8"/>
      <c r="J496" s="8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>
      <c r="A497" s="80"/>
      <c r="B497" s="7"/>
      <c r="C497" s="7"/>
      <c r="D497" s="116"/>
      <c r="E497" s="116"/>
      <c r="F497" s="8"/>
      <c r="G497" s="8"/>
      <c r="H497" s="7"/>
      <c r="I497" s="8"/>
      <c r="J497" s="8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>
      <c r="A498" s="80"/>
      <c r="B498" s="7"/>
      <c r="C498" s="7"/>
      <c r="D498" s="116"/>
      <c r="E498" s="116"/>
      <c r="F498" s="8"/>
      <c r="G498" s="8"/>
      <c r="H498" s="7"/>
      <c r="I498" s="8"/>
      <c r="J498" s="8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>
      <c r="A499" s="80"/>
      <c r="B499" s="7"/>
      <c r="C499" s="7"/>
      <c r="D499" s="116"/>
      <c r="E499" s="116"/>
      <c r="F499" s="8"/>
      <c r="G499" s="8"/>
      <c r="H499" s="7"/>
      <c r="I499" s="8"/>
      <c r="J499" s="8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>
      <c r="A500" s="80"/>
      <c r="B500" s="7"/>
      <c r="C500" s="7"/>
      <c r="D500" s="116"/>
      <c r="E500" s="116"/>
      <c r="F500" s="8"/>
      <c r="G500" s="8"/>
      <c r="H500" s="7"/>
      <c r="I500" s="8"/>
      <c r="J500" s="8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>
      <c r="A501" s="80"/>
      <c r="B501" s="7"/>
      <c r="C501" s="7"/>
      <c r="D501" s="116"/>
      <c r="E501" s="116"/>
      <c r="F501" s="8"/>
      <c r="G501" s="8"/>
      <c r="H501" s="7"/>
      <c r="I501" s="8"/>
      <c r="J501" s="8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>
      <c r="A502" s="80"/>
      <c r="B502" s="7"/>
      <c r="C502" s="7"/>
      <c r="D502" s="116"/>
      <c r="E502" s="116"/>
      <c r="F502" s="8"/>
      <c r="G502" s="8"/>
      <c r="H502" s="7"/>
      <c r="I502" s="8"/>
      <c r="J502" s="8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>
      <c r="A503" s="80"/>
      <c r="B503" s="7"/>
      <c r="C503" s="7"/>
      <c r="D503" s="116"/>
      <c r="E503" s="116"/>
      <c r="F503" s="8"/>
      <c r="G503" s="8"/>
      <c r="H503" s="7"/>
      <c r="I503" s="8"/>
      <c r="J503" s="8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>
      <c r="A504" s="80"/>
      <c r="B504" s="7"/>
      <c r="C504" s="7"/>
      <c r="D504" s="116"/>
      <c r="E504" s="116"/>
      <c r="F504" s="8"/>
      <c r="G504" s="8"/>
      <c r="H504" s="7"/>
      <c r="I504" s="8"/>
      <c r="J504" s="8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>
      <c r="A505" s="80"/>
      <c r="B505" s="7"/>
      <c r="C505" s="7"/>
      <c r="D505" s="116"/>
      <c r="E505" s="116"/>
      <c r="F505" s="8"/>
      <c r="G505" s="8"/>
      <c r="H505" s="7"/>
      <c r="I505" s="8"/>
      <c r="J505" s="8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>
      <c r="A506" s="80"/>
      <c r="B506" s="7"/>
      <c r="C506" s="7"/>
      <c r="D506" s="116"/>
      <c r="E506" s="116"/>
      <c r="F506" s="8"/>
      <c r="G506" s="8"/>
      <c r="H506" s="7"/>
      <c r="I506" s="8"/>
      <c r="J506" s="8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>
      <c r="A507" s="80"/>
      <c r="B507" s="7"/>
      <c r="C507" s="7"/>
      <c r="D507" s="116"/>
      <c r="E507" s="116"/>
      <c r="F507" s="8"/>
      <c r="G507" s="8"/>
      <c r="H507" s="7"/>
      <c r="I507" s="8"/>
      <c r="J507" s="8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>
      <c r="A508" s="80"/>
      <c r="B508" s="7"/>
      <c r="C508" s="7"/>
      <c r="D508" s="116"/>
      <c r="E508" s="116"/>
      <c r="F508" s="8"/>
      <c r="G508" s="8"/>
      <c r="H508" s="7"/>
      <c r="I508" s="8"/>
      <c r="J508" s="8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>
      <c r="A509" s="80"/>
      <c r="B509" s="7"/>
      <c r="C509" s="7"/>
      <c r="D509" s="116"/>
      <c r="E509" s="116"/>
      <c r="F509" s="8"/>
      <c r="G509" s="8"/>
      <c r="H509" s="7"/>
      <c r="I509" s="8"/>
      <c r="J509" s="8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>
      <c r="A510" s="80"/>
      <c r="B510" s="7"/>
      <c r="C510" s="7"/>
      <c r="D510" s="116"/>
      <c r="E510" s="116"/>
      <c r="F510" s="8"/>
      <c r="G510" s="8"/>
      <c r="H510" s="7"/>
      <c r="I510" s="8"/>
      <c r="J510" s="8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>
      <c r="A511" s="80"/>
      <c r="B511" s="7"/>
      <c r="C511" s="7"/>
      <c r="D511" s="116"/>
      <c r="E511" s="116"/>
      <c r="F511" s="8"/>
      <c r="G511" s="8"/>
      <c r="H511" s="7"/>
      <c r="I511" s="8"/>
      <c r="J511" s="8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>
      <c r="A512" s="80"/>
      <c r="B512" s="7"/>
      <c r="C512" s="7"/>
      <c r="D512" s="116"/>
      <c r="E512" s="116"/>
      <c r="F512" s="8"/>
      <c r="G512" s="8"/>
      <c r="H512" s="7"/>
      <c r="I512" s="8"/>
      <c r="J512" s="8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>
      <c r="A513" s="80"/>
      <c r="B513" s="7"/>
      <c r="C513" s="7"/>
      <c r="D513" s="116"/>
      <c r="E513" s="116"/>
      <c r="F513" s="8"/>
      <c r="G513" s="8"/>
      <c r="H513" s="7"/>
      <c r="I513" s="8"/>
      <c r="J513" s="8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>
      <c r="A514" s="80"/>
      <c r="B514" s="7"/>
      <c r="C514" s="7"/>
      <c r="D514" s="116"/>
      <c r="E514" s="116"/>
      <c r="F514" s="8"/>
      <c r="G514" s="8"/>
      <c r="H514" s="7"/>
      <c r="I514" s="8"/>
      <c r="J514" s="8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>
      <c r="A515" s="80"/>
      <c r="B515" s="7"/>
      <c r="C515" s="7"/>
      <c r="D515" s="116"/>
      <c r="E515" s="116"/>
      <c r="F515" s="8"/>
      <c r="G515" s="8"/>
      <c r="H515" s="7"/>
      <c r="I515" s="8"/>
      <c r="J515" s="8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>
      <c r="A516" s="80"/>
      <c r="B516" s="7"/>
      <c r="C516" s="7"/>
      <c r="D516" s="116"/>
      <c r="E516" s="116"/>
      <c r="F516" s="8"/>
      <c r="G516" s="8"/>
      <c r="H516" s="7"/>
      <c r="I516" s="8"/>
      <c r="J516" s="8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>
      <c r="A517" s="80"/>
      <c r="B517" s="7"/>
      <c r="C517" s="7"/>
      <c r="D517" s="116"/>
      <c r="E517" s="116"/>
      <c r="F517" s="8"/>
      <c r="G517" s="8"/>
      <c r="H517" s="7"/>
      <c r="I517" s="8"/>
      <c r="J517" s="8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>
      <c r="A518" s="80"/>
      <c r="B518" s="7"/>
      <c r="C518" s="7"/>
      <c r="D518" s="116"/>
      <c r="E518" s="116"/>
      <c r="F518" s="8"/>
      <c r="G518" s="8"/>
      <c r="H518" s="7"/>
      <c r="I518" s="8"/>
      <c r="J518" s="8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>
      <c r="A519" s="80"/>
      <c r="B519" s="7"/>
      <c r="C519" s="7"/>
      <c r="D519" s="116"/>
      <c r="E519" s="116"/>
      <c r="F519" s="8"/>
      <c r="G519" s="8"/>
      <c r="H519" s="7"/>
      <c r="I519" s="8"/>
      <c r="J519" s="8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>
      <c r="A520" s="80"/>
      <c r="B520" s="7"/>
      <c r="C520" s="7"/>
      <c r="D520" s="116"/>
      <c r="E520" s="116"/>
      <c r="F520" s="8"/>
      <c r="G520" s="8"/>
      <c r="H520" s="7"/>
      <c r="I520" s="8"/>
      <c r="J520" s="8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>
      <c r="A521" s="80"/>
      <c r="B521" s="7"/>
      <c r="C521" s="7"/>
      <c r="D521" s="116"/>
      <c r="E521" s="116"/>
      <c r="F521" s="8"/>
      <c r="G521" s="8"/>
      <c r="H521" s="7"/>
      <c r="I521" s="8"/>
      <c r="J521" s="8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>
      <c r="A522" s="80"/>
      <c r="B522" s="7"/>
      <c r="C522" s="7"/>
      <c r="D522" s="116"/>
      <c r="E522" s="116"/>
      <c r="F522" s="8"/>
      <c r="G522" s="8"/>
      <c r="H522" s="7"/>
      <c r="I522" s="8"/>
      <c r="J522" s="8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>
      <c r="A523" s="80"/>
      <c r="B523" s="7"/>
      <c r="C523" s="7"/>
      <c r="D523" s="116"/>
      <c r="E523" s="116"/>
      <c r="F523" s="8"/>
      <c r="G523" s="8"/>
      <c r="H523" s="7"/>
      <c r="I523" s="8"/>
      <c r="J523" s="8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>
      <c r="A524" s="80"/>
      <c r="B524" s="7"/>
      <c r="C524" s="7"/>
      <c r="D524" s="116"/>
      <c r="E524" s="116"/>
      <c r="F524" s="8"/>
      <c r="G524" s="8"/>
      <c r="H524" s="7"/>
      <c r="I524" s="8"/>
      <c r="J524" s="8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>
      <c r="A525" s="80"/>
      <c r="B525" s="7"/>
      <c r="C525" s="7"/>
      <c r="D525" s="116"/>
      <c r="E525" s="116"/>
      <c r="F525" s="8"/>
      <c r="G525" s="8"/>
      <c r="H525" s="7"/>
      <c r="I525" s="8"/>
      <c r="J525" s="8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>
      <c r="A526" s="80"/>
      <c r="B526" s="7"/>
      <c r="C526" s="7"/>
      <c r="D526" s="116"/>
      <c r="E526" s="116"/>
      <c r="F526" s="8"/>
      <c r="G526" s="8"/>
      <c r="H526" s="7"/>
      <c r="I526" s="8"/>
      <c r="J526" s="8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>
      <c r="A527" s="80"/>
      <c r="B527" s="7"/>
      <c r="C527" s="7"/>
      <c r="D527" s="116"/>
      <c r="E527" s="116"/>
      <c r="F527" s="8"/>
      <c r="G527" s="8"/>
      <c r="H527" s="7"/>
      <c r="I527" s="8"/>
      <c r="J527" s="8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>
      <c r="A528" s="80"/>
      <c r="B528" s="7"/>
      <c r="C528" s="7"/>
      <c r="D528" s="116"/>
      <c r="E528" s="116"/>
      <c r="F528" s="8"/>
      <c r="G528" s="8"/>
      <c r="H528" s="7"/>
      <c r="I528" s="8"/>
      <c r="J528" s="8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>
      <c r="A529" s="80"/>
      <c r="B529" s="7"/>
      <c r="C529" s="7"/>
      <c r="D529" s="116"/>
      <c r="E529" s="116"/>
      <c r="F529" s="8"/>
      <c r="G529" s="8"/>
      <c r="H529" s="7"/>
      <c r="I529" s="8"/>
      <c r="J529" s="8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>
      <c r="A530" s="80"/>
      <c r="B530" s="7"/>
      <c r="C530" s="7"/>
      <c r="D530" s="116"/>
      <c r="E530" s="116"/>
      <c r="F530" s="8"/>
      <c r="G530" s="8"/>
      <c r="H530" s="7"/>
      <c r="I530" s="8"/>
      <c r="J530" s="8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>
      <c r="A531" s="80"/>
      <c r="B531" s="7"/>
      <c r="C531" s="7"/>
      <c r="D531" s="116"/>
      <c r="E531" s="116"/>
      <c r="F531" s="8"/>
      <c r="G531" s="8"/>
      <c r="H531" s="7"/>
      <c r="I531" s="8"/>
      <c r="J531" s="8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>
      <c r="A532" s="80"/>
      <c r="B532" s="7"/>
      <c r="C532" s="7"/>
      <c r="D532" s="116"/>
      <c r="E532" s="116"/>
      <c r="F532" s="8"/>
      <c r="G532" s="8"/>
      <c r="H532" s="7"/>
      <c r="I532" s="8"/>
      <c r="J532" s="8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>
      <c r="A533" s="80"/>
      <c r="B533" s="7"/>
      <c r="C533" s="7"/>
      <c r="D533" s="116"/>
      <c r="E533" s="116"/>
      <c r="F533" s="8"/>
      <c r="G533" s="8"/>
      <c r="H533" s="7"/>
      <c r="I533" s="8"/>
      <c r="J533" s="8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>
      <c r="A534" s="80"/>
      <c r="B534" s="7"/>
      <c r="C534" s="7"/>
      <c r="D534" s="116"/>
      <c r="E534" s="116"/>
      <c r="F534" s="8"/>
      <c r="G534" s="8"/>
      <c r="H534" s="7"/>
      <c r="I534" s="8"/>
      <c r="J534" s="8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>
      <c r="A535" s="80"/>
      <c r="B535" s="7"/>
      <c r="C535" s="7"/>
      <c r="D535" s="116"/>
      <c r="E535" s="116"/>
      <c r="F535" s="8"/>
      <c r="G535" s="8"/>
      <c r="H535" s="7"/>
      <c r="I535" s="8"/>
      <c r="J535" s="8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>
      <c r="A536" s="80"/>
      <c r="B536" s="7"/>
      <c r="C536" s="7"/>
      <c r="D536" s="116"/>
      <c r="E536" s="116"/>
      <c r="F536" s="8"/>
      <c r="G536" s="8"/>
      <c r="H536" s="7"/>
      <c r="I536" s="8"/>
      <c r="J536" s="8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>
      <c r="A537" s="80"/>
      <c r="B537" s="7"/>
      <c r="C537" s="7"/>
      <c r="D537" s="116"/>
      <c r="E537" s="116"/>
      <c r="F537" s="8"/>
      <c r="G537" s="8"/>
      <c r="H537" s="7"/>
      <c r="I537" s="8"/>
      <c r="J537" s="8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>
      <c r="A538" s="80"/>
      <c r="B538" s="7"/>
      <c r="C538" s="7"/>
      <c r="D538" s="116"/>
      <c r="E538" s="116"/>
      <c r="F538" s="8"/>
      <c r="G538" s="8"/>
      <c r="H538" s="7"/>
      <c r="I538" s="8"/>
      <c r="J538" s="8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>
      <c r="A539" s="80"/>
      <c r="B539" s="7"/>
      <c r="C539" s="7"/>
      <c r="D539" s="116"/>
      <c r="E539" s="116"/>
      <c r="F539" s="8"/>
      <c r="G539" s="8"/>
      <c r="H539" s="7"/>
      <c r="I539" s="8"/>
      <c r="J539" s="8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>
      <c r="A540" s="80"/>
      <c r="B540" s="7"/>
      <c r="C540" s="7"/>
      <c r="D540" s="116"/>
      <c r="E540" s="116"/>
      <c r="F540" s="8"/>
      <c r="G540" s="8"/>
      <c r="H540" s="7"/>
      <c r="I540" s="8"/>
      <c r="J540" s="8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>
      <c r="A541" s="80"/>
      <c r="B541" s="7"/>
      <c r="C541" s="7"/>
      <c r="D541" s="116"/>
      <c r="E541" s="116"/>
      <c r="F541" s="8"/>
      <c r="G541" s="8"/>
      <c r="H541" s="7"/>
      <c r="I541" s="8"/>
      <c r="J541" s="8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>
      <c r="A542" s="80"/>
      <c r="B542" s="7"/>
      <c r="C542" s="7"/>
      <c r="D542" s="116"/>
      <c r="E542" s="116"/>
      <c r="F542" s="8"/>
      <c r="G542" s="8"/>
      <c r="H542" s="7"/>
      <c r="I542" s="8"/>
      <c r="J542" s="8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>
      <c r="A543" s="80"/>
      <c r="B543" s="7"/>
      <c r="C543" s="7"/>
      <c r="D543" s="116"/>
      <c r="E543" s="116"/>
      <c r="F543" s="8"/>
      <c r="G543" s="8"/>
      <c r="H543" s="7"/>
      <c r="I543" s="8"/>
      <c r="J543" s="8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>
      <c r="A544" s="80"/>
      <c r="B544" s="7"/>
      <c r="C544" s="7"/>
      <c r="D544" s="116"/>
      <c r="E544" s="116"/>
      <c r="F544" s="8"/>
      <c r="G544" s="8"/>
      <c r="H544" s="7"/>
      <c r="I544" s="8"/>
      <c r="J544" s="8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>
      <c r="A545" s="80"/>
      <c r="B545" s="7"/>
      <c r="C545" s="7"/>
      <c r="D545" s="116"/>
      <c r="E545" s="116"/>
      <c r="F545" s="8"/>
      <c r="G545" s="8"/>
      <c r="H545" s="7"/>
      <c r="I545" s="8"/>
      <c r="J545" s="8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>
      <c r="A546" s="80"/>
      <c r="B546" s="7"/>
      <c r="C546" s="7"/>
      <c r="D546" s="116"/>
      <c r="E546" s="116"/>
      <c r="F546" s="8"/>
      <c r="G546" s="8"/>
      <c r="H546" s="7"/>
      <c r="I546" s="8"/>
      <c r="J546" s="8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>
      <c r="A547" s="80"/>
      <c r="B547" s="7"/>
      <c r="C547" s="7"/>
      <c r="D547" s="116"/>
      <c r="E547" s="116"/>
      <c r="F547" s="8"/>
      <c r="G547" s="8"/>
      <c r="H547" s="7"/>
      <c r="I547" s="8"/>
      <c r="J547" s="8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>
      <c r="A548" s="80"/>
      <c r="B548" s="7"/>
      <c r="C548" s="7"/>
      <c r="D548" s="116"/>
      <c r="E548" s="116"/>
      <c r="F548" s="8"/>
      <c r="G548" s="8"/>
      <c r="H548" s="7"/>
      <c r="I548" s="8"/>
      <c r="J548" s="8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>
      <c r="A549" s="80"/>
      <c r="B549" s="7"/>
      <c r="C549" s="7"/>
      <c r="D549" s="116"/>
      <c r="E549" s="116"/>
      <c r="F549" s="8"/>
      <c r="G549" s="8"/>
      <c r="H549" s="7"/>
      <c r="I549" s="8"/>
      <c r="J549" s="8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>
      <c r="A550" s="80"/>
      <c r="B550" s="7"/>
      <c r="C550" s="7"/>
      <c r="D550" s="116"/>
      <c r="E550" s="116"/>
      <c r="F550" s="8"/>
      <c r="G550" s="8"/>
      <c r="H550" s="7"/>
      <c r="I550" s="8"/>
      <c r="J550" s="8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>
      <c r="A551" s="80"/>
      <c r="B551" s="7"/>
      <c r="C551" s="7"/>
      <c r="D551" s="116"/>
      <c r="E551" s="116"/>
      <c r="F551" s="8"/>
      <c r="G551" s="8"/>
      <c r="H551" s="7"/>
      <c r="I551" s="8"/>
      <c r="J551" s="8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>
      <c r="A552" s="80"/>
      <c r="B552" s="7"/>
      <c r="C552" s="7"/>
      <c r="D552" s="116"/>
      <c r="E552" s="116"/>
      <c r="F552" s="8"/>
      <c r="G552" s="8"/>
      <c r="H552" s="7"/>
      <c r="I552" s="8"/>
      <c r="J552" s="8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>
      <c r="A553" s="80"/>
      <c r="B553" s="7"/>
      <c r="C553" s="7"/>
      <c r="D553" s="116"/>
      <c r="E553" s="116"/>
      <c r="F553" s="8"/>
      <c r="G553" s="8"/>
      <c r="H553" s="7"/>
      <c r="I553" s="8"/>
      <c r="J553" s="8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>
      <c r="A554" s="80"/>
      <c r="B554" s="7"/>
      <c r="C554" s="7"/>
      <c r="D554" s="116"/>
      <c r="E554" s="116"/>
      <c r="F554" s="8"/>
      <c r="G554" s="8"/>
      <c r="H554" s="7"/>
      <c r="I554" s="8"/>
      <c r="J554" s="8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>
      <c r="A555" s="80"/>
      <c r="B555" s="7"/>
      <c r="C555" s="7"/>
      <c r="D555" s="116"/>
      <c r="E555" s="116"/>
      <c r="F555" s="8"/>
      <c r="G555" s="8"/>
      <c r="H555" s="7"/>
      <c r="I555" s="8"/>
      <c r="J555" s="8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>
      <c r="A556" s="80"/>
      <c r="B556" s="7"/>
      <c r="C556" s="7"/>
      <c r="D556" s="116"/>
      <c r="E556" s="116"/>
      <c r="F556" s="8"/>
      <c r="G556" s="8"/>
      <c r="H556" s="7"/>
      <c r="I556" s="8"/>
      <c r="J556" s="8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>
      <c r="A557" s="80"/>
      <c r="B557" s="7"/>
      <c r="C557" s="7"/>
      <c r="D557" s="116"/>
      <c r="E557" s="116"/>
      <c r="F557" s="8"/>
      <c r="G557" s="8"/>
      <c r="H557" s="7"/>
      <c r="I557" s="8"/>
      <c r="J557" s="8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>
      <c r="A558" s="80"/>
      <c r="B558" s="7"/>
      <c r="C558" s="7"/>
      <c r="D558" s="116"/>
      <c r="E558" s="116"/>
      <c r="F558" s="8"/>
      <c r="G558" s="8"/>
      <c r="H558" s="7"/>
      <c r="I558" s="8"/>
      <c r="J558" s="8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>
      <c r="A559" s="80"/>
      <c r="B559" s="7"/>
      <c r="C559" s="7"/>
      <c r="D559" s="116"/>
      <c r="E559" s="116"/>
      <c r="F559" s="8"/>
      <c r="G559" s="8"/>
      <c r="H559" s="7"/>
      <c r="I559" s="8"/>
      <c r="J559" s="8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>
      <c r="A560" s="80"/>
      <c r="B560" s="7"/>
      <c r="C560" s="7"/>
      <c r="D560" s="116"/>
      <c r="E560" s="116"/>
      <c r="F560" s="8"/>
      <c r="G560" s="8"/>
      <c r="H560" s="7"/>
      <c r="I560" s="8"/>
      <c r="J560" s="8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>
      <c r="A561" s="80"/>
      <c r="B561" s="7"/>
      <c r="C561" s="7"/>
      <c r="D561" s="116"/>
      <c r="E561" s="116"/>
      <c r="F561" s="8"/>
      <c r="G561" s="8"/>
      <c r="H561" s="7"/>
      <c r="I561" s="8"/>
      <c r="J561" s="8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>
      <c r="A562" s="80"/>
      <c r="B562" s="7"/>
      <c r="C562" s="7"/>
      <c r="D562" s="116"/>
      <c r="E562" s="116"/>
      <c r="F562" s="8"/>
      <c r="G562" s="8"/>
      <c r="H562" s="7"/>
      <c r="I562" s="8"/>
      <c r="J562" s="8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>
      <c r="A563" s="80"/>
      <c r="B563" s="7"/>
      <c r="C563" s="7"/>
      <c r="D563" s="116"/>
      <c r="E563" s="116"/>
      <c r="F563" s="8"/>
      <c r="G563" s="8"/>
      <c r="H563" s="7"/>
      <c r="I563" s="8"/>
      <c r="J563" s="8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>
      <c r="A564" s="80"/>
      <c r="B564" s="7"/>
      <c r="C564" s="7"/>
      <c r="D564" s="116"/>
      <c r="E564" s="116"/>
      <c r="F564" s="8"/>
      <c r="G564" s="8"/>
      <c r="H564" s="7"/>
      <c r="I564" s="8"/>
      <c r="J564" s="8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>
      <c r="A565" s="80"/>
      <c r="B565" s="7"/>
      <c r="C565" s="7"/>
      <c r="D565" s="116"/>
      <c r="E565" s="116"/>
      <c r="F565" s="8"/>
      <c r="G565" s="8"/>
      <c r="H565" s="7"/>
      <c r="I565" s="8"/>
      <c r="J565" s="8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>
      <c r="A566" s="80"/>
      <c r="B566" s="7"/>
      <c r="C566" s="7"/>
      <c r="D566" s="116"/>
      <c r="E566" s="116"/>
      <c r="F566" s="8"/>
      <c r="G566" s="8"/>
      <c r="H566" s="7"/>
      <c r="I566" s="8"/>
      <c r="J566" s="8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>
      <c r="A567" s="80"/>
      <c r="B567" s="7"/>
      <c r="C567" s="7"/>
      <c r="D567" s="116"/>
      <c r="E567" s="116"/>
      <c r="F567" s="8"/>
      <c r="G567" s="8"/>
      <c r="H567" s="7"/>
      <c r="I567" s="8"/>
      <c r="J567" s="8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>
      <c r="A568" s="80"/>
      <c r="B568" s="7"/>
      <c r="C568" s="7"/>
      <c r="D568" s="116"/>
      <c r="E568" s="116"/>
      <c r="F568" s="8"/>
      <c r="G568" s="8"/>
      <c r="H568" s="7"/>
      <c r="I568" s="8"/>
      <c r="J568" s="8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>
      <c r="A569" s="80"/>
      <c r="B569" s="7"/>
      <c r="C569" s="7"/>
      <c r="D569" s="116"/>
      <c r="E569" s="116"/>
      <c r="F569" s="8"/>
      <c r="G569" s="8"/>
      <c r="H569" s="7"/>
      <c r="I569" s="8"/>
      <c r="J569" s="8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>
      <c r="A570" s="80"/>
      <c r="B570" s="7"/>
      <c r="C570" s="7"/>
      <c r="D570" s="116"/>
      <c r="E570" s="116"/>
      <c r="F570" s="8"/>
      <c r="G570" s="8"/>
      <c r="H570" s="7"/>
      <c r="I570" s="8"/>
      <c r="J570" s="8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>
      <c r="A571" s="80"/>
      <c r="B571" s="7"/>
      <c r="C571" s="7"/>
      <c r="D571" s="116"/>
      <c r="E571" s="116"/>
      <c r="F571" s="8"/>
      <c r="G571" s="8"/>
      <c r="H571" s="7"/>
      <c r="I571" s="8"/>
      <c r="J571" s="8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>
      <c r="A572" s="80"/>
      <c r="B572" s="7"/>
      <c r="C572" s="7"/>
      <c r="D572" s="116"/>
      <c r="E572" s="116"/>
      <c r="F572" s="8"/>
      <c r="G572" s="8"/>
      <c r="H572" s="7"/>
      <c r="I572" s="8"/>
      <c r="J572" s="8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>
      <c r="A573" s="80"/>
      <c r="B573" s="7"/>
      <c r="C573" s="7"/>
      <c r="D573" s="116"/>
      <c r="E573" s="116"/>
      <c r="F573" s="8"/>
      <c r="G573" s="8"/>
      <c r="H573" s="7"/>
      <c r="I573" s="8"/>
      <c r="J573" s="8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>
      <c r="A574" s="80"/>
      <c r="B574" s="7"/>
      <c r="C574" s="7"/>
      <c r="D574" s="116"/>
      <c r="E574" s="116"/>
      <c r="F574" s="8"/>
      <c r="G574" s="8"/>
      <c r="H574" s="7"/>
      <c r="I574" s="8"/>
      <c r="J574" s="8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>
      <c r="A575" s="80"/>
      <c r="B575" s="7"/>
      <c r="C575" s="7"/>
      <c r="D575" s="116"/>
      <c r="E575" s="116"/>
      <c r="F575" s="8"/>
      <c r="G575" s="8"/>
      <c r="H575" s="7"/>
      <c r="I575" s="8"/>
      <c r="J575" s="8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>
      <c r="A576" s="80"/>
      <c r="B576" s="7"/>
      <c r="C576" s="7"/>
      <c r="D576" s="116"/>
      <c r="E576" s="116"/>
      <c r="F576" s="8"/>
      <c r="G576" s="8"/>
      <c r="H576" s="7"/>
      <c r="I576" s="8"/>
      <c r="J576" s="8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>
      <c r="A577" s="80"/>
      <c r="B577" s="7"/>
      <c r="C577" s="7"/>
      <c r="D577" s="116"/>
      <c r="E577" s="116"/>
      <c r="F577" s="8"/>
      <c r="G577" s="8"/>
      <c r="H577" s="7"/>
      <c r="I577" s="8"/>
      <c r="J577" s="8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>
      <c r="A578" s="80"/>
      <c r="B578" s="7"/>
      <c r="C578" s="7"/>
      <c r="D578" s="116"/>
      <c r="E578" s="116"/>
      <c r="F578" s="8"/>
      <c r="G578" s="8"/>
      <c r="H578" s="7"/>
      <c r="I578" s="8"/>
      <c r="J578" s="8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>
      <c r="A579" s="80"/>
      <c r="B579" s="7"/>
      <c r="C579" s="7"/>
      <c r="D579" s="116"/>
      <c r="E579" s="116"/>
      <c r="F579" s="8"/>
      <c r="G579" s="8"/>
      <c r="H579" s="7"/>
      <c r="I579" s="8"/>
      <c r="J579" s="8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>
      <c r="A580" s="80"/>
      <c r="B580" s="7"/>
      <c r="C580" s="7"/>
      <c r="D580" s="116"/>
      <c r="E580" s="116"/>
      <c r="F580" s="8"/>
      <c r="G580" s="8"/>
      <c r="H580" s="7"/>
      <c r="I580" s="8"/>
      <c r="J580" s="8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>
      <c r="A581" s="80"/>
      <c r="B581" s="7"/>
      <c r="C581" s="7"/>
      <c r="D581" s="116"/>
      <c r="E581" s="116"/>
      <c r="F581" s="8"/>
      <c r="G581" s="8"/>
      <c r="H581" s="7"/>
      <c r="I581" s="8"/>
      <c r="J581" s="8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>
      <c r="A582" s="80"/>
      <c r="B582" s="7"/>
      <c r="C582" s="7"/>
      <c r="D582" s="116"/>
      <c r="E582" s="116"/>
      <c r="F582" s="8"/>
      <c r="G582" s="8"/>
      <c r="H582" s="7"/>
      <c r="I582" s="8"/>
      <c r="J582" s="8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>
      <c r="A583" s="80"/>
      <c r="B583" s="7"/>
      <c r="C583" s="7"/>
      <c r="D583" s="116"/>
      <c r="E583" s="116"/>
      <c r="F583" s="8"/>
      <c r="G583" s="8"/>
      <c r="H583" s="7"/>
      <c r="I583" s="8"/>
      <c r="J583" s="8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>
      <c r="A584" s="80"/>
      <c r="B584" s="7"/>
      <c r="C584" s="7"/>
      <c r="D584" s="116"/>
      <c r="E584" s="116"/>
      <c r="F584" s="8"/>
      <c r="G584" s="8"/>
      <c r="H584" s="7"/>
      <c r="I584" s="8"/>
      <c r="J584" s="8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>
      <c r="A585" s="80"/>
      <c r="B585" s="7"/>
      <c r="C585" s="7"/>
      <c r="D585" s="116"/>
      <c r="E585" s="116"/>
      <c r="F585" s="8"/>
      <c r="G585" s="8"/>
      <c r="H585" s="7"/>
      <c r="I585" s="8"/>
      <c r="J585" s="8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>
      <c r="A586" s="80"/>
      <c r="B586" s="7"/>
      <c r="C586" s="7"/>
      <c r="D586" s="116"/>
      <c r="E586" s="116"/>
      <c r="F586" s="8"/>
      <c r="G586" s="8"/>
      <c r="H586" s="7"/>
      <c r="I586" s="8"/>
      <c r="J586" s="8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>
      <c r="A587" s="80"/>
      <c r="B587" s="7"/>
      <c r="C587" s="7"/>
      <c r="D587" s="116"/>
      <c r="E587" s="116"/>
      <c r="F587" s="8"/>
      <c r="G587" s="8"/>
      <c r="H587" s="7"/>
      <c r="I587" s="8"/>
      <c r="J587" s="8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>
      <c r="A588" s="80"/>
      <c r="B588" s="7"/>
      <c r="C588" s="7"/>
      <c r="D588" s="116"/>
      <c r="E588" s="116"/>
      <c r="F588" s="8"/>
      <c r="G588" s="8"/>
      <c r="H588" s="7"/>
      <c r="I588" s="8"/>
      <c r="J588" s="8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>
      <c r="A589" s="80"/>
      <c r="B589" s="7"/>
      <c r="C589" s="7"/>
      <c r="D589" s="116"/>
      <c r="E589" s="116"/>
      <c r="F589" s="8"/>
      <c r="G589" s="8"/>
      <c r="H589" s="7"/>
      <c r="I589" s="8"/>
      <c r="J589" s="8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>
      <c r="A590" s="80"/>
      <c r="B590" s="7"/>
      <c r="C590" s="7"/>
      <c r="D590" s="116"/>
      <c r="E590" s="116"/>
      <c r="F590" s="8"/>
      <c r="G590" s="8"/>
      <c r="H590" s="7"/>
      <c r="I590" s="8"/>
      <c r="J590" s="8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>
      <c r="A591" s="80"/>
      <c r="B591" s="7"/>
      <c r="C591" s="7"/>
      <c r="D591" s="116"/>
      <c r="E591" s="116"/>
      <c r="F591" s="8"/>
      <c r="G591" s="8"/>
      <c r="H591" s="7"/>
      <c r="I591" s="8"/>
      <c r="J591" s="8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>
      <c r="A592" s="80"/>
      <c r="B592" s="7"/>
      <c r="C592" s="7"/>
      <c r="D592" s="116"/>
      <c r="E592" s="116"/>
      <c r="F592" s="8"/>
      <c r="G592" s="8"/>
      <c r="H592" s="7"/>
      <c r="I592" s="8"/>
      <c r="J592" s="8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>
      <c r="A593" s="80"/>
      <c r="B593" s="7"/>
      <c r="C593" s="7"/>
      <c r="D593" s="116"/>
      <c r="E593" s="116"/>
      <c r="F593" s="8"/>
      <c r="G593" s="8"/>
      <c r="H593" s="7"/>
      <c r="I593" s="8"/>
      <c r="J593" s="8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>
      <c r="A594" s="80"/>
      <c r="B594" s="7"/>
      <c r="C594" s="7"/>
      <c r="D594" s="116"/>
      <c r="E594" s="116"/>
      <c r="F594" s="8"/>
      <c r="G594" s="8"/>
      <c r="H594" s="7"/>
      <c r="I594" s="8"/>
      <c r="J594" s="8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>
      <c r="A595" s="80"/>
      <c r="B595" s="7"/>
      <c r="C595" s="7"/>
      <c r="D595" s="116"/>
      <c r="E595" s="116"/>
      <c r="F595" s="8"/>
      <c r="G595" s="8"/>
      <c r="H595" s="7"/>
      <c r="I595" s="8"/>
      <c r="J595" s="8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>
      <c r="A596" s="80"/>
      <c r="B596" s="7"/>
      <c r="C596" s="7"/>
      <c r="D596" s="116"/>
      <c r="E596" s="116"/>
      <c r="F596" s="8"/>
      <c r="G596" s="8"/>
      <c r="H596" s="7"/>
      <c r="I596" s="8"/>
      <c r="J596" s="8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>
      <c r="A597" s="80"/>
      <c r="B597" s="7"/>
      <c r="C597" s="7"/>
      <c r="D597" s="116"/>
      <c r="E597" s="116"/>
      <c r="F597" s="8"/>
      <c r="G597" s="8"/>
      <c r="H597" s="7"/>
      <c r="I597" s="8"/>
      <c r="J597" s="8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>
      <c r="A598" s="80"/>
      <c r="B598" s="7"/>
      <c r="C598" s="7"/>
      <c r="D598" s="116"/>
      <c r="E598" s="116"/>
      <c r="F598" s="8"/>
      <c r="G598" s="8"/>
      <c r="H598" s="7"/>
      <c r="I598" s="8"/>
      <c r="J598" s="8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>
      <c r="A599" s="80"/>
      <c r="B599" s="7"/>
      <c r="C599" s="7"/>
      <c r="D599" s="116"/>
      <c r="E599" s="116"/>
      <c r="F599" s="8"/>
      <c r="G599" s="8"/>
      <c r="H599" s="7"/>
      <c r="I599" s="8"/>
      <c r="J599" s="8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>
      <c r="A600" s="80"/>
      <c r="B600" s="7"/>
      <c r="C600" s="7"/>
      <c r="D600" s="116"/>
      <c r="E600" s="116"/>
      <c r="F600" s="8"/>
      <c r="G600" s="8"/>
      <c r="H600" s="7"/>
      <c r="I600" s="8"/>
      <c r="J600" s="8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>
      <c r="A601" s="80"/>
      <c r="B601" s="7"/>
      <c r="C601" s="7"/>
      <c r="D601" s="116"/>
      <c r="E601" s="116"/>
      <c r="F601" s="8"/>
      <c r="G601" s="8"/>
      <c r="H601" s="7"/>
      <c r="I601" s="8"/>
      <c r="J601" s="8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>
      <c r="A602" s="80"/>
      <c r="B602" s="7"/>
      <c r="C602" s="7"/>
      <c r="D602" s="116"/>
      <c r="E602" s="116"/>
      <c r="F602" s="8"/>
      <c r="G602" s="8"/>
      <c r="H602" s="7"/>
      <c r="I602" s="8"/>
      <c r="J602" s="8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>
      <c r="A603" s="80"/>
      <c r="B603" s="7"/>
      <c r="C603" s="7"/>
      <c r="D603" s="116"/>
      <c r="E603" s="116"/>
      <c r="F603" s="8"/>
      <c r="G603" s="8"/>
      <c r="H603" s="7"/>
      <c r="I603" s="8"/>
      <c r="J603" s="8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>
      <c r="A604" s="80"/>
      <c r="B604" s="7"/>
      <c r="C604" s="7"/>
      <c r="D604" s="116"/>
      <c r="E604" s="116"/>
      <c r="F604" s="8"/>
      <c r="G604" s="8"/>
      <c r="H604" s="7"/>
      <c r="I604" s="8"/>
      <c r="J604" s="8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>
      <c r="A605" s="80"/>
      <c r="B605" s="7"/>
      <c r="C605" s="7"/>
      <c r="D605" s="116"/>
      <c r="E605" s="116"/>
      <c r="F605" s="8"/>
      <c r="G605" s="8"/>
      <c r="H605" s="7"/>
      <c r="I605" s="8"/>
      <c r="J605" s="8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>
      <c r="A606" s="80"/>
      <c r="B606" s="7"/>
      <c r="C606" s="7"/>
      <c r="D606" s="116"/>
      <c r="E606" s="116"/>
      <c r="F606" s="8"/>
      <c r="G606" s="8"/>
      <c r="H606" s="7"/>
      <c r="I606" s="8"/>
      <c r="J606" s="8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>
      <c r="A607" s="80"/>
      <c r="B607" s="7"/>
      <c r="C607" s="7"/>
      <c r="D607" s="116"/>
      <c r="E607" s="116"/>
      <c r="F607" s="8"/>
      <c r="G607" s="8"/>
      <c r="H607" s="7"/>
      <c r="I607" s="8"/>
      <c r="J607" s="8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>
      <c r="A608" s="80"/>
      <c r="B608" s="7"/>
      <c r="C608" s="7"/>
      <c r="D608" s="116"/>
      <c r="E608" s="116"/>
      <c r="F608" s="8"/>
      <c r="G608" s="8"/>
      <c r="H608" s="7"/>
      <c r="I608" s="8"/>
      <c r="J608" s="8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>
      <c r="A609" s="80"/>
      <c r="B609" s="7"/>
      <c r="C609" s="7"/>
      <c r="D609" s="116"/>
      <c r="E609" s="116"/>
      <c r="F609" s="8"/>
      <c r="G609" s="8"/>
      <c r="H609" s="7"/>
      <c r="I609" s="8"/>
      <c r="J609" s="8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>
      <c r="A610" s="80"/>
      <c r="B610" s="7"/>
      <c r="C610" s="7"/>
      <c r="D610" s="116"/>
      <c r="E610" s="116"/>
      <c r="F610" s="8"/>
      <c r="G610" s="8"/>
      <c r="H610" s="7"/>
      <c r="I610" s="8"/>
      <c r="J610" s="8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>
      <c r="A611" s="80"/>
      <c r="B611" s="7"/>
      <c r="C611" s="7"/>
      <c r="D611" s="116"/>
      <c r="E611" s="116"/>
      <c r="F611" s="8"/>
      <c r="G611" s="8"/>
      <c r="H611" s="7"/>
      <c r="I611" s="8"/>
      <c r="J611" s="8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>
      <c r="A612" s="80"/>
      <c r="B612" s="7"/>
      <c r="C612" s="7"/>
      <c r="D612" s="116"/>
      <c r="E612" s="116"/>
      <c r="F612" s="8"/>
      <c r="G612" s="8"/>
      <c r="H612" s="7"/>
      <c r="I612" s="8"/>
      <c r="J612" s="8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>
      <c r="A613" s="80"/>
      <c r="B613" s="7"/>
      <c r="C613" s="7"/>
      <c r="D613" s="116"/>
      <c r="E613" s="116"/>
      <c r="F613" s="8"/>
      <c r="G613" s="8"/>
      <c r="H613" s="7"/>
      <c r="I613" s="8"/>
      <c r="J613" s="8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>
      <c r="A614" s="80"/>
      <c r="B614" s="7"/>
      <c r="C614" s="7"/>
      <c r="D614" s="116"/>
      <c r="E614" s="116"/>
      <c r="F614" s="8"/>
      <c r="G614" s="8"/>
      <c r="H614" s="7"/>
      <c r="I614" s="8"/>
      <c r="J614" s="8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>
      <c r="A615" s="80"/>
      <c r="B615" s="7"/>
      <c r="C615" s="7"/>
      <c r="D615" s="116"/>
      <c r="E615" s="116"/>
      <c r="F615" s="8"/>
      <c r="G615" s="8"/>
      <c r="H615" s="7"/>
      <c r="I615" s="8"/>
      <c r="J615" s="8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>
      <c r="A616" s="80"/>
      <c r="B616" s="7"/>
      <c r="C616" s="7"/>
      <c r="D616" s="116"/>
      <c r="E616" s="116"/>
      <c r="F616" s="8"/>
      <c r="G616" s="8"/>
      <c r="H616" s="7"/>
      <c r="I616" s="8"/>
      <c r="J616" s="8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>
      <c r="A617" s="80"/>
      <c r="B617" s="7"/>
      <c r="C617" s="7"/>
      <c r="D617" s="116"/>
      <c r="E617" s="116"/>
      <c r="F617" s="8"/>
      <c r="G617" s="8"/>
      <c r="H617" s="7"/>
      <c r="I617" s="8"/>
      <c r="J617" s="8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>
      <c r="A618" s="80"/>
      <c r="B618" s="7"/>
      <c r="C618" s="7"/>
      <c r="D618" s="116"/>
      <c r="E618" s="116"/>
      <c r="F618" s="8"/>
      <c r="G618" s="8"/>
      <c r="H618" s="7"/>
      <c r="I618" s="8"/>
      <c r="J618" s="8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>
      <c r="A619" s="80"/>
      <c r="B619" s="7"/>
      <c r="C619" s="7"/>
      <c r="D619" s="116"/>
      <c r="E619" s="116"/>
      <c r="F619" s="8"/>
      <c r="G619" s="8"/>
      <c r="H619" s="7"/>
      <c r="I619" s="8"/>
      <c r="J619" s="8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>
      <c r="A620" s="80"/>
      <c r="B620" s="7"/>
      <c r="C620" s="7"/>
      <c r="D620" s="116"/>
      <c r="E620" s="116"/>
      <c r="F620" s="8"/>
      <c r="G620" s="8"/>
      <c r="H620" s="7"/>
      <c r="I620" s="8"/>
      <c r="J620" s="8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>
      <c r="A621" s="80"/>
      <c r="B621" s="7"/>
      <c r="C621" s="7"/>
      <c r="D621" s="116"/>
      <c r="E621" s="116"/>
      <c r="F621" s="8"/>
      <c r="G621" s="8"/>
      <c r="H621" s="7"/>
      <c r="I621" s="8"/>
      <c r="J621" s="8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>
      <c r="A622" s="80"/>
      <c r="B622" s="7"/>
      <c r="C622" s="7"/>
      <c r="D622" s="116"/>
      <c r="E622" s="116"/>
      <c r="F622" s="8"/>
      <c r="G622" s="8"/>
      <c r="H622" s="7"/>
      <c r="I622" s="8"/>
      <c r="J622" s="8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>
      <c r="A623" s="80"/>
      <c r="B623" s="7"/>
      <c r="C623" s="7"/>
      <c r="D623" s="116"/>
      <c r="E623" s="116"/>
      <c r="F623" s="8"/>
      <c r="G623" s="8"/>
      <c r="H623" s="7"/>
      <c r="I623" s="8"/>
      <c r="J623" s="8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>
      <c r="A624" s="80"/>
      <c r="B624" s="7"/>
      <c r="C624" s="7"/>
      <c r="D624" s="116"/>
      <c r="E624" s="116"/>
      <c r="F624" s="8"/>
      <c r="G624" s="8"/>
      <c r="H624" s="7"/>
      <c r="I624" s="8"/>
      <c r="J624" s="8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>
      <c r="A625" s="80"/>
      <c r="B625" s="7"/>
      <c r="C625" s="7"/>
      <c r="D625" s="116"/>
      <c r="E625" s="116"/>
      <c r="F625" s="8"/>
      <c r="G625" s="8"/>
      <c r="H625" s="7"/>
      <c r="I625" s="8"/>
      <c r="J625" s="8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>
      <c r="A626" s="80"/>
      <c r="B626" s="7"/>
      <c r="C626" s="7"/>
      <c r="D626" s="116"/>
      <c r="E626" s="116"/>
      <c r="F626" s="8"/>
      <c r="G626" s="8"/>
      <c r="H626" s="7"/>
      <c r="I626" s="8"/>
      <c r="J626" s="8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>
      <c r="A627" s="80"/>
      <c r="B627" s="7"/>
      <c r="C627" s="7"/>
      <c r="D627" s="116"/>
      <c r="E627" s="116"/>
      <c r="F627" s="8"/>
      <c r="G627" s="8"/>
      <c r="H627" s="7"/>
      <c r="I627" s="8"/>
      <c r="J627" s="8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>
      <c r="A628" s="80"/>
      <c r="B628" s="7"/>
      <c r="C628" s="7"/>
      <c r="D628" s="116"/>
      <c r="E628" s="116"/>
      <c r="F628" s="8"/>
      <c r="G628" s="8"/>
      <c r="H628" s="7"/>
      <c r="I628" s="8"/>
      <c r="J628" s="8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>
      <c r="A629" s="80"/>
      <c r="B629" s="7"/>
      <c r="C629" s="7"/>
      <c r="D629" s="116"/>
      <c r="E629" s="116"/>
      <c r="F629" s="8"/>
      <c r="G629" s="8"/>
      <c r="H629" s="7"/>
      <c r="I629" s="8"/>
      <c r="J629" s="8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>
      <c r="A630" s="80"/>
      <c r="B630" s="7"/>
      <c r="C630" s="7"/>
      <c r="D630" s="116"/>
      <c r="E630" s="116"/>
      <c r="F630" s="8"/>
      <c r="G630" s="8"/>
      <c r="H630" s="7"/>
      <c r="I630" s="8"/>
      <c r="J630" s="8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>
      <c r="A631" s="80"/>
      <c r="B631" s="7"/>
      <c r="C631" s="7"/>
      <c r="D631" s="116"/>
      <c r="E631" s="116"/>
      <c r="F631" s="8"/>
      <c r="G631" s="8"/>
      <c r="H631" s="7"/>
      <c r="I631" s="8"/>
      <c r="J631" s="8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>
      <c r="A632" s="80"/>
      <c r="B632" s="7"/>
      <c r="C632" s="7"/>
      <c r="D632" s="116"/>
      <c r="E632" s="116"/>
      <c r="F632" s="8"/>
      <c r="G632" s="8"/>
      <c r="H632" s="7"/>
      <c r="I632" s="8"/>
      <c r="J632" s="8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>
      <c r="A633" s="80"/>
      <c r="B633" s="7"/>
      <c r="C633" s="7"/>
      <c r="D633" s="116"/>
      <c r="E633" s="116"/>
      <c r="F633" s="8"/>
      <c r="G633" s="8"/>
      <c r="H633" s="7"/>
      <c r="I633" s="8"/>
      <c r="J633" s="8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>
      <c r="A634" s="80"/>
      <c r="B634" s="7"/>
      <c r="C634" s="7"/>
      <c r="D634" s="116"/>
      <c r="E634" s="116"/>
      <c r="F634" s="8"/>
      <c r="G634" s="8"/>
      <c r="H634" s="7"/>
      <c r="I634" s="8"/>
      <c r="J634" s="8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>
      <c r="A635" s="80"/>
      <c r="B635" s="7"/>
      <c r="C635" s="7"/>
      <c r="D635" s="116"/>
      <c r="E635" s="116"/>
      <c r="F635" s="8"/>
      <c r="G635" s="8"/>
      <c r="H635" s="7"/>
      <c r="I635" s="8"/>
      <c r="J635" s="8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>
      <c r="A636" s="80"/>
      <c r="B636" s="7"/>
      <c r="C636" s="7"/>
      <c r="D636" s="116"/>
      <c r="E636" s="116"/>
      <c r="F636" s="8"/>
      <c r="G636" s="8"/>
      <c r="H636" s="7"/>
      <c r="I636" s="8"/>
      <c r="J636" s="8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>
      <c r="A637" s="80"/>
      <c r="B637" s="7"/>
      <c r="C637" s="7"/>
      <c r="D637" s="116"/>
      <c r="E637" s="116"/>
      <c r="F637" s="8"/>
      <c r="G637" s="8"/>
      <c r="H637" s="7"/>
      <c r="I637" s="8"/>
      <c r="J637" s="8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>
      <c r="A638" s="80"/>
      <c r="B638" s="7"/>
      <c r="C638" s="7"/>
      <c r="D638" s="116"/>
      <c r="E638" s="116"/>
      <c r="F638" s="8"/>
      <c r="G638" s="8"/>
      <c r="H638" s="7"/>
      <c r="I638" s="8"/>
      <c r="J638" s="8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>
      <c r="A639" s="80"/>
      <c r="B639" s="7"/>
      <c r="C639" s="7"/>
      <c r="D639" s="116"/>
      <c r="E639" s="116"/>
      <c r="F639" s="8"/>
      <c r="G639" s="8"/>
      <c r="H639" s="7"/>
      <c r="I639" s="8"/>
      <c r="J639" s="8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>
      <c r="A640" s="80"/>
      <c r="B640" s="7"/>
      <c r="C640" s="7"/>
      <c r="D640" s="116"/>
      <c r="E640" s="116"/>
      <c r="F640" s="8"/>
      <c r="G640" s="8"/>
      <c r="H640" s="7"/>
      <c r="I640" s="8"/>
      <c r="J640" s="8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>
      <c r="A641" s="80"/>
      <c r="B641" s="7"/>
      <c r="C641" s="7"/>
      <c r="D641" s="116"/>
      <c r="E641" s="116"/>
      <c r="F641" s="8"/>
      <c r="G641" s="8"/>
      <c r="H641" s="7"/>
      <c r="I641" s="8"/>
      <c r="J641" s="8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>
      <c r="A642" s="80"/>
      <c r="B642" s="7"/>
      <c r="C642" s="7"/>
      <c r="D642" s="116"/>
      <c r="E642" s="116"/>
      <c r="F642" s="8"/>
      <c r="G642" s="8"/>
      <c r="H642" s="7"/>
      <c r="I642" s="8"/>
      <c r="J642" s="8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>
      <c r="A643" s="80"/>
      <c r="B643" s="7"/>
      <c r="C643" s="7"/>
      <c r="D643" s="116"/>
      <c r="E643" s="116"/>
      <c r="F643" s="8"/>
      <c r="G643" s="8"/>
      <c r="H643" s="7"/>
      <c r="I643" s="8"/>
      <c r="J643" s="8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>
      <c r="A644" s="80"/>
      <c r="B644" s="7"/>
      <c r="C644" s="7"/>
      <c r="D644" s="116"/>
      <c r="E644" s="116"/>
      <c r="F644" s="8"/>
      <c r="G644" s="8"/>
      <c r="H644" s="7"/>
      <c r="I644" s="8"/>
      <c r="J644" s="8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>
      <c r="A645" s="80"/>
      <c r="B645" s="7"/>
      <c r="C645" s="7"/>
      <c r="D645" s="116"/>
      <c r="E645" s="116"/>
      <c r="F645" s="8"/>
      <c r="G645" s="8"/>
      <c r="H645" s="7"/>
      <c r="I645" s="8"/>
      <c r="J645" s="8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>
      <c r="A646" s="80"/>
      <c r="B646" s="7"/>
      <c r="C646" s="7"/>
      <c r="D646" s="116"/>
      <c r="E646" s="116"/>
      <c r="F646" s="8"/>
      <c r="G646" s="8"/>
      <c r="H646" s="7"/>
      <c r="I646" s="8"/>
      <c r="J646" s="8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>
      <c r="A647" s="80"/>
      <c r="B647" s="7"/>
      <c r="C647" s="7"/>
      <c r="D647" s="116"/>
      <c r="E647" s="116"/>
      <c r="F647" s="8"/>
      <c r="G647" s="8"/>
      <c r="H647" s="7"/>
      <c r="I647" s="8"/>
      <c r="J647" s="8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>
      <c r="A648" s="80"/>
      <c r="B648" s="7"/>
      <c r="C648" s="7"/>
      <c r="D648" s="116"/>
      <c r="E648" s="116"/>
      <c r="F648" s="8"/>
      <c r="G648" s="8"/>
      <c r="H648" s="7"/>
      <c r="I648" s="8"/>
      <c r="J648" s="8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>
      <c r="A649" s="80"/>
      <c r="B649" s="7"/>
      <c r="C649" s="7"/>
      <c r="D649" s="116"/>
      <c r="E649" s="116"/>
      <c r="F649" s="8"/>
      <c r="G649" s="8"/>
      <c r="H649" s="7"/>
      <c r="I649" s="8"/>
      <c r="J649" s="8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>
      <c r="A650" s="80"/>
      <c r="B650" s="7"/>
      <c r="C650" s="7"/>
      <c r="D650" s="116"/>
      <c r="E650" s="116"/>
      <c r="F650" s="8"/>
      <c r="G650" s="8"/>
      <c r="H650" s="7"/>
      <c r="I650" s="8"/>
      <c r="J650" s="8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>
      <c r="A651" s="80"/>
      <c r="B651" s="7"/>
      <c r="C651" s="7"/>
      <c r="D651" s="116"/>
      <c r="E651" s="116"/>
      <c r="F651" s="8"/>
      <c r="G651" s="8"/>
      <c r="H651" s="7"/>
      <c r="I651" s="8"/>
      <c r="J651" s="8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>
      <c r="A652" s="80"/>
      <c r="B652" s="7"/>
      <c r="C652" s="7"/>
      <c r="D652" s="116"/>
      <c r="E652" s="116"/>
      <c r="F652" s="8"/>
      <c r="G652" s="8"/>
      <c r="H652" s="7"/>
      <c r="I652" s="8"/>
      <c r="J652" s="8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>
      <c r="A653" s="80"/>
      <c r="B653" s="7"/>
      <c r="C653" s="7"/>
      <c r="D653" s="116"/>
      <c r="E653" s="116"/>
      <c r="F653" s="8"/>
      <c r="G653" s="8"/>
      <c r="H653" s="7"/>
      <c r="I653" s="8"/>
      <c r="J653" s="8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>
      <c r="A654" s="80"/>
      <c r="B654" s="7"/>
      <c r="C654" s="7"/>
      <c r="D654" s="116"/>
      <c r="E654" s="116"/>
      <c r="F654" s="8"/>
      <c r="G654" s="8"/>
      <c r="H654" s="7"/>
      <c r="I654" s="8"/>
      <c r="J654" s="8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>
      <c r="A655" s="80"/>
      <c r="B655" s="7"/>
      <c r="C655" s="7"/>
      <c r="D655" s="116"/>
      <c r="E655" s="116"/>
      <c r="F655" s="8"/>
      <c r="G655" s="8"/>
      <c r="H655" s="7"/>
      <c r="I655" s="8"/>
      <c r="J655" s="8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>
      <c r="A656" s="80"/>
      <c r="B656" s="7"/>
      <c r="C656" s="7"/>
      <c r="D656" s="116"/>
      <c r="E656" s="116"/>
      <c r="F656" s="8"/>
      <c r="G656" s="8"/>
      <c r="H656" s="7"/>
      <c r="I656" s="8"/>
      <c r="J656" s="8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>
      <c r="A657" s="80"/>
      <c r="B657" s="7"/>
      <c r="C657" s="7"/>
      <c r="D657" s="116"/>
      <c r="E657" s="116"/>
      <c r="F657" s="8"/>
      <c r="G657" s="8"/>
      <c r="H657" s="7"/>
      <c r="I657" s="8"/>
      <c r="J657" s="8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>
      <c r="A658" s="80"/>
      <c r="B658" s="7"/>
      <c r="C658" s="7"/>
      <c r="D658" s="116"/>
      <c r="E658" s="116"/>
      <c r="F658" s="8"/>
      <c r="G658" s="8"/>
      <c r="H658" s="7"/>
      <c r="I658" s="8"/>
      <c r="J658" s="8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>
      <c r="A659" s="80"/>
      <c r="B659" s="7"/>
      <c r="C659" s="7"/>
      <c r="D659" s="116"/>
      <c r="E659" s="116"/>
      <c r="F659" s="8"/>
      <c r="G659" s="8"/>
      <c r="H659" s="7"/>
      <c r="I659" s="8"/>
      <c r="J659" s="8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>
      <c r="A660" s="80"/>
      <c r="B660" s="7"/>
      <c r="C660" s="7"/>
      <c r="D660" s="116"/>
      <c r="E660" s="116"/>
      <c r="F660" s="8"/>
      <c r="G660" s="8"/>
      <c r="H660" s="7"/>
      <c r="I660" s="8"/>
      <c r="J660" s="8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>
      <c r="A661" s="80"/>
      <c r="B661" s="7"/>
      <c r="C661" s="7"/>
      <c r="D661" s="116"/>
      <c r="E661" s="116"/>
      <c r="F661" s="8"/>
      <c r="G661" s="8"/>
      <c r="H661" s="7"/>
      <c r="I661" s="8"/>
      <c r="J661" s="8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>
      <c r="A662" s="80"/>
      <c r="B662" s="7"/>
      <c r="C662" s="7"/>
      <c r="D662" s="116"/>
      <c r="E662" s="116"/>
      <c r="F662" s="8"/>
      <c r="G662" s="8"/>
      <c r="H662" s="7"/>
      <c r="I662" s="8"/>
      <c r="J662" s="8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>
      <c r="A663" s="80"/>
      <c r="B663" s="7"/>
      <c r="C663" s="7"/>
      <c r="D663" s="116"/>
      <c r="E663" s="116"/>
      <c r="F663" s="8"/>
      <c r="G663" s="8"/>
      <c r="H663" s="7"/>
      <c r="I663" s="8"/>
      <c r="J663" s="8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>
      <c r="A664" s="80"/>
      <c r="B664" s="7"/>
      <c r="C664" s="7"/>
      <c r="D664" s="116"/>
      <c r="E664" s="116"/>
      <c r="F664" s="8"/>
      <c r="G664" s="8"/>
      <c r="H664" s="7"/>
      <c r="I664" s="8"/>
      <c r="J664" s="8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>
      <c r="A665" s="80"/>
      <c r="B665" s="7"/>
      <c r="C665" s="7"/>
      <c r="D665" s="116"/>
      <c r="E665" s="116"/>
      <c r="F665" s="8"/>
      <c r="G665" s="8"/>
      <c r="H665" s="7"/>
      <c r="I665" s="8"/>
      <c r="J665" s="8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>
      <c r="A666" s="80"/>
      <c r="B666" s="7"/>
      <c r="C666" s="7"/>
      <c r="D666" s="116"/>
      <c r="E666" s="116"/>
      <c r="F666" s="8"/>
      <c r="G666" s="8"/>
      <c r="H666" s="7"/>
      <c r="I666" s="8"/>
      <c r="J666" s="8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>
      <c r="A667" s="80"/>
      <c r="B667" s="7"/>
      <c r="C667" s="7"/>
      <c r="D667" s="116"/>
      <c r="E667" s="116"/>
      <c r="F667" s="8"/>
      <c r="G667" s="8"/>
      <c r="H667" s="7"/>
      <c r="I667" s="8"/>
      <c r="J667" s="8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>
      <c r="A668" s="80"/>
      <c r="B668" s="7"/>
      <c r="C668" s="7"/>
      <c r="D668" s="116"/>
      <c r="E668" s="116"/>
      <c r="F668" s="8"/>
      <c r="G668" s="8"/>
      <c r="H668" s="7"/>
      <c r="I668" s="8"/>
      <c r="J668" s="8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>
      <c r="A669" s="80"/>
      <c r="B669" s="7"/>
      <c r="C669" s="7"/>
      <c r="D669" s="116"/>
      <c r="E669" s="116"/>
      <c r="F669" s="8"/>
      <c r="G669" s="8"/>
      <c r="H669" s="7"/>
      <c r="I669" s="8"/>
      <c r="J669" s="8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>
      <c r="A670" s="80"/>
      <c r="B670" s="7"/>
      <c r="C670" s="7"/>
      <c r="D670" s="116"/>
      <c r="E670" s="116"/>
      <c r="F670" s="8"/>
      <c r="G670" s="8"/>
      <c r="H670" s="7"/>
      <c r="I670" s="8"/>
      <c r="J670" s="8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>
      <c r="A671" s="80"/>
      <c r="B671" s="7"/>
      <c r="C671" s="7"/>
      <c r="D671" s="116"/>
      <c r="E671" s="116"/>
      <c r="F671" s="8"/>
      <c r="G671" s="8"/>
      <c r="H671" s="7"/>
      <c r="I671" s="8"/>
      <c r="J671" s="8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>
      <c r="A672" s="80"/>
      <c r="B672" s="7"/>
      <c r="C672" s="7"/>
      <c r="D672" s="116"/>
      <c r="E672" s="116"/>
      <c r="F672" s="8"/>
      <c r="G672" s="8"/>
      <c r="H672" s="7"/>
      <c r="I672" s="8"/>
      <c r="J672" s="8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>
      <c r="A673" s="80"/>
      <c r="B673" s="7"/>
      <c r="C673" s="7"/>
      <c r="D673" s="116"/>
      <c r="E673" s="116"/>
      <c r="F673" s="8"/>
      <c r="G673" s="8"/>
      <c r="H673" s="7"/>
      <c r="I673" s="8"/>
      <c r="J673" s="8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>
      <c r="A674" s="80"/>
      <c r="B674" s="7"/>
      <c r="C674" s="7"/>
      <c r="D674" s="116"/>
      <c r="E674" s="116"/>
      <c r="F674" s="8"/>
      <c r="G674" s="8"/>
      <c r="H674" s="7"/>
      <c r="I674" s="8"/>
      <c r="J674" s="8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>
      <c r="A675" s="80"/>
      <c r="B675" s="7"/>
      <c r="C675" s="7"/>
      <c r="D675" s="116"/>
      <c r="E675" s="116"/>
      <c r="F675" s="8"/>
      <c r="G675" s="8"/>
      <c r="H675" s="7"/>
      <c r="I675" s="8"/>
      <c r="J675" s="8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>
      <c r="A676" s="80"/>
      <c r="B676" s="7"/>
      <c r="C676" s="7"/>
      <c r="D676" s="116"/>
      <c r="E676" s="116"/>
      <c r="F676" s="8"/>
      <c r="G676" s="8"/>
      <c r="H676" s="7"/>
      <c r="I676" s="8"/>
      <c r="J676" s="8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>
      <c r="A677" s="80"/>
      <c r="B677" s="7"/>
      <c r="C677" s="7"/>
      <c r="D677" s="116"/>
      <c r="E677" s="116"/>
      <c r="F677" s="8"/>
      <c r="G677" s="8"/>
      <c r="H677" s="7"/>
      <c r="I677" s="8"/>
      <c r="J677" s="8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>
      <c r="A678" s="80"/>
      <c r="B678" s="7"/>
      <c r="C678" s="7"/>
      <c r="D678" s="116"/>
      <c r="E678" s="116"/>
      <c r="F678" s="8"/>
      <c r="G678" s="8"/>
      <c r="H678" s="7"/>
      <c r="I678" s="8"/>
      <c r="J678" s="8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>
      <c r="A679" s="80"/>
      <c r="B679" s="7"/>
      <c r="C679" s="7"/>
      <c r="D679" s="116"/>
      <c r="E679" s="116"/>
      <c r="F679" s="8"/>
      <c r="G679" s="8"/>
      <c r="H679" s="7"/>
      <c r="I679" s="8"/>
      <c r="J679" s="8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>
      <c r="A680" s="80"/>
      <c r="B680" s="7"/>
      <c r="C680" s="7"/>
      <c r="D680" s="116"/>
      <c r="E680" s="116"/>
      <c r="F680" s="8"/>
      <c r="G680" s="8"/>
      <c r="H680" s="7"/>
      <c r="I680" s="8"/>
      <c r="J680" s="8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>
      <c r="A681" s="80"/>
      <c r="B681" s="7"/>
      <c r="C681" s="7"/>
      <c r="D681" s="116"/>
      <c r="E681" s="116"/>
      <c r="F681" s="8"/>
      <c r="G681" s="8"/>
      <c r="H681" s="7"/>
      <c r="I681" s="8"/>
      <c r="J681" s="8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>
      <c r="A682" s="80"/>
      <c r="B682" s="7"/>
      <c r="C682" s="7"/>
      <c r="D682" s="116"/>
      <c r="E682" s="116"/>
      <c r="F682" s="8"/>
      <c r="G682" s="8"/>
      <c r="H682" s="7"/>
      <c r="I682" s="8"/>
      <c r="J682" s="8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>
      <c r="A683" s="80"/>
      <c r="B683" s="7"/>
      <c r="C683" s="7"/>
      <c r="D683" s="116"/>
      <c r="E683" s="116"/>
      <c r="F683" s="8"/>
      <c r="G683" s="8"/>
      <c r="H683" s="7"/>
      <c r="I683" s="8"/>
      <c r="J683" s="8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>
      <c r="A684" s="80"/>
      <c r="B684" s="7"/>
      <c r="C684" s="7"/>
      <c r="D684" s="116"/>
      <c r="E684" s="116"/>
      <c r="F684" s="8"/>
      <c r="G684" s="8"/>
      <c r="H684" s="7"/>
      <c r="I684" s="8"/>
      <c r="J684" s="8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>
      <c r="A685" s="80"/>
      <c r="B685" s="7"/>
      <c r="C685" s="7"/>
      <c r="D685" s="116"/>
      <c r="E685" s="116"/>
      <c r="F685" s="8"/>
      <c r="G685" s="8"/>
      <c r="H685" s="7"/>
      <c r="I685" s="8"/>
      <c r="J685" s="8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>
      <c r="A686" s="80"/>
      <c r="B686" s="7"/>
      <c r="C686" s="7"/>
      <c r="D686" s="116"/>
      <c r="E686" s="116"/>
      <c r="F686" s="8"/>
      <c r="G686" s="8"/>
      <c r="H686" s="7"/>
      <c r="I686" s="8"/>
      <c r="J686" s="8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>
      <c r="A687" s="80"/>
      <c r="B687" s="7"/>
      <c r="C687" s="7"/>
      <c r="D687" s="116"/>
      <c r="E687" s="116"/>
      <c r="F687" s="8"/>
      <c r="G687" s="8"/>
      <c r="H687" s="7"/>
      <c r="I687" s="8"/>
      <c r="J687" s="8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>
      <c r="A688" s="80"/>
      <c r="B688" s="7"/>
      <c r="C688" s="7"/>
      <c r="D688" s="116"/>
      <c r="E688" s="116"/>
      <c r="F688" s="8"/>
      <c r="G688" s="8"/>
      <c r="H688" s="7"/>
      <c r="I688" s="8"/>
      <c r="J688" s="8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>
      <c r="A689" s="80"/>
      <c r="B689" s="7"/>
      <c r="C689" s="7"/>
      <c r="D689" s="116"/>
      <c r="E689" s="116"/>
      <c r="F689" s="8"/>
      <c r="G689" s="8"/>
      <c r="H689" s="7"/>
      <c r="I689" s="8"/>
      <c r="J689" s="8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>
      <c r="A690" s="80"/>
      <c r="B690" s="7"/>
      <c r="C690" s="7"/>
      <c r="D690" s="116"/>
      <c r="E690" s="116"/>
      <c r="F690" s="8"/>
      <c r="G690" s="8"/>
      <c r="H690" s="7"/>
      <c r="I690" s="8"/>
      <c r="J690" s="8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>
      <c r="A691" s="80"/>
      <c r="B691" s="7"/>
      <c r="C691" s="7"/>
      <c r="D691" s="116"/>
      <c r="E691" s="116"/>
      <c r="F691" s="8"/>
      <c r="G691" s="8"/>
      <c r="H691" s="7"/>
      <c r="I691" s="8"/>
      <c r="J691" s="8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>
      <c r="A692" s="80"/>
      <c r="B692" s="7"/>
      <c r="C692" s="7"/>
      <c r="D692" s="116"/>
      <c r="E692" s="116"/>
      <c r="F692" s="8"/>
      <c r="G692" s="8"/>
      <c r="H692" s="7"/>
      <c r="I692" s="8"/>
      <c r="J692" s="8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>
      <c r="A693" s="80"/>
      <c r="B693" s="7"/>
      <c r="C693" s="7"/>
      <c r="D693" s="116"/>
      <c r="E693" s="116"/>
      <c r="F693" s="8"/>
      <c r="G693" s="8"/>
      <c r="H693" s="7"/>
      <c r="I693" s="8"/>
      <c r="J693" s="8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>
      <c r="A694" s="80"/>
      <c r="B694" s="7"/>
      <c r="C694" s="7"/>
      <c r="D694" s="116"/>
      <c r="E694" s="116"/>
      <c r="F694" s="8"/>
      <c r="G694" s="8"/>
      <c r="H694" s="7"/>
      <c r="I694" s="8"/>
      <c r="J694" s="8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>
      <c r="A695" s="80"/>
      <c r="B695" s="7"/>
      <c r="C695" s="7"/>
      <c r="D695" s="116"/>
      <c r="E695" s="116"/>
      <c r="F695" s="8"/>
      <c r="G695" s="8"/>
      <c r="H695" s="7"/>
      <c r="I695" s="8"/>
      <c r="J695" s="8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>
      <c r="A696" s="80"/>
      <c r="B696" s="7"/>
      <c r="C696" s="7"/>
      <c r="D696" s="116"/>
      <c r="E696" s="116"/>
      <c r="F696" s="8"/>
      <c r="G696" s="8"/>
      <c r="H696" s="7"/>
      <c r="I696" s="8"/>
      <c r="J696" s="8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>
      <c r="A697" s="80"/>
      <c r="B697" s="7"/>
      <c r="C697" s="7"/>
      <c r="D697" s="116"/>
      <c r="E697" s="116"/>
      <c r="F697" s="8"/>
      <c r="G697" s="8"/>
      <c r="H697" s="7"/>
      <c r="I697" s="8"/>
      <c r="J697" s="8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>
      <c r="A698" s="80"/>
      <c r="B698" s="7"/>
      <c r="C698" s="7"/>
      <c r="D698" s="116"/>
      <c r="E698" s="116"/>
      <c r="F698" s="8"/>
      <c r="G698" s="8"/>
      <c r="H698" s="7"/>
      <c r="I698" s="8"/>
      <c r="J698" s="8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>
      <c r="A699" s="80"/>
      <c r="B699" s="7"/>
      <c r="C699" s="7"/>
      <c r="D699" s="116"/>
      <c r="E699" s="116"/>
      <c r="F699" s="8"/>
      <c r="G699" s="8"/>
      <c r="H699" s="7"/>
      <c r="I699" s="8"/>
      <c r="J699" s="8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>
      <c r="A700" s="80"/>
      <c r="B700" s="7"/>
      <c r="C700" s="7"/>
      <c r="D700" s="116"/>
      <c r="E700" s="116"/>
      <c r="F700" s="8"/>
      <c r="G700" s="8"/>
      <c r="H700" s="7"/>
      <c r="I700" s="8"/>
      <c r="J700" s="8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>
      <c r="A701" s="80"/>
      <c r="B701" s="7"/>
      <c r="C701" s="7"/>
      <c r="D701" s="116"/>
      <c r="E701" s="116"/>
      <c r="F701" s="8"/>
      <c r="G701" s="8"/>
      <c r="H701" s="7"/>
      <c r="I701" s="8"/>
      <c r="J701" s="8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>
      <c r="A702" s="80"/>
      <c r="B702" s="7"/>
      <c r="C702" s="7"/>
      <c r="D702" s="116"/>
      <c r="E702" s="116"/>
      <c r="F702" s="8"/>
      <c r="G702" s="8"/>
      <c r="H702" s="7"/>
      <c r="I702" s="8"/>
      <c r="J702" s="8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>
      <c r="A703" s="80"/>
      <c r="B703" s="7"/>
      <c r="C703" s="7"/>
      <c r="D703" s="116"/>
      <c r="E703" s="116"/>
      <c r="F703" s="8"/>
      <c r="G703" s="8"/>
      <c r="H703" s="7"/>
      <c r="I703" s="8"/>
      <c r="J703" s="8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>
      <c r="A704" s="80"/>
      <c r="B704" s="7"/>
      <c r="C704" s="7"/>
      <c r="D704" s="116"/>
      <c r="E704" s="116"/>
      <c r="F704" s="8"/>
      <c r="G704" s="8"/>
      <c r="H704" s="7"/>
      <c r="I704" s="8"/>
      <c r="J704" s="8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>
      <c r="A705" s="80"/>
      <c r="B705" s="7"/>
      <c r="C705" s="7"/>
      <c r="D705" s="116"/>
      <c r="E705" s="116"/>
      <c r="F705" s="8"/>
      <c r="G705" s="8"/>
      <c r="H705" s="7"/>
      <c r="I705" s="8"/>
      <c r="J705" s="8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>
      <c r="A706" s="80"/>
      <c r="B706" s="7"/>
      <c r="C706" s="7"/>
      <c r="D706" s="116"/>
      <c r="E706" s="116"/>
      <c r="F706" s="8"/>
      <c r="G706" s="8"/>
      <c r="H706" s="7"/>
      <c r="I706" s="8"/>
      <c r="J706" s="8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>
      <c r="A707" s="80"/>
      <c r="B707" s="7"/>
      <c r="C707" s="7"/>
      <c r="D707" s="116"/>
      <c r="E707" s="116"/>
      <c r="F707" s="8"/>
      <c r="G707" s="8"/>
      <c r="H707" s="7"/>
      <c r="I707" s="8"/>
      <c r="J707" s="8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>
      <c r="A708" s="80"/>
      <c r="B708" s="7"/>
      <c r="C708" s="7"/>
      <c r="D708" s="116"/>
      <c r="E708" s="116"/>
      <c r="F708" s="8"/>
      <c r="G708" s="8"/>
      <c r="H708" s="7"/>
      <c r="I708" s="8"/>
      <c r="J708" s="8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>
      <c r="A709" s="80"/>
      <c r="B709" s="7"/>
      <c r="C709" s="7"/>
      <c r="D709" s="116"/>
      <c r="E709" s="116"/>
      <c r="F709" s="8"/>
      <c r="G709" s="8"/>
      <c r="H709" s="7"/>
      <c r="I709" s="8"/>
      <c r="J709" s="8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>
      <c r="A710" s="80"/>
      <c r="B710" s="7"/>
      <c r="C710" s="7"/>
      <c r="D710" s="116"/>
      <c r="E710" s="116"/>
      <c r="F710" s="8"/>
      <c r="G710" s="8"/>
      <c r="H710" s="7"/>
      <c r="I710" s="8"/>
      <c r="J710" s="8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>
      <c r="A711" s="80"/>
      <c r="B711" s="7"/>
      <c r="C711" s="7"/>
      <c r="D711" s="116"/>
      <c r="E711" s="116"/>
      <c r="F711" s="8"/>
      <c r="G711" s="8"/>
      <c r="H711" s="7"/>
      <c r="I711" s="8"/>
      <c r="J711" s="8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>
      <c r="A712" s="80"/>
      <c r="B712" s="7"/>
      <c r="C712" s="7"/>
      <c r="D712" s="116"/>
      <c r="E712" s="116"/>
      <c r="F712" s="8"/>
      <c r="G712" s="8"/>
      <c r="H712" s="7"/>
      <c r="I712" s="8"/>
      <c r="J712" s="8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>
      <c r="A713" s="80"/>
      <c r="B713" s="7"/>
      <c r="C713" s="7"/>
      <c r="D713" s="116"/>
      <c r="E713" s="116"/>
      <c r="F713" s="8"/>
      <c r="G713" s="8"/>
      <c r="H713" s="7"/>
      <c r="I713" s="8"/>
      <c r="J713" s="8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>
      <c r="A714" s="80"/>
      <c r="B714" s="7"/>
      <c r="C714" s="7"/>
      <c r="D714" s="116"/>
      <c r="E714" s="116"/>
      <c r="F714" s="8"/>
      <c r="G714" s="8"/>
      <c r="H714" s="7"/>
      <c r="I714" s="8"/>
      <c r="J714" s="8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>
      <c r="A715" s="80"/>
      <c r="B715" s="7"/>
      <c r="C715" s="7"/>
      <c r="D715" s="116"/>
      <c r="E715" s="116"/>
      <c r="F715" s="8"/>
      <c r="G715" s="8"/>
      <c r="H715" s="7"/>
      <c r="I715" s="8"/>
      <c r="J715" s="8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>
      <c r="A716" s="80"/>
      <c r="B716" s="7"/>
      <c r="C716" s="7"/>
      <c r="D716" s="116"/>
      <c r="E716" s="116"/>
      <c r="F716" s="8"/>
      <c r="G716" s="8"/>
      <c r="H716" s="7"/>
      <c r="I716" s="8"/>
      <c r="J716" s="8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>
      <c r="A717" s="80"/>
      <c r="B717" s="7"/>
      <c r="C717" s="7"/>
      <c r="D717" s="116"/>
      <c r="E717" s="116"/>
      <c r="F717" s="8"/>
      <c r="G717" s="8"/>
      <c r="H717" s="7"/>
      <c r="I717" s="8"/>
      <c r="J717" s="8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>
      <c r="A718" s="80"/>
      <c r="B718" s="7"/>
      <c r="C718" s="7"/>
      <c r="D718" s="116"/>
      <c r="E718" s="116"/>
      <c r="F718" s="8"/>
      <c r="G718" s="8"/>
      <c r="H718" s="7"/>
      <c r="I718" s="8"/>
      <c r="J718" s="8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>
      <c r="A719" s="80"/>
      <c r="B719" s="7"/>
      <c r="C719" s="7"/>
      <c r="D719" s="116"/>
      <c r="E719" s="116"/>
      <c r="F719" s="8"/>
      <c r="G719" s="8"/>
      <c r="H719" s="7"/>
      <c r="I719" s="8"/>
      <c r="J719" s="8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>
      <c r="A720" s="80"/>
      <c r="B720" s="7"/>
      <c r="C720" s="7"/>
      <c r="D720" s="116"/>
      <c r="E720" s="116"/>
      <c r="F720" s="8"/>
      <c r="G720" s="8"/>
      <c r="H720" s="7"/>
      <c r="I720" s="8"/>
      <c r="J720" s="8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>
      <c r="A721" s="80"/>
      <c r="B721" s="7"/>
      <c r="C721" s="7"/>
      <c r="D721" s="116"/>
      <c r="E721" s="116"/>
      <c r="F721" s="8"/>
      <c r="G721" s="8"/>
      <c r="H721" s="7"/>
      <c r="I721" s="8"/>
      <c r="J721" s="8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>
      <c r="A722" s="80"/>
      <c r="B722" s="7"/>
      <c r="C722" s="7"/>
      <c r="D722" s="116"/>
      <c r="E722" s="116"/>
      <c r="F722" s="8"/>
      <c r="G722" s="8"/>
      <c r="H722" s="7"/>
      <c r="I722" s="8"/>
      <c r="J722" s="8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>
      <c r="A723" s="80"/>
      <c r="B723" s="7"/>
      <c r="C723" s="7"/>
      <c r="D723" s="116"/>
      <c r="E723" s="116"/>
      <c r="F723" s="8"/>
      <c r="G723" s="8"/>
      <c r="H723" s="7"/>
      <c r="I723" s="8"/>
      <c r="J723" s="8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>
      <c r="A724" s="80"/>
      <c r="B724" s="7"/>
      <c r="C724" s="7"/>
      <c r="D724" s="116"/>
      <c r="E724" s="116"/>
      <c r="F724" s="8"/>
      <c r="G724" s="8"/>
      <c r="H724" s="7"/>
      <c r="I724" s="8"/>
      <c r="J724" s="8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>
      <c r="A725" s="80"/>
      <c r="B725" s="7"/>
      <c r="C725" s="7"/>
      <c r="D725" s="116"/>
      <c r="E725" s="116"/>
      <c r="F725" s="8"/>
      <c r="G725" s="8"/>
      <c r="H725" s="7"/>
      <c r="I725" s="8"/>
      <c r="J725" s="8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>
      <c r="A726" s="80"/>
      <c r="B726" s="7"/>
      <c r="C726" s="7"/>
      <c r="D726" s="116"/>
      <c r="E726" s="116"/>
      <c r="F726" s="8"/>
      <c r="G726" s="8"/>
      <c r="H726" s="7"/>
      <c r="I726" s="8"/>
      <c r="J726" s="8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>
      <c r="A727" s="80"/>
      <c r="B727" s="7"/>
      <c r="C727" s="7"/>
      <c r="D727" s="116"/>
      <c r="E727" s="116"/>
      <c r="F727" s="8"/>
      <c r="G727" s="8"/>
      <c r="H727" s="7"/>
      <c r="I727" s="8"/>
      <c r="J727" s="8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>
      <c r="A728" s="80"/>
      <c r="B728" s="7"/>
      <c r="C728" s="7"/>
      <c r="D728" s="116"/>
      <c r="E728" s="116"/>
      <c r="F728" s="8"/>
      <c r="G728" s="8"/>
      <c r="H728" s="7"/>
      <c r="I728" s="8"/>
      <c r="J728" s="8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>
      <c r="A729" s="80"/>
      <c r="B729" s="7"/>
      <c r="C729" s="7"/>
      <c r="D729" s="116"/>
      <c r="E729" s="116"/>
      <c r="F729" s="8"/>
      <c r="G729" s="8"/>
      <c r="H729" s="7"/>
      <c r="I729" s="8"/>
      <c r="J729" s="8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>
      <c r="A730" s="80"/>
      <c r="B730" s="7"/>
      <c r="C730" s="7"/>
      <c r="D730" s="116"/>
      <c r="E730" s="116"/>
      <c r="F730" s="8"/>
      <c r="G730" s="8"/>
      <c r="H730" s="7"/>
      <c r="I730" s="8"/>
      <c r="J730" s="8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>
      <c r="A731" s="80"/>
      <c r="B731" s="7"/>
      <c r="C731" s="7"/>
      <c r="D731" s="116"/>
      <c r="E731" s="116"/>
      <c r="F731" s="8"/>
      <c r="G731" s="8"/>
      <c r="H731" s="7"/>
      <c r="I731" s="8"/>
      <c r="J731" s="8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>
      <c r="A732" s="80"/>
      <c r="B732" s="7"/>
      <c r="C732" s="7"/>
      <c r="D732" s="116"/>
      <c r="E732" s="116"/>
      <c r="F732" s="8"/>
      <c r="G732" s="8"/>
      <c r="H732" s="7"/>
      <c r="I732" s="8"/>
      <c r="J732" s="8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>
      <c r="A733" s="80"/>
      <c r="B733" s="7"/>
      <c r="C733" s="7"/>
      <c r="D733" s="116"/>
      <c r="E733" s="116"/>
      <c r="F733" s="8"/>
      <c r="G733" s="8"/>
      <c r="H733" s="7"/>
      <c r="I733" s="8"/>
      <c r="J733" s="8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>
      <c r="A734" s="80"/>
      <c r="B734" s="7"/>
      <c r="C734" s="7"/>
      <c r="D734" s="116"/>
      <c r="E734" s="116"/>
      <c r="F734" s="8"/>
      <c r="G734" s="8"/>
      <c r="H734" s="7"/>
      <c r="I734" s="8"/>
      <c r="J734" s="8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>
      <c r="A735" s="80"/>
      <c r="B735" s="7"/>
      <c r="C735" s="7"/>
      <c r="D735" s="116"/>
      <c r="E735" s="116"/>
      <c r="F735" s="8"/>
      <c r="G735" s="8"/>
      <c r="H735" s="7"/>
      <c r="I735" s="8"/>
      <c r="J735" s="8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>
      <c r="A736" s="80"/>
      <c r="B736" s="7"/>
      <c r="C736" s="7"/>
      <c r="D736" s="116"/>
      <c r="E736" s="116"/>
      <c r="F736" s="8"/>
      <c r="G736" s="8"/>
      <c r="H736" s="7"/>
      <c r="I736" s="8"/>
      <c r="J736" s="8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>
      <c r="A737" s="80"/>
      <c r="B737" s="7"/>
      <c r="C737" s="7"/>
      <c r="D737" s="116"/>
      <c r="E737" s="116"/>
      <c r="F737" s="8"/>
      <c r="G737" s="8"/>
      <c r="H737" s="7"/>
      <c r="I737" s="8"/>
      <c r="J737" s="8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>
      <c r="A738" s="80"/>
      <c r="B738" s="7"/>
      <c r="C738" s="7"/>
      <c r="D738" s="116"/>
      <c r="E738" s="116"/>
      <c r="F738" s="8"/>
      <c r="G738" s="8"/>
      <c r="H738" s="7"/>
      <c r="I738" s="8"/>
      <c r="J738" s="8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>
      <c r="A739" s="80"/>
      <c r="B739" s="7"/>
      <c r="C739" s="7"/>
      <c r="D739" s="116"/>
      <c r="E739" s="116"/>
      <c r="F739" s="8"/>
      <c r="G739" s="8"/>
      <c r="H739" s="7"/>
      <c r="I739" s="8"/>
      <c r="J739" s="8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>
      <c r="A740" s="80"/>
      <c r="B740" s="7"/>
      <c r="C740" s="7"/>
      <c r="D740" s="116"/>
      <c r="E740" s="116"/>
      <c r="F740" s="8"/>
      <c r="G740" s="8"/>
      <c r="H740" s="7"/>
      <c r="I740" s="8"/>
      <c r="J740" s="8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>
      <c r="A741" s="80"/>
      <c r="B741" s="7"/>
      <c r="C741" s="7"/>
      <c r="D741" s="116"/>
      <c r="E741" s="116"/>
      <c r="F741" s="8"/>
      <c r="G741" s="8"/>
      <c r="H741" s="7"/>
      <c r="I741" s="8"/>
      <c r="J741" s="8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>
      <c r="A742" s="80"/>
      <c r="B742" s="7"/>
      <c r="C742" s="7"/>
      <c r="D742" s="116"/>
      <c r="E742" s="116"/>
      <c r="F742" s="8"/>
      <c r="G742" s="8"/>
      <c r="H742" s="7"/>
      <c r="I742" s="8"/>
      <c r="J742" s="8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>
      <c r="A743" s="80"/>
      <c r="B743" s="7"/>
      <c r="C743" s="7"/>
      <c r="D743" s="116"/>
      <c r="E743" s="116"/>
      <c r="F743" s="8"/>
      <c r="G743" s="8"/>
      <c r="H743" s="7"/>
      <c r="I743" s="8"/>
      <c r="J743" s="8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>
      <c r="A744" s="80"/>
      <c r="B744" s="7"/>
      <c r="C744" s="7"/>
      <c r="D744" s="116"/>
      <c r="E744" s="116"/>
      <c r="F744" s="8"/>
      <c r="G744" s="8"/>
      <c r="H744" s="7"/>
      <c r="I744" s="8"/>
      <c r="J744" s="8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>
      <c r="A745" s="80"/>
      <c r="B745" s="7"/>
      <c r="C745" s="7"/>
      <c r="D745" s="116"/>
      <c r="E745" s="116"/>
      <c r="F745" s="8"/>
      <c r="G745" s="8"/>
      <c r="H745" s="7"/>
      <c r="I745" s="8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>
      <c r="A746" s="80"/>
      <c r="B746" s="7"/>
      <c r="C746" s="7"/>
      <c r="D746" s="116"/>
      <c r="E746" s="116"/>
      <c r="F746" s="8"/>
      <c r="G746" s="8"/>
      <c r="H746" s="7"/>
      <c r="I746" s="8"/>
      <c r="J746" s="8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>
      <c r="A747" s="80"/>
      <c r="B747" s="7"/>
      <c r="C747" s="7"/>
      <c r="D747" s="116"/>
      <c r="E747" s="116"/>
      <c r="F747" s="8"/>
      <c r="G747" s="8"/>
      <c r="H747" s="7"/>
      <c r="I747" s="8"/>
      <c r="J747" s="8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>
      <c r="A748" s="80"/>
      <c r="B748" s="7"/>
      <c r="C748" s="7"/>
      <c r="D748" s="116"/>
      <c r="E748" s="116"/>
      <c r="F748" s="8"/>
      <c r="G748" s="8"/>
      <c r="H748" s="7"/>
      <c r="I748" s="8"/>
      <c r="J748" s="8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>
      <c r="A749" s="80"/>
      <c r="B749" s="7"/>
      <c r="C749" s="7"/>
      <c r="D749" s="116"/>
      <c r="E749" s="116"/>
      <c r="F749" s="8"/>
      <c r="G749" s="8"/>
      <c r="H749" s="7"/>
      <c r="I749" s="8"/>
      <c r="J749" s="8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>
      <c r="A750" s="80"/>
      <c r="B750" s="7"/>
      <c r="C750" s="7"/>
      <c r="D750" s="116"/>
      <c r="E750" s="116"/>
      <c r="F750" s="8"/>
      <c r="G750" s="8"/>
      <c r="H750" s="7"/>
      <c r="I750" s="8"/>
      <c r="J750" s="8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>
      <c r="A751" s="80"/>
      <c r="B751" s="7"/>
      <c r="C751" s="7"/>
      <c r="D751" s="116"/>
      <c r="E751" s="116"/>
      <c r="F751" s="8"/>
      <c r="G751" s="8"/>
      <c r="H751" s="7"/>
      <c r="I751" s="8"/>
      <c r="J751" s="8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>
      <c r="A752" s="80"/>
      <c r="B752" s="7"/>
      <c r="C752" s="7"/>
      <c r="D752" s="116"/>
      <c r="E752" s="116"/>
      <c r="F752" s="8"/>
      <c r="G752" s="8"/>
      <c r="H752" s="7"/>
      <c r="I752" s="8"/>
      <c r="J752" s="8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>
      <c r="A753" s="80"/>
      <c r="B753" s="7"/>
      <c r="C753" s="7"/>
      <c r="D753" s="116"/>
      <c r="E753" s="116"/>
      <c r="F753" s="8"/>
      <c r="G753" s="8"/>
      <c r="H753" s="7"/>
      <c r="I753" s="8"/>
      <c r="J753" s="8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>
      <c r="A754" s="80"/>
      <c r="B754" s="7"/>
      <c r="C754" s="7"/>
      <c r="D754" s="116"/>
      <c r="E754" s="116"/>
      <c r="F754" s="8"/>
      <c r="G754" s="8"/>
      <c r="H754" s="7"/>
      <c r="I754" s="8"/>
      <c r="J754" s="8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>
      <c r="A755" s="80"/>
      <c r="B755" s="7"/>
      <c r="C755" s="7"/>
      <c r="D755" s="116"/>
      <c r="E755" s="116"/>
      <c r="F755" s="8"/>
      <c r="G755" s="8"/>
      <c r="H755" s="7"/>
      <c r="I755" s="8"/>
      <c r="J755" s="8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>
      <c r="A756" s="80"/>
      <c r="B756" s="7"/>
      <c r="C756" s="7"/>
      <c r="D756" s="116"/>
      <c r="E756" s="116"/>
      <c r="F756" s="8"/>
      <c r="G756" s="8"/>
      <c r="H756" s="7"/>
      <c r="I756" s="8"/>
      <c r="J756" s="8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>
      <c r="A757" s="80"/>
      <c r="B757" s="7"/>
      <c r="C757" s="7"/>
      <c r="D757" s="116"/>
      <c r="E757" s="116"/>
      <c r="F757" s="8"/>
      <c r="G757" s="8"/>
      <c r="H757" s="7"/>
      <c r="I757" s="8"/>
      <c r="J757" s="8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>
      <c r="A758" s="80"/>
      <c r="B758" s="7"/>
      <c r="C758" s="7"/>
      <c r="D758" s="116"/>
      <c r="E758" s="116"/>
      <c r="F758" s="8"/>
      <c r="G758" s="8"/>
      <c r="H758" s="7"/>
      <c r="I758" s="8"/>
      <c r="J758" s="8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>
      <c r="A759" s="80"/>
      <c r="B759" s="7"/>
      <c r="C759" s="7"/>
      <c r="D759" s="116"/>
      <c r="E759" s="116"/>
      <c r="F759" s="8"/>
      <c r="G759" s="8"/>
      <c r="H759" s="7"/>
      <c r="I759" s="8"/>
      <c r="J759" s="8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>
      <c r="A760" s="80"/>
      <c r="B760" s="7"/>
      <c r="C760" s="7"/>
      <c r="D760" s="116"/>
      <c r="E760" s="116"/>
      <c r="F760" s="8"/>
      <c r="G760" s="8"/>
      <c r="H760" s="7"/>
      <c r="I760" s="8"/>
      <c r="J760" s="8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>
      <c r="A761" s="80"/>
      <c r="B761" s="7"/>
      <c r="C761" s="7"/>
      <c r="D761" s="116"/>
      <c r="E761" s="116"/>
      <c r="F761" s="8"/>
      <c r="G761" s="8"/>
      <c r="H761" s="7"/>
      <c r="I761" s="8"/>
      <c r="J761" s="8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>
      <c r="A762" s="80"/>
      <c r="B762" s="7"/>
      <c r="C762" s="7"/>
      <c r="D762" s="116"/>
      <c r="E762" s="116"/>
      <c r="F762" s="8"/>
      <c r="G762" s="8"/>
      <c r="H762" s="7"/>
      <c r="I762" s="8"/>
      <c r="J762" s="8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>
      <c r="A763" s="80"/>
      <c r="B763" s="7"/>
      <c r="C763" s="7"/>
      <c r="D763" s="116"/>
      <c r="E763" s="116"/>
      <c r="F763" s="8"/>
      <c r="G763" s="8"/>
      <c r="H763" s="7"/>
      <c r="I763" s="8"/>
      <c r="J763" s="8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>
      <c r="A764" s="80"/>
      <c r="B764" s="7"/>
      <c r="C764" s="7"/>
      <c r="D764" s="116"/>
      <c r="E764" s="116"/>
      <c r="F764" s="8"/>
      <c r="G764" s="8"/>
      <c r="H764" s="7"/>
      <c r="I764" s="8"/>
      <c r="J764" s="8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>
      <c r="A765" s="80"/>
      <c r="B765" s="7"/>
      <c r="C765" s="7"/>
      <c r="D765" s="116"/>
      <c r="E765" s="116"/>
      <c r="F765" s="8"/>
      <c r="G765" s="8"/>
      <c r="H765" s="7"/>
      <c r="I765" s="8"/>
      <c r="J765" s="8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>
      <c r="A766" s="80"/>
      <c r="B766" s="7"/>
      <c r="C766" s="7"/>
      <c r="D766" s="116"/>
      <c r="E766" s="116"/>
      <c r="F766" s="8"/>
      <c r="G766" s="8"/>
      <c r="H766" s="7"/>
      <c r="I766" s="8"/>
      <c r="J766" s="8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>
      <c r="A767" s="80"/>
      <c r="B767" s="7"/>
      <c r="C767" s="7"/>
      <c r="D767" s="116"/>
      <c r="E767" s="116"/>
      <c r="F767" s="8"/>
      <c r="G767" s="8"/>
      <c r="H767" s="7"/>
      <c r="I767" s="8"/>
      <c r="J767" s="8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>
      <c r="A768" s="80"/>
      <c r="B768" s="7"/>
      <c r="C768" s="7"/>
      <c r="D768" s="116"/>
      <c r="E768" s="116"/>
      <c r="F768" s="8"/>
      <c r="G768" s="8"/>
      <c r="H768" s="7"/>
      <c r="I768" s="8"/>
      <c r="J768" s="8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>
      <c r="A769" s="80"/>
      <c r="B769" s="7"/>
      <c r="C769" s="7"/>
      <c r="D769" s="116"/>
      <c r="E769" s="116"/>
      <c r="F769" s="8"/>
      <c r="G769" s="8"/>
      <c r="H769" s="7"/>
      <c r="I769" s="8"/>
      <c r="J769" s="8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>
      <c r="A770" s="80"/>
      <c r="B770" s="7"/>
      <c r="C770" s="7"/>
      <c r="D770" s="116"/>
      <c r="E770" s="116"/>
      <c r="F770" s="8"/>
      <c r="G770" s="8"/>
      <c r="H770" s="7"/>
      <c r="I770" s="8"/>
      <c r="J770" s="8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>
      <c r="A771" s="80"/>
      <c r="B771" s="7"/>
      <c r="C771" s="7"/>
      <c r="D771" s="116"/>
      <c r="E771" s="116"/>
      <c r="F771" s="8"/>
      <c r="G771" s="8"/>
      <c r="H771" s="7"/>
      <c r="I771" s="8"/>
      <c r="J771" s="8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>
      <c r="A772" s="80"/>
      <c r="B772" s="7"/>
      <c r="C772" s="7"/>
      <c r="D772" s="116"/>
      <c r="E772" s="116"/>
      <c r="F772" s="8"/>
      <c r="G772" s="8"/>
      <c r="H772" s="7"/>
      <c r="I772" s="8"/>
      <c r="J772" s="8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>
      <c r="A773" s="80"/>
      <c r="B773" s="7"/>
      <c r="C773" s="7"/>
      <c r="D773" s="116"/>
      <c r="E773" s="116"/>
      <c r="F773" s="8"/>
      <c r="G773" s="8"/>
      <c r="H773" s="7"/>
      <c r="I773" s="8"/>
      <c r="J773" s="8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>
      <c r="A774" s="80"/>
      <c r="B774" s="7"/>
      <c r="C774" s="7"/>
      <c r="D774" s="116"/>
      <c r="E774" s="116"/>
      <c r="F774" s="8"/>
      <c r="G774" s="8"/>
      <c r="H774" s="7"/>
      <c r="I774" s="8"/>
      <c r="J774" s="8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>
      <c r="A775" s="80"/>
      <c r="B775" s="7"/>
      <c r="C775" s="7"/>
      <c r="D775" s="116"/>
      <c r="E775" s="116"/>
      <c r="F775" s="8"/>
      <c r="G775" s="8"/>
      <c r="H775" s="7"/>
      <c r="I775" s="8"/>
      <c r="J775" s="8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>
      <c r="A776" s="80"/>
      <c r="B776" s="7"/>
      <c r="C776" s="7"/>
      <c r="D776" s="116"/>
      <c r="E776" s="116"/>
      <c r="F776" s="8"/>
      <c r="G776" s="8"/>
      <c r="H776" s="7"/>
      <c r="I776" s="8"/>
      <c r="J776" s="8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>
      <c r="A777" s="80"/>
      <c r="B777" s="7"/>
      <c r="C777" s="7"/>
      <c r="D777" s="116"/>
      <c r="E777" s="116"/>
      <c r="F777" s="8"/>
      <c r="G777" s="8"/>
      <c r="H777" s="7"/>
      <c r="I777" s="8"/>
      <c r="J777" s="8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>
      <c r="A778" s="80"/>
      <c r="B778" s="7"/>
      <c r="C778" s="7"/>
      <c r="D778" s="116"/>
      <c r="E778" s="116"/>
      <c r="F778" s="8"/>
      <c r="G778" s="8"/>
      <c r="H778" s="7"/>
      <c r="I778" s="8"/>
      <c r="J778" s="8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>
      <c r="A779" s="80"/>
      <c r="B779" s="7"/>
      <c r="C779" s="7"/>
      <c r="D779" s="116"/>
      <c r="E779" s="116"/>
      <c r="F779" s="8"/>
      <c r="G779" s="8"/>
      <c r="H779" s="7"/>
      <c r="I779" s="8"/>
      <c r="J779" s="8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>
      <c r="A780" s="80"/>
      <c r="B780" s="7"/>
      <c r="C780" s="7"/>
      <c r="D780" s="116"/>
      <c r="E780" s="116"/>
      <c r="F780" s="8"/>
      <c r="G780" s="8"/>
      <c r="H780" s="7"/>
      <c r="I780" s="8"/>
      <c r="J780" s="8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>
      <c r="A781" s="80"/>
      <c r="B781" s="7"/>
      <c r="C781" s="7"/>
      <c r="D781" s="116"/>
      <c r="E781" s="116"/>
      <c r="F781" s="8"/>
      <c r="G781" s="8"/>
      <c r="H781" s="7"/>
      <c r="I781" s="8"/>
      <c r="J781" s="8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>
      <c r="A782" s="80"/>
      <c r="B782" s="7"/>
      <c r="C782" s="7"/>
      <c r="D782" s="116"/>
      <c r="E782" s="116"/>
      <c r="F782" s="8"/>
      <c r="G782" s="8"/>
      <c r="H782" s="7"/>
      <c r="I782" s="8"/>
      <c r="J782" s="8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>
      <c r="A783" s="80"/>
      <c r="B783" s="7"/>
      <c r="C783" s="7"/>
      <c r="D783" s="116"/>
      <c r="E783" s="116"/>
      <c r="F783" s="8"/>
      <c r="G783" s="8"/>
      <c r="H783" s="7"/>
      <c r="I783" s="8"/>
      <c r="J783" s="8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>
      <c r="A784" s="80"/>
      <c r="B784" s="7"/>
      <c r="C784" s="7"/>
      <c r="D784" s="116"/>
      <c r="E784" s="116"/>
      <c r="F784" s="8"/>
      <c r="G784" s="8"/>
      <c r="H784" s="7"/>
      <c r="I784" s="8"/>
      <c r="J784" s="8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>
      <c r="A785" s="80"/>
      <c r="B785" s="7"/>
      <c r="C785" s="7"/>
      <c r="D785" s="116"/>
      <c r="E785" s="116"/>
      <c r="F785" s="8"/>
      <c r="G785" s="8"/>
      <c r="H785" s="7"/>
      <c r="I785" s="8"/>
      <c r="J785" s="8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>
      <c r="A786" s="80"/>
      <c r="B786" s="7"/>
      <c r="C786" s="7"/>
      <c r="D786" s="116"/>
      <c r="E786" s="116"/>
      <c r="F786" s="8"/>
      <c r="G786" s="8"/>
      <c r="H786" s="7"/>
      <c r="I786" s="8"/>
      <c r="J786" s="8"/>
      <c r="K786" s="80"/>
      <c r="L786" s="80"/>
      <c r="M786" s="7"/>
      <c r="N786" s="7"/>
      <c r="O786" s="7"/>
      <c r="P786" s="7"/>
      <c r="Q786" s="7"/>
      <c r="R786" s="7"/>
      <c r="S786" s="7"/>
      <c r="T786" s="7"/>
      <c r="U786" s="7"/>
    </row>
    <row r="787">
      <c r="A787" s="80"/>
      <c r="B787" s="7"/>
      <c r="C787" s="7"/>
      <c r="D787" s="116"/>
      <c r="E787" s="116"/>
      <c r="F787" s="8"/>
      <c r="G787" s="8"/>
      <c r="H787" s="7"/>
      <c r="I787" s="8"/>
      <c r="J787" s="8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>
      <c r="A788" s="80"/>
      <c r="B788" s="7"/>
      <c r="C788" s="7"/>
      <c r="D788" s="116"/>
      <c r="E788" s="116"/>
      <c r="F788" s="8"/>
      <c r="G788" s="8"/>
      <c r="H788" s="7"/>
      <c r="I788" s="8"/>
      <c r="J788" s="8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>
      <c r="A789" s="80"/>
      <c r="B789" s="7"/>
      <c r="C789" s="7"/>
      <c r="D789" s="116"/>
      <c r="E789" s="116"/>
      <c r="F789" s="8"/>
      <c r="G789" s="8"/>
      <c r="H789" s="7"/>
      <c r="I789" s="8"/>
      <c r="J789" s="8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>
      <c r="A790" s="80"/>
      <c r="B790" s="7"/>
      <c r="C790" s="7"/>
      <c r="D790" s="116"/>
      <c r="E790" s="116"/>
      <c r="F790" s="8"/>
      <c r="G790" s="8"/>
      <c r="H790" s="7"/>
      <c r="I790" s="8"/>
      <c r="J790" s="8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>
      <c r="A791" s="80"/>
      <c r="B791" s="7"/>
      <c r="C791" s="7"/>
      <c r="D791" s="116"/>
      <c r="E791" s="116"/>
      <c r="F791" s="8"/>
      <c r="G791" s="8"/>
      <c r="H791" s="7"/>
      <c r="I791" s="8"/>
      <c r="J791" s="8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>
      <c r="A792" s="80"/>
      <c r="B792" s="7"/>
      <c r="C792" s="7"/>
      <c r="D792" s="116"/>
      <c r="E792" s="116"/>
      <c r="F792" s="8"/>
      <c r="G792" s="8"/>
      <c r="H792" s="7"/>
      <c r="I792" s="8"/>
      <c r="J792" s="8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>
      <c r="A793" s="80"/>
      <c r="B793" s="7"/>
      <c r="C793" s="7"/>
      <c r="D793" s="116"/>
      <c r="E793" s="116"/>
      <c r="F793" s="8"/>
      <c r="G793" s="8"/>
      <c r="H793" s="7"/>
      <c r="I793" s="8"/>
      <c r="J793" s="8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>
      <c r="A794" s="80"/>
      <c r="B794" s="7"/>
      <c r="C794" s="7"/>
      <c r="D794" s="116"/>
      <c r="E794" s="116"/>
      <c r="F794" s="8"/>
      <c r="G794" s="8"/>
      <c r="H794" s="7"/>
      <c r="I794" s="8"/>
      <c r="J794" s="8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>
      <c r="A795" s="80"/>
      <c r="B795" s="7"/>
      <c r="C795" s="7"/>
      <c r="D795" s="116"/>
      <c r="E795" s="116"/>
      <c r="F795" s="8"/>
      <c r="G795" s="8"/>
      <c r="H795" s="7"/>
      <c r="I795" s="8"/>
      <c r="J795" s="8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>
      <c r="A796" s="80"/>
      <c r="B796" s="7"/>
      <c r="C796" s="7"/>
      <c r="D796" s="116"/>
      <c r="E796" s="116"/>
      <c r="F796" s="8"/>
      <c r="G796" s="8"/>
      <c r="H796" s="7"/>
      <c r="I796" s="8"/>
      <c r="J796" s="8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>
      <c r="A797" s="80"/>
      <c r="B797" s="7"/>
      <c r="C797" s="7"/>
      <c r="D797" s="116"/>
      <c r="E797" s="116"/>
      <c r="F797" s="8"/>
      <c r="G797" s="8"/>
      <c r="H797" s="7"/>
      <c r="I797" s="8"/>
      <c r="J797" s="8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>
      <c r="A798" s="80"/>
      <c r="B798" s="7"/>
      <c r="C798" s="7"/>
      <c r="D798" s="116"/>
      <c r="E798" s="116"/>
      <c r="F798" s="8"/>
      <c r="G798" s="8"/>
      <c r="H798" s="7"/>
      <c r="I798" s="8"/>
      <c r="J798" s="8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>
      <c r="A799" s="80"/>
      <c r="B799" s="7"/>
      <c r="C799" s="7"/>
      <c r="D799" s="116"/>
      <c r="E799" s="116"/>
      <c r="F799" s="8"/>
      <c r="G799" s="8"/>
      <c r="H799" s="7"/>
      <c r="I799" s="8"/>
      <c r="J799" s="8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>
      <c r="A800" s="80"/>
      <c r="B800" s="7"/>
      <c r="C800" s="7"/>
      <c r="D800" s="116"/>
      <c r="E800" s="116"/>
      <c r="F800" s="8"/>
      <c r="G800" s="8"/>
      <c r="H800" s="7"/>
      <c r="I800" s="8"/>
      <c r="J800" s="8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>
      <c r="A801" s="80"/>
      <c r="B801" s="7"/>
      <c r="C801" s="7"/>
      <c r="D801" s="116"/>
      <c r="E801" s="116"/>
      <c r="F801" s="8"/>
      <c r="G801" s="8"/>
      <c r="H801" s="7"/>
      <c r="I801" s="8"/>
      <c r="J801" s="8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>
      <c r="A802" s="80"/>
      <c r="B802" s="7"/>
      <c r="C802" s="7"/>
      <c r="D802" s="116"/>
      <c r="E802" s="116"/>
      <c r="F802" s="8"/>
      <c r="G802" s="8"/>
      <c r="H802" s="7"/>
      <c r="I802" s="8"/>
      <c r="J802" s="8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>
      <c r="A803" s="80"/>
      <c r="B803" s="7"/>
      <c r="C803" s="7"/>
      <c r="D803" s="116"/>
      <c r="E803" s="116"/>
      <c r="F803" s="8"/>
      <c r="G803" s="8"/>
      <c r="H803" s="7"/>
      <c r="I803" s="8"/>
      <c r="J803" s="8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>
      <c r="A804" s="80"/>
      <c r="B804" s="7"/>
      <c r="C804" s="7"/>
      <c r="D804" s="116"/>
      <c r="E804" s="116"/>
      <c r="F804" s="8"/>
      <c r="G804" s="8"/>
      <c r="H804" s="7"/>
      <c r="I804" s="8"/>
      <c r="J804" s="8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>
      <c r="A805" s="80"/>
      <c r="B805" s="7"/>
      <c r="C805" s="7"/>
      <c r="D805" s="116"/>
      <c r="E805" s="116"/>
      <c r="F805" s="8"/>
      <c r="G805" s="8"/>
      <c r="H805" s="7"/>
      <c r="I805" s="8"/>
      <c r="J805" s="8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>
      <c r="A806" s="80"/>
      <c r="B806" s="7"/>
      <c r="C806" s="7"/>
      <c r="D806" s="116"/>
      <c r="E806" s="116"/>
      <c r="F806" s="8"/>
      <c r="G806" s="8"/>
      <c r="H806" s="7"/>
      <c r="I806" s="8"/>
      <c r="J806" s="8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>
      <c r="A807" s="80"/>
      <c r="B807" s="7"/>
      <c r="C807" s="7"/>
      <c r="D807" s="116"/>
      <c r="E807" s="116"/>
      <c r="F807" s="8"/>
      <c r="G807" s="8"/>
      <c r="H807" s="7"/>
      <c r="I807" s="8"/>
      <c r="J807" s="8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>
      <c r="A808" s="80"/>
      <c r="B808" s="7"/>
      <c r="C808" s="7"/>
      <c r="D808" s="116"/>
      <c r="E808" s="116"/>
      <c r="F808" s="8"/>
      <c r="G808" s="8"/>
      <c r="H808" s="7"/>
      <c r="I808" s="8"/>
      <c r="J808" s="8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>
      <c r="A809" s="80"/>
      <c r="B809" s="7"/>
      <c r="C809" s="7"/>
      <c r="D809" s="116"/>
      <c r="E809" s="116"/>
      <c r="F809" s="8"/>
      <c r="G809" s="8"/>
      <c r="H809" s="7"/>
      <c r="I809" s="8"/>
      <c r="J809" s="8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>
      <c r="A810" s="80"/>
      <c r="B810" s="7"/>
      <c r="C810" s="7"/>
      <c r="D810" s="116"/>
      <c r="E810" s="116"/>
      <c r="F810" s="8"/>
      <c r="G810" s="8"/>
      <c r="H810" s="7"/>
      <c r="I810" s="8"/>
      <c r="J810" s="8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>
      <c r="A811" s="80"/>
      <c r="B811" s="7"/>
      <c r="C811" s="7"/>
      <c r="D811" s="116"/>
      <c r="E811" s="116"/>
      <c r="F811" s="8"/>
      <c r="G811" s="8"/>
      <c r="H811" s="7"/>
      <c r="I811" s="8"/>
      <c r="J811" s="8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>
      <c r="A812" s="80"/>
      <c r="B812" s="7"/>
      <c r="C812" s="7"/>
      <c r="D812" s="116"/>
      <c r="E812" s="116"/>
      <c r="F812" s="8"/>
      <c r="G812" s="8"/>
      <c r="H812" s="7"/>
      <c r="I812" s="8"/>
      <c r="J812" s="8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>
      <c r="A813" s="80"/>
      <c r="B813" s="7"/>
      <c r="C813" s="7"/>
      <c r="D813" s="116"/>
      <c r="E813" s="116"/>
      <c r="F813" s="8"/>
      <c r="G813" s="8"/>
      <c r="H813" s="7"/>
      <c r="I813" s="8"/>
      <c r="J813" s="8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>
      <c r="A814" s="80"/>
      <c r="B814" s="7"/>
      <c r="C814" s="7"/>
      <c r="D814" s="116"/>
      <c r="E814" s="116"/>
      <c r="F814" s="8"/>
      <c r="G814" s="8"/>
      <c r="H814" s="7"/>
      <c r="I814" s="8"/>
      <c r="J814" s="8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>
      <c r="A815" s="80"/>
      <c r="B815" s="7"/>
      <c r="C815" s="7"/>
      <c r="D815" s="116"/>
      <c r="E815" s="116"/>
      <c r="F815" s="8"/>
      <c r="G815" s="8"/>
      <c r="H815" s="7"/>
      <c r="I815" s="8"/>
      <c r="J815" s="8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>
      <c r="A816" s="80"/>
      <c r="B816" s="7"/>
      <c r="C816" s="7"/>
      <c r="D816" s="116"/>
      <c r="E816" s="116"/>
      <c r="F816" s="8"/>
      <c r="G816" s="8"/>
      <c r="H816" s="7"/>
      <c r="I816" s="8"/>
      <c r="J816" s="8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>
      <c r="A817" s="80"/>
      <c r="B817" s="7"/>
      <c r="C817" s="7"/>
      <c r="D817" s="116"/>
      <c r="E817" s="116"/>
      <c r="F817" s="8"/>
      <c r="G817" s="8"/>
      <c r="H817" s="7"/>
      <c r="I817" s="8"/>
      <c r="J817" s="8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>
      <c r="A818" s="80"/>
      <c r="B818" s="7"/>
      <c r="C818" s="7"/>
      <c r="D818" s="116"/>
      <c r="E818" s="116"/>
      <c r="F818" s="8"/>
      <c r="G818" s="8"/>
      <c r="H818" s="7"/>
      <c r="I818" s="8"/>
      <c r="J818" s="8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>
      <c r="A819" s="80"/>
      <c r="B819" s="7"/>
      <c r="C819" s="7"/>
      <c r="D819" s="116"/>
      <c r="E819" s="116"/>
      <c r="F819" s="8"/>
      <c r="G819" s="8"/>
      <c r="H819" s="7"/>
      <c r="I819" s="8"/>
      <c r="J819" s="8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>
      <c r="A820" s="80"/>
      <c r="B820" s="7"/>
      <c r="C820" s="7"/>
      <c r="D820" s="116"/>
      <c r="E820" s="116"/>
      <c r="F820" s="8"/>
      <c r="G820" s="8"/>
      <c r="H820" s="7"/>
      <c r="I820" s="8"/>
      <c r="J820" s="8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>
      <c r="A821" s="80"/>
      <c r="B821" s="7"/>
      <c r="C821" s="7"/>
      <c r="D821" s="116"/>
      <c r="E821" s="116"/>
      <c r="F821" s="8"/>
      <c r="G821" s="8"/>
      <c r="H821" s="7"/>
      <c r="I821" s="8"/>
      <c r="J821" s="8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>
      <c r="A822" s="80"/>
      <c r="B822" s="7"/>
      <c r="C822" s="7"/>
      <c r="D822" s="116"/>
      <c r="E822" s="116"/>
      <c r="F822" s="8"/>
      <c r="G822" s="8"/>
      <c r="H822" s="7"/>
      <c r="I822" s="8"/>
      <c r="J822" s="8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>
      <c r="A823" s="80"/>
      <c r="B823" s="7"/>
      <c r="C823" s="7"/>
      <c r="D823" s="116"/>
      <c r="E823" s="116"/>
      <c r="F823" s="8"/>
      <c r="G823" s="8"/>
      <c r="H823" s="7"/>
      <c r="I823" s="8"/>
      <c r="J823" s="8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>
      <c r="A824" s="80"/>
      <c r="B824" s="7"/>
      <c r="C824" s="7"/>
      <c r="D824" s="116"/>
      <c r="E824" s="116"/>
      <c r="F824" s="8"/>
      <c r="G824" s="8"/>
      <c r="H824" s="7"/>
      <c r="I824" s="8"/>
      <c r="J824" s="8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>
      <c r="A825" s="80"/>
      <c r="B825" s="7"/>
      <c r="C825" s="7"/>
      <c r="D825" s="116"/>
      <c r="E825" s="116"/>
      <c r="F825" s="8"/>
      <c r="G825" s="8"/>
      <c r="H825" s="7"/>
      <c r="I825" s="8"/>
      <c r="J825" s="8"/>
      <c r="K825" s="80"/>
      <c r="L825" s="80"/>
      <c r="M825" s="7"/>
      <c r="N825" s="7"/>
      <c r="O825" s="7"/>
      <c r="P825" s="7"/>
      <c r="Q825" s="7"/>
      <c r="R825" s="7"/>
      <c r="S825" s="7"/>
      <c r="T825" s="7"/>
      <c r="U825" s="7"/>
    </row>
    <row r="826">
      <c r="A826" s="80"/>
      <c r="B826" s="7"/>
      <c r="C826" s="7"/>
      <c r="D826" s="116"/>
      <c r="E826" s="116"/>
      <c r="F826" s="8"/>
      <c r="G826" s="8"/>
      <c r="H826" s="7"/>
      <c r="I826" s="8"/>
      <c r="J826" s="8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>
      <c r="A827" s="80"/>
      <c r="B827" s="7"/>
      <c r="C827" s="7"/>
      <c r="D827" s="116"/>
      <c r="E827" s="116"/>
      <c r="F827" s="8"/>
      <c r="G827" s="8"/>
      <c r="H827" s="7"/>
      <c r="I827" s="8"/>
      <c r="J827" s="8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>
      <c r="A828" s="80"/>
      <c r="B828" s="7"/>
      <c r="C828" s="7"/>
      <c r="D828" s="116"/>
      <c r="E828" s="116"/>
      <c r="F828" s="8"/>
      <c r="G828" s="8"/>
      <c r="H828" s="7"/>
      <c r="I828" s="8"/>
      <c r="J828" s="8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>
      <c r="A829" s="80"/>
      <c r="B829" s="7"/>
      <c r="C829" s="7"/>
      <c r="D829" s="116"/>
      <c r="E829" s="116"/>
      <c r="F829" s="8"/>
      <c r="G829" s="8"/>
      <c r="H829" s="7"/>
      <c r="I829" s="8"/>
      <c r="J829" s="8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>
      <c r="A830" s="80"/>
      <c r="B830" s="7"/>
      <c r="C830" s="7"/>
      <c r="D830" s="116"/>
      <c r="E830" s="116"/>
      <c r="F830" s="8"/>
      <c r="G830" s="8"/>
      <c r="H830" s="7"/>
      <c r="I830" s="8"/>
      <c r="J830" s="8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>
      <c r="A831" s="80"/>
      <c r="B831" s="7"/>
      <c r="C831" s="7"/>
      <c r="D831" s="116"/>
      <c r="E831" s="116"/>
      <c r="F831" s="8"/>
      <c r="G831" s="8"/>
      <c r="H831" s="7"/>
      <c r="I831" s="8"/>
      <c r="J831" s="8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>
      <c r="A832" s="80"/>
      <c r="B832" s="7"/>
      <c r="C832" s="7"/>
      <c r="D832" s="116"/>
      <c r="E832" s="116"/>
      <c r="F832" s="8"/>
      <c r="G832" s="8"/>
      <c r="H832" s="7"/>
      <c r="I832" s="8"/>
      <c r="J832" s="8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>
      <c r="A833" s="80"/>
      <c r="B833" s="7"/>
      <c r="C833" s="7"/>
      <c r="D833" s="116"/>
      <c r="E833" s="116"/>
      <c r="F833" s="8"/>
      <c r="G833" s="8"/>
      <c r="H833" s="7"/>
      <c r="I833" s="8"/>
      <c r="J833" s="8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>
      <c r="A834" s="80"/>
      <c r="B834" s="7"/>
      <c r="C834" s="7"/>
      <c r="D834" s="116"/>
      <c r="E834" s="116"/>
      <c r="F834" s="8"/>
      <c r="G834" s="8"/>
      <c r="H834" s="7"/>
      <c r="I834" s="8"/>
      <c r="J834" s="8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>
      <c r="A835" s="80"/>
      <c r="B835" s="7"/>
      <c r="C835" s="7"/>
      <c r="D835" s="116"/>
      <c r="E835" s="116"/>
      <c r="F835" s="8"/>
      <c r="G835" s="8"/>
      <c r="H835" s="7"/>
      <c r="I835" s="8"/>
      <c r="J835" s="8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>
      <c r="A836" s="80"/>
      <c r="B836" s="7"/>
      <c r="C836" s="7"/>
      <c r="D836" s="116"/>
      <c r="E836" s="116"/>
      <c r="F836" s="8"/>
      <c r="G836" s="8"/>
      <c r="H836" s="7"/>
      <c r="I836" s="8"/>
      <c r="J836" s="8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>
      <c r="A837" s="80"/>
      <c r="B837" s="7"/>
      <c r="C837" s="7"/>
      <c r="D837" s="116"/>
      <c r="E837" s="116"/>
      <c r="F837" s="8"/>
      <c r="G837" s="8"/>
      <c r="H837" s="7"/>
      <c r="I837" s="8"/>
      <c r="J837" s="8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>
      <c r="A838" s="80"/>
      <c r="B838" s="7"/>
      <c r="C838" s="7"/>
      <c r="D838" s="116"/>
      <c r="E838" s="116"/>
      <c r="F838" s="8"/>
      <c r="G838" s="8"/>
      <c r="H838" s="7"/>
      <c r="I838" s="8"/>
      <c r="J838" s="8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>
      <c r="A839" s="80"/>
      <c r="B839" s="7"/>
      <c r="C839" s="7"/>
      <c r="D839" s="116"/>
      <c r="E839" s="116"/>
      <c r="F839" s="8"/>
      <c r="G839" s="8"/>
      <c r="H839" s="7"/>
      <c r="I839" s="8"/>
      <c r="J839" s="8"/>
      <c r="K839" s="7"/>
      <c r="L839" s="7"/>
      <c r="M839" s="7"/>
      <c r="N839" s="7"/>
      <c r="O839" s="7"/>
      <c r="P839" s="137"/>
      <c r="Q839" s="7"/>
      <c r="R839" s="7"/>
      <c r="S839" s="7"/>
      <c r="T839" s="7"/>
      <c r="U839" s="7"/>
    </row>
    <row r="840">
      <c r="A840" s="80"/>
      <c r="B840" s="7"/>
      <c r="C840" s="7"/>
      <c r="D840" s="116"/>
      <c r="E840" s="116"/>
      <c r="F840" s="8"/>
      <c r="G840" s="8"/>
      <c r="H840" s="7"/>
      <c r="I840" s="8"/>
      <c r="J840" s="8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>
      <c r="A841" s="80"/>
      <c r="B841" s="7"/>
      <c r="C841" s="7"/>
      <c r="D841" s="116"/>
      <c r="E841" s="116"/>
      <c r="F841" s="8"/>
      <c r="G841" s="8"/>
      <c r="H841" s="7"/>
      <c r="I841" s="8"/>
      <c r="J841" s="8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>
      <c r="A842" s="80"/>
      <c r="B842" s="7"/>
      <c r="C842" s="7"/>
      <c r="D842" s="116"/>
      <c r="E842" s="116"/>
      <c r="F842" s="8"/>
      <c r="G842" s="8"/>
      <c r="H842" s="7"/>
      <c r="I842" s="8"/>
      <c r="J842" s="8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>
      <c r="A843" s="80"/>
      <c r="B843" s="7"/>
      <c r="C843" s="7"/>
      <c r="D843" s="116"/>
      <c r="E843" s="116"/>
      <c r="F843" s="8"/>
      <c r="G843" s="8"/>
      <c r="H843" s="7"/>
      <c r="I843" s="8"/>
      <c r="J843" s="8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>
      <c r="A844" s="80"/>
      <c r="B844" s="7"/>
      <c r="C844" s="7"/>
      <c r="D844" s="116"/>
      <c r="E844" s="116"/>
      <c r="F844" s="8"/>
      <c r="G844" s="8"/>
      <c r="H844" s="7"/>
      <c r="I844" s="8"/>
      <c r="J844" s="8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>
      <c r="A845" s="80"/>
      <c r="B845" s="7"/>
      <c r="C845" s="7"/>
      <c r="D845" s="116"/>
      <c r="E845" s="116"/>
      <c r="F845" s="8"/>
      <c r="G845" s="8"/>
      <c r="H845" s="7"/>
      <c r="I845" s="8"/>
      <c r="J845" s="8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>
      <c r="A846" s="80"/>
      <c r="B846" s="7"/>
      <c r="C846" s="7"/>
      <c r="D846" s="116"/>
      <c r="E846" s="116"/>
      <c r="F846" s="8"/>
      <c r="G846" s="8"/>
      <c r="H846" s="7"/>
      <c r="I846" s="8"/>
      <c r="J846" s="8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>
      <c r="A847" s="80"/>
      <c r="B847" s="7"/>
      <c r="C847" s="7"/>
      <c r="D847" s="116"/>
      <c r="E847" s="116"/>
      <c r="F847" s="8"/>
      <c r="G847" s="8"/>
      <c r="H847" s="7"/>
      <c r="I847" s="8"/>
      <c r="J847" s="8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>
      <c r="A848" s="80"/>
      <c r="B848" s="7"/>
      <c r="C848" s="7"/>
      <c r="D848" s="116"/>
      <c r="E848" s="116"/>
      <c r="F848" s="8"/>
      <c r="G848" s="8"/>
      <c r="H848" s="7"/>
      <c r="I848" s="8"/>
      <c r="J848" s="8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>
      <c r="A849" s="80"/>
      <c r="B849" s="7"/>
      <c r="C849" s="7"/>
      <c r="D849" s="116"/>
      <c r="E849" s="116"/>
      <c r="F849" s="8"/>
      <c r="G849" s="8"/>
      <c r="H849" s="7"/>
      <c r="I849" s="8"/>
      <c r="J849" s="8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>
      <c r="A850" s="80"/>
      <c r="B850" s="7"/>
      <c r="C850" s="7"/>
      <c r="D850" s="116"/>
      <c r="E850" s="116"/>
      <c r="F850" s="8"/>
      <c r="G850" s="8"/>
      <c r="H850" s="7"/>
      <c r="I850" s="8"/>
      <c r="J850" s="8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>
      <c r="A851" s="80"/>
      <c r="B851" s="7"/>
      <c r="C851" s="7"/>
      <c r="D851" s="116"/>
      <c r="E851" s="116"/>
      <c r="F851" s="8"/>
      <c r="G851" s="8"/>
      <c r="H851" s="7"/>
      <c r="I851" s="8"/>
      <c r="J851" s="8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>
      <c r="A852" s="80"/>
      <c r="B852" s="7"/>
      <c r="C852" s="7"/>
      <c r="D852" s="116"/>
      <c r="E852" s="116"/>
      <c r="F852" s="8"/>
      <c r="G852" s="8"/>
      <c r="H852" s="7"/>
      <c r="I852" s="8"/>
      <c r="J852" s="8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>
      <c r="A853" s="80"/>
      <c r="B853" s="7"/>
      <c r="C853" s="7"/>
      <c r="D853" s="116"/>
      <c r="E853" s="116"/>
      <c r="F853" s="8"/>
      <c r="G853" s="8"/>
      <c r="H853" s="7"/>
      <c r="I853" s="8"/>
      <c r="J853" s="8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>
      <c r="A854" s="80"/>
      <c r="B854" s="7"/>
      <c r="C854" s="7"/>
      <c r="D854" s="116"/>
      <c r="E854" s="116"/>
      <c r="F854" s="8"/>
      <c r="G854" s="8"/>
      <c r="H854" s="7"/>
      <c r="I854" s="8"/>
      <c r="J854" s="8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>
      <c r="A855" s="80"/>
      <c r="B855" s="7"/>
      <c r="C855" s="7"/>
      <c r="D855" s="116"/>
      <c r="E855" s="116"/>
      <c r="F855" s="8"/>
      <c r="G855" s="8"/>
      <c r="H855" s="7"/>
      <c r="I855" s="8"/>
      <c r="J855" s="8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>
      <c r="A856" s="80"/>
      <c r="B856" s="7"/>
      <c r="C856" s="7"/>
      <c r="D856" s="116"/>
      <c r="E856" s="116"/>
      <c r="F856" s="8"/>
      <c r="G856" s="8"/>
      <c r="H856" s="7"/>
      <c r="I856" s="8"/>
      <c r="J856" s="8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>
      <c r="A857" s="80"/>
      <c r="B857" s="7"/>
      <c r="C857" s="7"/>
      <c r="D857" s="116"/>
      <c r="E857" s="116"/>
      <c r="F857" s="8"/>
      <c r="G857" s="8"/>
      <c r="H857" s="7"/>
      <c r="I857" s="8"/>
      <c r="J857" s="8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>
      <c r="A858" s="80"/>
      <c r="B858" s="7"/>
      <c r="C858" s="7"/>
      <c r="D858" s="116"/>
      <c r="E858" s="116"/>
      <c r="F858" s="8"/>
      <c r="G858" s="8"/>
      <c r="H858" s="7"/>
      <c r="I858" s="8"/>
      <c r="J858" s="8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>
      <c r="A859" s="80"/>
      <c r="B859" s="7"/>
      <c r="C859" s="7"/>
      <c r="D859" s="116"/>
      <c r="E859" s="116"/>
      <c r="F859" s="8"/>
      <c r="G859" s="8"/>
      <c r="H859" s="7"/>
      <c r="I859" s="8"/>
      <c r="J859" s="8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>
      <c r="A860" s="80"/>
      <c r="B860" s="7"/>
      <c r="C860" s="7"/>
      <c r="D860" s="116"/>
      <c r="E860" s="116"/>
      <c r="F860" s="8"/>
      <c r="G860" s="8"/>
      <c r="H860" s="7"/>
      <c r="I860" s="8"/>
      <c r="J860" s="8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>
      <c r="A861" s="80"/>
      <c r="B861" s="7"/>
      <c r="C861" s="7"/>
      <c r="D861" s="116"/>
      <c r="E861" s="116"/>
      <c r="F861" s="8"/>
      <c r="G861" s="8"/>
      <c r="H861" s="7"/>
      <c r="I861" s="8"/>
      <c r="J861" s="8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>
      <c r="A862" s="80"/>
      <c r="B862" s="7"/>
      <c r="C862" s="7"/>
      <c r="D862" s="116"/>
      <c r="E862" s="116"/>
      <c r="F862" s="8"/>
      <c r="G862" s="8"/>
      <c r="H862" s="7"/>
      <c r="I862" s="8"/>
      <c r="J862" s="8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>
      <c r="A863" s="80"/>
      <c r="B863" s="7"/>
      <c r="C863" s="7"/>
      <c r="D863" s="116"/>
      <c r="E863" s="116"/>
      <c r="F863" s="8"/>
      <c r="G863" s="8"/>
      <c r="H863" s="7"/>
      <c r="I863" s="8"/>
      <c r="J863" s="8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>
      <c r="A864" s="80"/>
      <c r="B864" s="7"/>
      <c r="C864" s="7"/>
      <c r="D864" s="116"/>
      <c r="E864" s="116"/>
      <c r="F864" s="8"/>
      <c r="G864" s="8"/>
      <c r="H864" s="7"/>
      <c r="I864" s="8"/>
      <c r="J864" s="8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>
      <c r="A865" s="80"/>
      <c r="B865" s="7"/>
      <c r="C865" s="7"/>
      <c r="D865" s="116"/>
      <c r="E865" s="116"/>
      <c r="F865" s="8"/>
      <c r="G865" s="8"/>
      <c r="H865" s="7"/>
      <c r="I865" s="8"/>
      <c r="J865" s="8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>
      <c r="A866" s="80"/>
      <c r="B866" s="7"/>
      <c r="C866" s="7"/>
      <c r="D866" s="116"/>
      <c r="E866" s="116"/>
      <c r="F866" s="8"/>
      <c r="G866" s="8"/>
      <c r="H866" s="7"/>
      <c r="I866" s="8"/>
      <c r="J866" s="8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>
      <c r="A867" s="80"/>
      <c r="B867" s="7"/>
      <c r="C867" s="7"/>
      <c r="D867" s="116"/>
      <c r="E867" s="116"/>
      <c r="F867" s="8"/>
      <c r="G867" s="8"/>
      <c r="H867" s="7"/>
      <c r="I867" s="8"/>
      <c r="J867" s="8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>
      <c r="A868" s="80"/>
      <c r="B868" s="7"/>
      <c r="C868" s="7"/>
      <c r="D868" s="116"/>
      <c r="E868" s="116"/>
      <c r="F868" s="8"/>
      <c r="G868" s="8"/>
      <c r="H868" s="7"/>
      <c r="I868" s="8"/>
      <c r="J868" s="8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>
      <c r="A869" s="80"/>
      <c r="B869" s="7"/>
      <c r="C869" s="7"/>
      <c r="D869" s="116"/>
      <c r="E869" s="116"/>
      <c r="F869" s="8"/>
      <c r="G869" s="8"/>
      <c r="H869" s="7"/>
      <c r="I869" s="8"/>
      <c r="J869" s="8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>
      <c r="A870" s="80"/>
      <c r="B870" s="7"/>
      <c r="C870" s="7"/>
      <c r="D870" s="116"/>
      <c r="E870" s="116"/>
      <c r="F870" s="8"/>
      <c r="G870" s="8"/>
      <c r="H870" s="7"/>
      <c r="I870" s="8"/>
      <c r="J870" s="8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>
      <c r="A871" s="80"/>
      <c r="B871" s="7"/>
      <c r="C871" s="7"/>
      <c r="D871" s="116"/>
      <c r="E871" s="116"/>
      <c r="F871" s="8"/>
      <c r="G871" s="8"/>
      <c r="H871" s="7"/>
      <c r="I871" s="8"/>
      <c r="J871" s="8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>
      <c r="A872" s="80"/>
      <c r="B872" s="7"/>
      <c r="C872" s="7"/>
      <c r="D872" s="116"/>
      <c r="E872" s="116"/>
      <c r="F872" s="8"/>
      <c r="G872" s="8"/>
      <c r="H872" s="7"/>
      <c r="I872" s="8"/>
      <c r="J872" s="8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>
      <c r="A873" s="80"/>
      <c r="B873" s="7"/>
      <c r="C873" s="7"/>
      <c r="D873" s="116"/>
      <c r="E873" s="116"/>
      <c r="F873" s="8"/>
      <c r="G873" s="8"/>
      <c r="H873" s="7"/>
      <c r="I873" s="8"/>
      <c r="J873" s="8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>
      <c r="A874" s="80"/>
      <c r="B874" s="7"/>
      <c r="C874" s="7"/>
      <c r="D874" s="116"/>
      <c r="E874" s="116"/>
      <c r="F874" s="8"/>
      <c r="G874" s="8"/>
      <c r="H874" s="7"/>
      <c r="I874" s="8"/>
      <c r="J874" s="8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>
      <c r="A875" s="80"/>
      <c r="B875" s="7"/>
      <c r="C875" s="7"/>
      <c r="D875" s="116"/>
      <c r="E875" s="116"/>
      <c r="F875" s="8"/>
      <c r="G875" s="8"/>
      <c r="H875" s="7"/>
      <c r="I875" s="8"/>
      <c r="J875" s="8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>
      <c r="A876" s="80"/>
      <c r="B876" s="7"/>
      <c r="C876" s="7"/>
      <c r="D876" s="116"/>
      <c r="E876" s="116"/>
      <c r="F876" s="8"/>
      <c r="G876" s="8"/>
      <c r="H876" s="7"/>
      <c r="I876" s="8"/>
      <c r="J876" s="8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>
      <c r="A877" s="80"/>
      <c r="B877" s="7"/>
      <c r="C877" s="7"/>
      <c r="D877" s="116"/>
      <c r="E877" s="116"/>
      <c r="F877" s="8"/>
      <c r="G877" s="8"/>
      <c r="H877" s="7"/>
      <c r="I877" s="8"/>
      <c r="J877" s="8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>
      <c r="A878" s="80"/>
      <c r="B878" s="7"/>
      <c r="C878" s="7"/>
      <c r="D878" s="116"/>
      <c r="E878" s="116"/>
      <c r="F878" s="8"/>
      <c r="G878" s="8"/>
      <c r="H878" s="7"/>
      <c r="I878" s="8"/>
      <c r="J878" s="8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>
      <c r="A879" s="80"/>
      <c r="B879" s="7"/>
      <c r="C879" s="7"/>
      <c r="D879" s="116"/>
      <c r="E879" s="116"/>
      <c r="F879" s="8"/>
      <c r="G879" s="8"/>
      <c r="H879" s="7"/>
      <c r="I879" s="8"/>
      <c r="J879" s="8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>
      <c r="A880" s="80"/>
      <c r="B880" s="7"/>
      <c r="C880" s="7"/>
      <c r="D880" s="116"/>
      <c r="E880" s="116"/>
      <c r="F880" s="8"/>
      <c r="G880" s="8"/>
      <c r="H880" s="7"/>
      <c r="I880" s="8"/>
      <c r="J880" s="8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>
      <c r="A881" s="80"/>
      <c r="B881" s="7"/>
      <c r="C881" s="7"/>
      <c r="D881" s="116"/>
      <c r="E881" s="116"/>
      <c r="F881" s="8"/>
      <c r="G881" s="8"/>
      <c r="H881" s="7"/>
      <c r="I881" s="8"/>
      <c r="J881" s="8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>
      <c r="A882" s="80"/>
      <c r="B882" s="7"/>
      <c r="C882" s="7"/>
      <c r="D882" s="116"/>
      <c r="E882" s="116"/>
      <c r="F882" s="8"/>
      <c r="G882" s="8"/>
      <c r="H882" s="7"/>
      <c r="I882" s="8"/>
      <c r="J882" s="8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>
      <c r="A883" s="80"/>
      <c r="B883" s="7"/>
      <c r="C883" s="7"/>
      <c r="D883" s="116"/>
      <c r="E883" s="116"/>
      <c r="F883" s="8"/>
      <c r="G883" s="8"/>
      <c r="H883" s="7"/>
      <c r="I883" s="8"/>
      <c r="J883" s="8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>
      <c r="A884" s="80"/>
      <c r="B884" s="7"/>
      <c r="C884" s="7"/>
      <c r="D884" s="116"/>
      <c r="E884" s="116"/>
      <c r="F884" s="8"/>
      <c r="G884" s="8"/>
      <c r="H884" s="7"/>
      <c r="I884" s="8"/>
      <c r="J884" s="8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>
      <c r="A885" s="80"/>
      <c r="B885" s="7"/>
      <c r="C885" s="7"/>
      <c r="D885" s="116"/>
      <c r="E885" s="116"/>
      <c r="F885" s="8"/>
      <c r="G885" s="8"/>
      <c r="H885" s="7"/>
      <c r="I885" s="8"/>
      <c r="J885" s="8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>
      <c r="A886" s="80"/>
      <c r="B886" s="7"/>
      <c r="C886" s="7"/>
      <c r="D886" s="116"/>
      <c r="E886" s="116"/>
      <c r="F886" s="8"/>
      <c r="G886" s="8"/>
      <c r="H886" s="7"/>
      <c r="I886" s="8"/>
      <c r="J886" s="8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>
      <c r="A887" s="80"/>
      <c r="B887" s="7"/>
      <c r="C887" s="7"/>
      <c r="D887" s="116"/>
      <c r="E887" s="116"/>
      <c r="F887" s="8"/>
      <c r="G887" s="8"/>
      <c r="H887" s="7"/>
      <c r="I887" s="8"/>
      <c r="J887" s="8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>
      <c r="A888" s="80"/>
      <c r="B888" s="7"/>
      <c r="C888" s="7"/>
      <c r="D888" s="116"/>
      <c r="E888" s="116"/>
      <c r="F888" s="8"/>
      <c r="G888" s="8"/>
      <c r="H888" s="7"/>
      <c r="I888" s="8"/>
      <c r="J888" s="8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>
      <c r="A889" s="80"/>
      <c r="B889" s="7"/>
      <c r="C889" s="7"/>
      <c r="D889" s="116"/>
      <c r="E889" s="116"/>
      <c r="F889" s="8"/>
      <c r="G889" s="8"/>
      <c r="H889" s="7"/>
      <c r="I889" s="8"/>
      <c r="J889" s="8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>
      <c r="A890" s="80"/>
      <c r="B890" s="7"/>
      <c r="C890" s="7"/>
      <c r="D890" s="116"/>
      <c r="E890" s="116"/>
      <c r="F890" s="8"/>
      <c r="G890" s="8"/>
      <c r="H890" s="7"/>
      <c r="I890" s="8"/>
      <c r="J890" s="8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>
      <c r="A891" s="80"/>
      <c r="B891" s="7"/>
      <c r="C891" s="7"/>
      <c r="D891" s="116"/>
      <c r="E891" s="116"/>
      <c r="F891" s="8"/>
      <c r="G891" s="8"/>
      <c r="H891" s="7"/>
      <c r="I891" s="8"/>
      <c r="J891" s="8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>
      <c r="A892" s="80"/>
      <c r="B892" s="7"/>
      <c r="C892" s="7"/>
      <c r="D892" s="116"/>
      <c r="E892" s="116"/>
      <c r="F892" s="8"/>
      <c r="G892" s="8"/>
      <c r="H892" s="7"/>
      <c r="I892" s="8"/>
      <c r="J892" s="8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>
      <c r="A893" s="80"/>
      <c r="B893" s="7"/>
      <c r="C893" s="7"/>
      <c r="D893" s="116"/>
      <c r="E893" s="116"/>
      <c r="F893" s="8"/>
      <c r="G893" s="8"/>
      <c r="H893" s="7"/>
      <c r="I893" s="8"/>
      <c r="J893" s="8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>
      <c r="A894" s="80"/>
      <c r="B894" s="7"/>
      <c r="C894" s="7"/>
      <c r="D894" s="116"/>
      <c r="E894" s="116"/>
      <c r="F894" s="8"/>
      <c r="G894" s="8"/>
      <c r="H894" s="7"/>
      <c r="I894" s="8"/>
      <c r="J894" s="8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>
      <c r="A895" s="80"/>
      <c r="B895" s="7"/>
      <c r="C895" s="7"/>
      <c r="D895" s="116"/>
      <c r="E895" s="116"/>
      <c r="F895" s="8"/>
      <c r="G895" s="8"/>
      <c r="H895" s="7"/>
      <c r="I895" s="8"/>
      <c r="J895" s="8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>
      <c r="A896" s="80"/>
      <c r="B896" s="7"/>
      <c r="C896" s="7"/>
      <c r="D896" s="116"/>
      <c r="E896" s="116"/>
      <c r="F896" s="8"/>
      <c r="G896" s="8"/>
      <c r="H896" s="7"/>
      <c r="I896" s="8"/>
      <c r="J896" s="8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>
      <c r="A897" s="80"/>
      <c r="B897" s="7"/>
      <c r="C897" s="7"/>
      <c r="D897" s="116"/>
      <c r="E897" s="116"/>
      <c r="F897" s="8"/>
      <c r="G897" s="8"/>
      <c r="H897" s="7"/>
      <c r="I897" s="8"/>
      <c r="J897" s="8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>
      <c r="A898" s="80"/>
      <c r="B898" s="7"/>
      <c r="C898" s="7"/>
      <c r="D898" s="116"/>
      <c r="E898" s="116"/>
      <c r="F898" s="8"/>
      <c r="G898" s="8"/>
      <c r="H898" s="7"/>
      <c r="I898" s="8"/>
      <c r="J898" s="8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>
      <c r="A899" s="80"/>
      <c r="B899" s="7"/>
      <c r="C899" s="7"/>
      <c r="D899" s="116"/>
      <c r="E899" s="116"/>
      <c r="F899" s="8"/>
      <c r="G899" s="8"/>
      <c r="H899" s="7"/>
      <c r="I899" s="8"/>
      <c r="J899" s="8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>
      <c r="A900" s="80"/>
      <c r="B900" s="7"/>
      <c r="C900" s="7"/>
      <c r="D900" s="116"/>
      <c r="E900" s="116"/>
      <c r="F900" s="8"/>
      <c r="G900" s="8"/>
      <c r="H900" s="7"/>
      <c r="I900" s="8"/>
      <c r="J900" s="8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>
      <c r="A901" s="80"/>
      <c r="B901" s="7"/>
      <c r="C901" s="7"/>
      <c r="D901" s="116"/>
      <c r="E901" s="116"/>
      <c r="F901" s="8"/>
      <c r="G901" s="8"/>
      <c r="H901" s="7"/>
      <c r="I901" s="8"/>
      <c r="J901" s="8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>
      <c r="A902" s="80"/>
      <c r="B902" s="7"/>
      <c r="C902" s="7"/>
      <c r="D902" s="116"/>
      <c r="E902" s="116"/>
      <c r="F902" s="8"/>
      <c r="G902" s="8"/>
      <c r="H902" s="7"/>
      <c r="I902" s="8"/>
      <c r="J902" s="8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>
      <c r="A903" s="80"/>
      <c r="B903" s="7"/>
      <c r="C903" s="7"/>
      <c r="D903" s="116"/>
      <c r="E903" s="116"/>
      <c r="F903" s="8"/>
      <c r="G903" s="8"/>
      <c r="H903" s="7"/>
      <c r="I903" s="8"/>
      <c r="J903" s="8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>
      <c r="A904" s="80"/>
      <c r="B904" s="7"/>
      <c r="C904" s="7"/>
      <c r="D904" s="116"/>
      <c r="E904" s="116"/>
      <c r="F904" s="8"/>
      <c r="G904" s="8"/>
      <c r="H904" s="7"/>
      <c r="I904" s="8"/>
      <c r="J904" s="8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>
      <c r="A905" s="80"/>
      <c r="B905" s="7"/>
      <c r="C905" s="7"/>
      <c r="D905" s="116"/>
      <c r="E905" s="116"/>
      <c r="F905" s="8"/>
      <c r="G905" s="8"/>
      <c r="H905" s="7"/>
      <c r="I905" s="8"/>
      <c r="J905" s="8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>
      <c r="A906" s="80"/>
      <c r="B906" s="7"/>
      <c r="C906" s="7"/>
      <c r="D906" s="116"/>
      <c r="E906" s="116"/>
      <c r="F906" s="8"/>
      <c r="G906" s="8"/>
      <c r="H906" s="7"/>
      <c r="I906" s="8"/>
      <c r="J906" s="8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>
      <c r="A907" s="80"/>
      <c r="B907" s="7"/>
      <c r="C907" s="7"/>
      <c r="D907" s="116"/>
      <c r="E907" s="116"/>
      <c r="F907" s="8"/>
      <c r="G907" s="8"/>
      <c r="H907" s="7"/>
      <c r="I907" s="8"/>
      <c r="J907" s="8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>
      <c r="A908" s="80"/>
      <c r="B908" s="7"/>
      <c r="C908" s="7"/>
      <c r="D908" s="116"/>
      <c r="E908" s="116"/>
      <c r="F908" s="8"/>
      <c r="G908" s="8"/>
      <c r="H908" s="7"/>
      <c r="I908" s="8"/>
      <c r="J908" s="8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>
      <c r="A909" s="80"/>
      <c r="B909" s="7"/>
      <c r="C909" s="7"/>
      <c r="D909" s="116"/>
      <c r="E909" s="116"/>
      <c r="F909" s="8"/>
      <c r="G909" s="8"/>
      <c r="H909" s="7"/>
      <c r="I909" s="8"/>
      <c r="J909" s="8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>
      <c r="A910" s="80"/>
      <c r="B910" s="7"/>
      <c r="C910" s="7"/>
      <c r="D910" s="116"/>
      <c r="E910" s="116"/>
      <c r="F910" s="8"/>
      <c r="G910" s="8"/>
      <c r="H910" s="7"/>
      <c r="I910" s="8"/>
      <c r="J910" s="8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>
      <c r="A911" s="80"/>
      <c r="B911" s="7"/>
      <c r="C911" s="7"/>
      <c r="D911" s="116"/>
      <c r="E911" s="116"/>
      <c r="F911" s="8"/>
      <c r="G911" s="8"/>
      <c r="H911" s="7"/>
      <c r="I911" s="8"/>
      <c r="J911" s="8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>
      <c r="A912" s="80"/>
      <c r="B912" s="7"/>
      <c r="C912" s="7"/>
      <c r="D912" s="116"/>
      <c r="E912" s="116"/>
      <c r="F912" s="8"/>
      <c r="G912" s="8"/>
      <c r="H912" s="7"/>
      <c r="I912" s="8"/>
      <c r="J912" s="8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>
      <c r="A913" s="80"/>
      <c r="B913" s="7"/>
      <c r="C913" s="7"/>
      <c r="D913" s="116"/>
      <c r="E913" s="116"/>
      <c r="F913" s="8"/>
      <c r="G913" s="8"/>
      <c r="H913" s="7"/>
      <c r="I913" s="8"/>
      <c r="J913" s="8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>
      <c r="A914" s="80"/>
      <c r="B914" s="7"/>
      <c r="C914" s="7"/>
      <c r="D914" s="116"/>
      <c r="E914" s="116"/>
      <c r="F914" s="8"/>
      <c r="G914" s="8"/>
      <c r="H914" s="7"/>
      <c r="I914" s="8"/>
      <c r="J914" s="8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>
      <c r="A915" s="80"/>
      <c r="B915" s="7"/>
      <c r="C915" s="7"/>
      <c r="D915" s="116"/>
      <c r="E915" s="116"/>
      <c r="F915" s="8"/>
      <c r="G915" s="8"/>
      <c r="H915" s="7"/>
      <c r="I915" s="8"/>
      <c r="J915" s="8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>
      <c r="A916" s="80"/>
      <c r="B916" s="7"/>
      <c r="C916" s="7"/>
      <c r="D916" s="116"/>
      <c r="E916" s="116"/>
      <c r="F916" s="8"/>
      <c r="G916" s="8"/>
      <c r="H916" s="7"/>
      <c r="I916" s="8"/>
      <c r="J916" s="8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>
      <c r="A917" s="80"/>
      <c r="B917" s="7"/>
      <c r="C917" s="7"/>
      <c r="D917" s="116"/>
      <c r="E917" s="116"/>
      <c r="F917" s="8"/>
      <c r="G917" s="8"/>
      <c r="H917" s="7"/>
      <c r="I917" s="8"/>
      <c r="J917" s="8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>
      <c r="A918" s="80"/>
      <c r="B918" s="7"/>
      <c r="C918" s="7"/>
      <c r="D918" s="116"/>
      <c r="E918" s="116"/>
      <c r="F918" s="8"/>
      <c r="G918" s="8"/>
      <c r="H918" s="7"/>
      <c r="I918" s="8"/>
      <c r="J918" s="8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>
      <c r="A919" s="80"/>
      <c r="B919" s="7"/>
      <c r="C919" s="7"/>
      <c r="D919" s="116"/>
      <c r="E919" s="116"/>
      <c r="F919" s="8"/>
      <c r="G919" s="8"/>
      <c r="H919" s="7"/>
      <c r="I919" s="8"/>
      <c r="J919" s="8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>
      <c r="A920" s="80"/>
      <c r="B920" s="7"/>
      <c r="C920" s="7"/>
      <c r="D920" s="116"/>
      <c r="E920" s="116"/>
      <c r="F920" s="8"/>
      <c r="G920" s="8"/>
      <c r="H920" s="7"/>
      <c r="I920" s="8"/>
      <c r="J920" s="8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>
      <c r="A921" s="80"/>
      <c r="B921" s="7"/>
      <c r="C921" s="7"/>
      <c r="D921" s="116"/>
      <c r="E921" s="116"/>
      <c r="F921" s="8"/>
      <c r="G921" s="8"/>
      <c r="H921" s="7"/>
      <c r="I921" s="8"/>
      <c r="J921" s="8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>
      <c r="A922" s="80"/>
      <c r="B922" s="7"/>
      <c r="C922" s="7"/>
      <c r="D922" s="116"/>
      <c r="E922" s="116"/>
      <c r="F922" s="8"/>
      <c r="G922" s="8"/>
      <c r="H922" s="7"/>
      <c r="I922" s="8"/>
      <c r="J922" s="8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>
      <c r="A923" s="80"/>
      <c r="B923" s="7"/>
      <c r="C923" s="7"/>
      <c r="D923" s="116"/>
      <c r="E923" s="116"/>
      <c r="F923" s="8"/>
      <c r="G923" s="8"/>
      <c r="H923" s="7"/>
      <c r="I923" s="8"/>
      <c r="J923" s="8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>
      <c r="A924" s="80"/>
      <c r="B924" s="7"/>
      <c r="C924" s="7"/>
      <c r="D924" s="116"/>
      <c r="E924" s="116"/>
      <c r="F924" s="8"/>
      <c r="G924" s="8"/>
      <c r="H924" s="7"/>
      <c r="I924" s="8"/>
      <c r="J924" s="8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>
      <c r="A925" s="80"/>
      <c r="B925" s="7"/>
      <c r="C925" s="7"/>
      <c r="D925" s="116"/>
      <c r="E925" s="116"/>
      <c r="F925" s="8"/>
      <c r="G925" s="8"/>
      <c r="H925" s="7"/>
      <c r="I925" s="8"/>
      <c r="J925" s="8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>
      <c r="A926" s="80"/>
      <c r="B926" s="7"/>
      <c r="C926" s="7"/>
      <c r="D926" s="116"/>
      <c r="E926" s="116"/>
      <c r="F926" s="8"/>
      <c r="G926" s="8"/>
      <c r="H926" s="7"/>
      <c r="I926" s="8"/>
      <c r="J926" s="8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>
      <c r="A927" s="80"/>
      <c r="B927" s="7"/>
      <c r="C927" s="7"/>
      <c r="D927" s="116"/>
      <c r="E927" s="116"/>
      <c r="F927" s="8"/>
      <c r="G927" s="8"/>
      <c r="H927" s="7"/>
      <c r="I927" s="8"/>
      <c r="J927" s="8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>
      <c r="A928" s="80"/>
      <c r="B928" s="7"/>
      <c r="C928" s="7"/>
      <c r="D928" s="116"/>
      <c r="E928" s="116"/>
      <c r="F928" s="8"/>
      <c r="G928" s="8"/>
      <c r="H928" s="7"/>
      <c r="I928" s="8"/>
      <c r="J928" s="8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>
      <c r="A929" s="80"/>
      <c r="B929" s="7"/>
      <c r="C929" s="7"/>
      <c r="D929" s="116"/>
      <c r="E929" s="116"/>
      <c r="F929" s="8"/>
      <c r="G929" s="8"/>
      <c r="H929" s="7"/>
      <c r="I929" s="8"/>
      <c r="J929" s="8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>
      <c r="A930" s="80"/>
      <c r="B930" s="7"/>
      <c r="C930" s="7"/>
      <c r="D930" s="116"/>
      <c r="E930" s="116"/>
      <c r="F930" s="8"/>
      <c r="G930" s="8"/>
      <c r="H930" s="7"/>
      <c r="I930" s="8"/>
      <c r="J930" s="8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>
      <c r="A931" s="80"/>
      <c r="B931" s="7"/>
      <c r="C931" s="7"/>
      <c r="D931" s="116"/>
      <c r="E931" s="116"/>
      <c r="F931" s="8"/>
      <c r="G931" s="8"/>
      <c r="H931" s="7"/>
      <c r="I931" s="8"/>
      <c r="J931" s="8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>
      <c r="A932" s="80"/>
      <c r="B932" s="7"/>
      <c r="C932" s="7"/>
      <c r="D932" s="116"/>
      <c r="E932" s="116"/>
      <c r="F932" s="8"/>
      <c r="G932" s="8"/>
      <c r="H932" s="7"/>
      <c r="I932" s="8"/>
      <c r="J932" s="8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>
      <c r="A933" s="80"/>
      <c r="B933" s="7"/>
      <c r="C933" s="7"/>
      <c r="D933" s="116"/>
      <c r="E933" s="116"/>
      <c r="F933" s="8"/>
      <c r="G933" s="8"/>
      <c r="H933" s="7"/>
      <c r="I933" s="8"/>
      <c r="J933" s="8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>
      <c r="A934" s="80"/>
      <c r="B934" s="7"/>
      <c r="C934" s="7"/>
      <c r="D934" s="116"/>
      <c r="E934" s="116"/>
      <c r="F934" s="8"/>
      <c r="G934" s="8"/>
      <c r="H934" s="7"/>
      <c r="I934" s="8"/>
      <c r="J934" s="8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>
      <c r="A935" s="80"/>
      <c r="B935" s="7"/>
      <c r="C935" s="7"/>
      <c r="D935" s="116"/>
      <c r="E935" s="116"/>
      <c r="F935" s="8"/>
      <c r="G935" s="8"/>
      <c r="H935" s="7"/>
      <c r="I935" s="8"/>
      <c r="J935" s="8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>
      <c r="A936" s="80"/>
      <c r="B936" s="7"/>
      <c r="C936" s="7"/>
      <c r="D936" s="116"/>
      <c r="E936" s="116"/>
      <c r="F936" s="8"/>
      <c r="G936" s="8"/>
      <c r="H936" s="7"/>
      <c r="I936" s="8"/>
      <c r="J936" s="8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>
      <c r="A937" s="80"/>
      <c r="B937" s="7"/>
      <c r="C937" s="7"/>
      <c r="D937" s="116"/>
      <c r="E937" s="116"/>
      <c r="F937" s="8"/>
      <c r="G937" s="8"/>
      <c r="H937" s="7"/>
      <c r="I937" s="8"/>
      <c r="J937" s="8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>
      <c r="A938" s="80"/>
      <c r="B938" s="7"/>
      <c r="C938" s="7"/>
      <c r="D938" s="116"/>
      <c r="E938" s="116"/>
      <c r="F938" s="8"/>
      <c r="G938" s="8"/>
      <c r="H938" s="7"/>
      <c r="I938" s="8"/>
      <c r="J938" s="8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>
      <c r="A939" s="80"/>
      <c r="B939" s="7"/>
      <c r="C939" s="7"/>
      <c r="D939" s="116"/>
      <c r="E939" s="116"/>
      <c r="F939" s="8"/>
      <c r="G939" s="8"/>
      <c r="H939" s="7"/>
      <c r="I939" s="8"/>
      <c r="J939" s="8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>
      <c r="A940" s="80"/>
      <c r="B940" s="7"/>
      <c r="C940" s="7"/>
      <c r="D940" s="116"/>
      <c r="E940" s="116"/>
      <c r="F940" s="8"/>
      <c r="G940" s="8"/>
      <c r="H940" s="7"/>
      <c r="I940" s="8"/>
      <c r="J940" s="8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>
      <c r="A941" s="80"/>
      <c r="B941" s="7"/>
      <c r="C941" s="7"/>
      <c r="D941" s="116"/>
      <c r="E941" s="116"/>
      <c r="F941" s="8"/>
      <c r="G941" s="8"/>
      <c r="H941" s="7"/>
      <c r="I941" s="8"/>
      <c r="J941" s="8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>
      <c r="A942" s="80"/>
      <c r="B942" s="7"/>
      <c r="C942" s="7"/>
      <c r="D942" s="116"/>
      <c r="E942" s="116"/>
      <c r="F942" s="8"/>
      <c r="G942" s="8"/>
      <c r="H942" s="7"/>
      <c r="I942" s="8"/>
      <c r="J942" s="8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>
      <c r="A943" s="80"/>
      <c r="B943" s="7"/>
      <c r="C943" s="7"/>
      <c r="D943" s="116"/>
      <c r="E943" s="116"/>
      <c r="F943" s="8"/>
      <c r="G943" s="8"/>
      <c r="H943" s="7"/>
      <c r="I943" s="8"/>
      <c r="J943" s="8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>
      <c r="A944" s="80"/>
      <c r="B944" s="7"/>
      <c r="C944" s="7"/>
      <c r="D944" s="116"/>
      <c r="E944" s="116"/>
      <c r="F944" s="8"/>
      <c r="G944" s="8"/>
      <c r="H944" s="7"/>
      <c r="I944" s="8"/>
      <c r="J944" s="8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>
      <c r="A945" s="80"/>
      <c r="B945" s="7"/>
      <c r="C945" s="7"/>
      <c r="D945" s="116"/>
      <c r="E945" s="116"/>
      <c r="F945" s="8"/>
      <c r="G945" s="8"/>
      <c r="H945" s="7"/>
      <c r="I945" s="8"/>
      <c r="J945" s="8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>
      <c r="A946" s="80"/>
      <c r="B946" s="7"/>
      <c r="C946" s="7"/>
      <c r="D946" s="116"/>
      <c r="E946" s="116"/>
      <c r="F946" s="8"/>
      <c r="G946" s="8"/>
      <c r="H946" s="7"/>
      <c r="I946" s="8"/>
      <c r="J946" s="8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>
      <c r="A947" s="80"/>
      <c r="B947" s="7"/>
      <c r="C947" s="7"/>
      <c r="D947" s="116"/>
      <c r="E947" s="116"/>
      <c r="F947" s="8"/>
      <c r="G947" s="8"/>
      <c r="H947" s="7"/>
      <c r="I947" s="8"/>
      <c r="J947" s="8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>
      <c r="A948" s="80"/>
      <c r="B948" s="7"/>
      <c r="C948" s="7"/>
      <c r="D948" s="116"/>
      <c r="E948" s="116"/>
      <c r="F948" s="8"/>
      <c r="G948" s="8"/>
      <c r="H948" s="7"/>
      <c r="I948" s="8"/>
      <c r="J948" s="8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>
      <c r="A949" s="80"/>
      <c r="B949" s="7"/>
      <c r="C949" s="7"/>
      <c r="D949" s="116"/>
      <c r="E949" s="116"/>
      <c r="F949" s="8"/>
      <c r="G949" s="8"/>
      <c r="H949" s="7"/>
      <c r="I949" s="8"/>
      <c r="J949" s="8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>
      <c r="A950" s="80"/>
      <c r="B950" s="7"/>
      <c r="C950" s="7"/>
      <c r="D950" s="116"/>
      <c r="E950" s="116"/>
      <c r="F950" s="8"/>
      <c r="G950" s="8"/>
      <c r="H950" s="7"/>
      <c r="I950" s="8"/>
      <c r="J950" s="8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>
      <c r="A951" s="80"/>
      <c r="B951" s="7"/>
      <c r="C951" s="7"/>
      <c r="D951" s="116"/>
      <c r="E951" s="116"/>
      <c r="F951" s="8"/>
      <c r="G951" s="8"/>
      <c r="H951" s="7"/>
      <c r="I951" s="8"/>
      <c r="J951" s="8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>
      <c r="A952" s="80"/>
      <c r="B952" s="7"/>
      <c r="C952" s="7"/>
      <c r="D952" s="116"/>
      <c r="E952" s="116"/>
      <c r="F952" s="8"/>
      <c r="G952" s="8"/>
      <c r="H952" s="7"/>
      <c r="I952" s="8"/>
      <c r="J952" s="8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>
      <c r="A953" s="80"/>
      <c r="B953" s="7"/>
      <c r="C953" s="7"/>
      <c r="D953" s="116"/>
      <c r="E953" s="116"/>
      <c r="F953" s="8"/>
      <c r="G953" s="8"/>
      <c r="H953" s="7"/>
      <c r="I953" s="8"/>
      <c r="J953" s="8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>
      <c r="A954" s="80"/>
      <c r="B954" s="7"/>
      <c r="C954" s="7"/>
      <c r="D954" s="116"/>
      <c r="E954" s="116"/>
      <c r="F954" s="8"/>
      <c r="G954" s="8"/>
      <c r="H954" s="7"/>
      <c r="I954" s="8"/>
      <c r="J954" s="8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>
      <c r="A955" s="80"/>
      <c r="B955" s="7"/>
      <c r="C955" s="7"/>
      <c r="D955" s="116"/>
      <c r="E955" s="116"/>
      <c r="F955" s="8"/>
      <c r="G955" s="8"/>
      <c r="H955" s="7"/>
      <c r="I955" s="8"/>
      <c r="J955" s="8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>
      <c r="A956" s="80"/>
      <c r="B956" s="7"/>
      <c r="C956" s="7"/>
      <c r="D956" s="116"/>
      <c r="E956" s="116"/>
      <c r="F956" s="8"/>
      <c r="G956" s="8"/>
      <c r="H956" s="7"/>
      <c r="I956" s="8"/>
      <c r="J956" s="8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>
      <c r="A957" s="80"/>
      <c r="B957" s="7"/>
      <c r="C957" s="7"/>
      <c r="D957" s="116"/>
      <c r="E957" s="116"/>
      <c r="F957" s="8"/>
      <c r="G957" s="8"/>
      <c r="H957" s="7"/>
      <c r="I957" s="8"/>
      <c r="J957" s="8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>
      <c r="A958" s="80"/>
      <c r="B958" s="7"/>
      <c r="C958" s="7"/>
      <c r="D958" s="116"/>
      <c r="E958" s="116"/>
      <c r="F958" s="8"/>
      <c r="G958" s="8"/>
      <c r="H958" s="7"/>
      <c r="I958" s="8"/>
      <c r="J958" s="8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>
      <c r="A959" s="80"/>
      <c r="B959" s="7"/>
      <c r="C959" s="7"/>
      <c r="D959" s="116"/>
      <c r="E959" s="116"/>
      <c r="F959" s="8"/>
      <c r="G959" s="8"/>
      <c r="H959" s="7"/>
      <c r="I959" s="8"/>
      <c r="J959" s="8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>
      <c r="A960" s="80"/>
      <c r="B960" s="7"/>
      <c r="C960" s="7"/>
      <c r="D960" s="116"/>
      <c r="E960" s="116"/>
      <c r="F960" s="8"/>
      <c r="G960" s="8"/>
      <c r="H960" s="7"/>
      <c r="I960" s="8"/>
      <c r="J960" s="8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>
      <c r="A961" s="80"/>
      <c r="B961" s="7"/>
      <c r="C961" s="7"/>
      <c r="D961" s="116"/>
      <c r="E961" s="116"/>
      <c r="F961" s="8"/>
      <c r="G961" s="8"/>
      <c r="H961" s="7"/>
      <c r="I961" s="8"/>
      <c r="J961" s="8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>
      <c r="A962" s="80"/>
      <c r="B962" s="7"/>
      <c r="C962" s="7"/>
      <c r="D962" s="116"/>
      <c r="E962" s="116"/>
      <c r="F962" s="8"/>
      <c r="G962" s="8"/>
      <c r="H962" s="7"/>
      <c r="I962" s="8"/>
      <c r="J962" s="8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>
      <c r="A963" s="80"/>
      <c r="B963" s="7"/>
      <c r="C963" s="7"/>
      <c r="D963" s="116"/>
      <c r="E963" s="116"/>
      <c r="F963" s="8"/>
      <c r="G963" s="8"/>
      <c r="H963" s="7"/>
      <c r="I963" s="8"/>
      <c r="J963" s="8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>
      <c r="A964" s="80"/>
      <c r="B964" s="7"/>
      <c r="C964" s="7"/>
      <c r="D964" s="116"/>
      <c r="E964" s="116"/>
      <c r="F964" s="8"/>
      <c r="G964" s="8"/>
      <c r="H964" s="7"/>
      <c r="I964" s="8"/>
      <c r="J964" s="8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>
      <c r="A965" s="80"/>
      <c r="B965" s="7"/>
      <c r="C965" s="7"/>
      <c r="D965" s="116"/>
      <c r="E965" s="116"/>
      <c r="F965" s="8"/>
      <c r="G965" s="8"/>
      <c r="H965" s="7"/>
      <c r="I965" s="8"/>
      <c r="J965" s="8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>
      <c r="A966" s="80"/>
      <c r="B966" s="7"/>
      <c r="C966" s="7"/>
      <c r="D966" s="116"/>
      <c r="E966" s="116"/>
      <c r="F966" s="8"/>
      <c r="G966" s="8"/>
      <c r="H966" s="7"/>
      <c r="I966" s="8"/>
      <c r="J966" s="8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>
      <c r="A967" s="80"/>
      <c r="B967" s="7"/>
      <c r="C967" s="7"/>
      <c r="D967" s="116"/>
      <c r="E967" s="116"/>
      <c r="F967" s="8"/>
      <c r="G967" s="8"/>
      <c r="H967" s="7"/>
      <c r="I967" s="8"/>
      <c r="J967" s="8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>
      <c r="A968" s="80"/>
      <c r="B968" s="7"/>
      <c r="C968" s="7"/>
      <c r="D968" s="116"/>
      <c r="E968" s="116"/>
      <c r="F968" s="8"/>
      <c r="G968" s="8"/>
      <c r="H968" s="7"/>
      <c r="I968" s="8"/>
      <c r="J968" s="8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>
      <c r="A969" s="80"/>
      <c r="B969" s="7"/>
      <c r="C969" s="7"/>
      <c r="D969" s="116"/>
      <c r="E969" s="116"/>
      <c r="F969" s="8"/>
      <c r="G969" s="8"/>
      <c r="H969" s="7"/>
      <c r="I969" s="8"/>
      <c r="J969" s="8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>
      <c r="A970" s="80"/>
      <c r="B970" s="7"/>
      <c r="C970" s="7"/>
      <c r="D970" s="116"/>
      <c r="E970" s="116"/>
      <c r="F970" s="8"/>
      <c r="G970" s="8"/>
      <c r="H970" s="7"/>
      <c r="I970" s="8"/>
      <c r="J970" s="8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>
      <c r="A971" s="80"/>
      <c r="B971" s="7"/>
      <c r="C971" s="7"/>
      <c r="D971" s="116"/>
      <c r="E971" s="116"/>
      <c r="F971" s="8"/>
      <c r="G971" s="8"/>
      <c r="H971" s="7"/>
      <c r="I971" s="8"/>
      <c r="J971" s="8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>
      <c r="A972" s="80"/>
      <c r="B972" s="7"/>
      <c r="C972" s="7"/>
      <c r="D972" s="116"/>
      <c r="E972" s="116"/>
      <c r="F972" s="8"/>
      <c r="G972" s="8"/>
      <c r="H972" s="7"/>
      <c r="I972" s="8"/>
      <c r="J972" s="8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>
      <c r="A973" s="80"/>
      <c r="B973" s="7"/>
      <c r="C973" s="7"/>
      <c r="D973" s="116"/>
      <c r="E973" s="116"/>
      <c r="F973" s="8"/>
      <c r="G973" s="8"/>
      <c r="H973" s="7"/>
      <c r="I973" s="8"/>
      <c r="J973" s="8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>
      <c r="A974" s="80"/>
      <c r="B974" s="7"/>
      <c r="C974" s="7"/>
      <c r="D974" s="116"/>
      <c r="E974" s="116"/>
      <c r="F974" s="8"/>
      <c r="G974" s="8"/>
      <c r="H974" s="7"/>
      <c r="I974" s="8"/>
      <c r="J974" s="8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>
      <c r="A975" s="80"/>
      <c r="B975" s="7"/>
      <c r="C975" s="7"/>
      <c r="D975" s="116"/>
      <c r="E975" s="116"/>
      <c r="F975" s="8"/>
      <c r="G975" s="8"/>
      <c r="H975" s="7"/>
      <c r="I975" s="8"/>
      <c r="J975" s="8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>
      <c r="A976" s="80"/>
      <c r="B976" s="7"/>
      <c r="C976" s="7"/>
      <c r="D976" s="116"/>
      <c r="E976" s="116"/>
      <c r="F976" s="8"/>
      <c r="G976" s="8"/>
      <c r="H976" s="7"/>
      <c r="I976" s="8"/>
      <c r="J976" s="8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>
      <c r="A977" s="80"/>
      <c r="B977" s="7"/>
      <c r="C977" s="7"/>
      <c r="D977" s="116"/>
      <c r="E977" s="116"/>
      <c r="F977" s="8"/>
      <c r="G977" s="8"/>
      <c r="H977" s="7"/>
      <c r="I977" s="8"/>
      <c r="J977" s="8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>
      <c r="A978" s="80"/>
      <c r="B978" s="7"/>
      <c r="C978" s="7"/>
      <c r="D978" s="116"/>
      <c r="E978" s="116"/>
      <c r="F978" s="8"/>
      <c r="G978" s="8"/>
      <c r="H978" s="7"/>
      <c r="I978" s="8"/>
      <c r="J978" s="8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>
      <c r="A979" s="80"/>
      <c r="B979" s="7"/>
      <c r="C979" s="7"/>
      <c r="D979" s="116"/>
      <c r="E979" s="116"/>
      <c r="F979" s="8"/>
      <c r="G979" s="8"/>
      <c r="H979" s="7"/>
      <c r="I979" s="8"/>
      <c r="J979" s="8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>
      <c r="A980" s="80"/>
      <c r="B980" s="7"/>
      <c r="C980" s="7"/>
      <c r="D980" s="116"/>
      <c r="E980" s="116"/>
      <c r="F980" s="8"/>
      <c r="G980" s="8"/>
      <c r="H980" s="7"/>
      <c r="I980" s="8"/>
      <c r="J980" s="8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>
      <c r="A981" s="80"/>
      <c r="B981" s="7"/>
      <c r="C981" s="7"/>
      <c r="D981" s="116"/>
      <c r="E981" s="116"/>
      <c r="F981" s="8"/>
      <c r="G981" s="8"/>
      <c r="H981" s="7"/>
      <c r="I981" s="8"/>
      <c r="J981" s="8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>
      <c r="A982" s="80"/>
      <c r="B982" s="7"/>
      <c r="C982" s="7"/>
      <c r="D982" s="116"/>
      <c r="E982" s="116"/>
      <c r="F982" s="8"/>
      <c r="G982" s="8"/>
      <c r="H982" s="7"/>
      <c r="I982" s="8"/>
      <c r="J982" s="8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>
      <c r="A983" s="80"/>
      <c r="B983" s="7"/>
      <c r="C983" s="7"/>
      <c r="D983" s="116"/>
      <c r="E983" s="116"/>
      <c r="F983" s="8"/>
      <c r="G983" s="8"/>
      <c r="H983" s="7"/>
      <c r="I983" s="8"/>
      <c r="J983" s="8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>
      <c r="A984" s="80"/>
      <c r="B984" s="7"/>
      <c r="C984" s="7"/>
      <c r="D984" s="116"/>
      <c r="E984" s="116"/>
      <c r="F984" s="8"/>
      <c r="G984" s="8"/>
      <c r="H984" s="7"/>
      <c r="I984" s="8"/>
      <c r="J984" s="8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>
      <c r="A985" s="80"/>
      <c r="B985" s="7"/>
      <c r="C985" s="7"/>
      <c r="D985" s="116"/>
      <c r="E985" s="116"/>
      <c r="F985" s="8"/>
      <c r="G985" s="8"/>
      <c r="H985" s="7"/>
      <c r="I985" s="8"/>
      <c r="J985" s="8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>
      <c r="A986" s="80"/>
      <c r="B986" s="7"/>
      <c r="C986" s="7"/>
      <c r="D986" s="116"/>
      <c r="E986" s="116"/>
      <c r="F986" s="8"/>
      <c r="G986" s="8"/>
      <c r="H986" s="7"/>
      <c r="I986" s="8"/>
      <c r="J986" s="8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>
      <c r="A987" s="80"/>
      <c r="B987" s="7"/>
      <c r="C987" s="7"/>
      <c r="D987" s="116"/>
      <c r="E987" s="116"/>
      <c r="F987" s="8"/>
      <c r="G987" s="8"/>
      <c r="H987" s="7"/>
      <c r="I987" s="8"/>
      <c r="J987" s="8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>
      <c r="A988" s="80"/>
      <c r="B988" s="7"/>
      <c r="C988" s="7"/>
      <c r="D988" s="116"/>
      <c r="E988" s="116"/>
      <c r="F988" s="8"/>
      <c r="G988" s="8"/>
      <c r="H988" s="7"/>
      <c r="I988" s="8"/>
      <c r="J988" s="8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>
      <c r="A989" s="80"/>
      <c r="B989" s="7"/>
      <c r="C989" s="7"/>
      <c r="D989" s="116"/>
      <c r="E989" s="116"/>
      <c r="F989" s="8"/>
      <c r="G989" s="8"/>
      <c r="H989" s="7"/>
      <c r="I989" s="8"/>
      <c r="J989" s="8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>
      <c r="A990" s="80"/>
      <c r="B990" s="7"/>
      <c r="C990" s="7"/>
      <c r="D990" s="116"/>
      <c r="E990" s="116"/>
      <c r="F990" s="8"/>
      <c r="G990" s="8"/>
      <c r="H990" s="7"/>
      <c r="I990" s="8"/>
      <c r="J990" s="8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>
      <c r="A991" s="80"/>
      <c r="B991" s="7"/>
      <c r="C991" s="7"/>
      <c r="D991" s="116"/>
      <c r="E991" s="116"/>
      <c r="F991" s="8"/>
      <c r="G991" s="8"/>
      <c r="H991" s="7"/>
      <c r="I991" s="8"/>
      <c r="J991" s="8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>
      <c r="A992" s="80"/>
      <c r="B992" s="7"/>
      <c r="C992" s="7"/>
      <c r="D992" s="116"/>
      <c r="E992" s="116"/>
      <c r="F992" s="8"/>
      <c r="G992" s="8"/>
      <c r="H992" s="7"/>
      <c r="I992" s="8"/>
      <c r="J992" s="8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>
      <c r="A993" s="80"/>
      <c r="B993" s="7"/>
      <c r="C993" s="7"/>
      <c r="D993" s="116"/>
      <c r="E993" s="116"/>
      <c r="F993" s="8"/>
      <c r="G993" s="8"/>
      <c r="H993" s="7"/>
      <c r="I993" s="8"/>
      <c r="J993" s="8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>
      <c r="A994" s="80"/>
      <c r="B994" s="7"/>
      <c r="C994" s="7"/>
      <c r="D994" s="116"/>
      <c r="E994" s="116"/>
      <c r="F994" s="8"/>
      <c r="G994" s="8"/>
      <c r="H994" s="7"/>
      <c r="I994" s="8"/>
      <c r="J994" s="8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>
      <c r="A995" s="80"/>
      <c r="B995" s="7"/>
      <c r="C995" s="7"/>
      <c r="D995" s="116"/>
      <c r="E995" s="116"/>
      <c r="F995" s="8"/>
      <c r="G995" s="8"/>
      <c r="H995" s="7"/>
      <c r="I995" s="8"/>
      <c r="J995" s="8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>
      <c r="A996" s="80"/>
      <c r="B996" s="7"/>
      <c r="C996" s="7"/>
      <c r="D996" s="116"/>
      <c r="E996" s="116"/>
      <c r="F996" s="8"/>
      <c r="G996" s="8"/>
      <c r="H996" s="7"/>
      <c r="I996" s="8"/>
      <c r="J996" s="8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>
      <c r="A997" s="80"/>
      <c r="B997" s="7"/>
      <c r="C997" s="7"/>
      <c r="D997" s="116"/>
      <c r="E997" s="116"/>
      <c r="F997" s="8"/>
      <c r="G997" s="8"/>
      <c r="H997" s="7"/>
      <c r="I997" s="8"/>
      <c r="J997" s="8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>
      <c r="A998" s="80"/>
      <c r="B998" s="7"/>
      <c r="C998" s="7"/>
      <c r="D998" s="116"/>
      <c r="E998" s="116"/>
      <c r="F998" s="8"/>
      <c r="G998" s="8"/>
      <c r="H998" s="7"/>
      <c r="I998" s="8"/>
      <c r="J998" s="8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>
      <c r="A999" s="80"/>
      <c r="B999" s="7"/>
      <c r="C999" s="7"/>
      <c r="D999" s="116"/>
      <c r="E999" s="116"/>
      <c r="F999" s="8"/>
      <c r="G999" s="8"/>
      <c r="H999" s="7"/>
      <c r="I999" s="8"/>
      <c r="J999" s="8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>
      <c r="A1000" s="80"/>
      <c r="B1000" s="7"/>
      <c r="C1000" s="7"/>
      <c r="D1000" s="116"/>
      <c r="E1000" s="116"/>
      <c r="F1000" s="8"/>
      <c r="G1000" s="8"/>
      <c r="H1000" s="7"/>
      <c r="I1000" s="8"/>
      <c r="J1000" s="8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  <row r="1001">
      <c r="A1001" s="80"/>
      <c r="B1001" s="7"/>
      <c r="C1001" s="7"/>
      <c r="D1001" s="116"/>
      <c r="E1001" s="116"/>
      <c r="F1001" s="8"/>
      <c r="G1001" s="8"/>
      <c r="H1001" s="7"/>
      <c r="I1001" s="8"/>
      <c r="J1001" s="8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</row>
    <row r="1002">
      <c r="A1002" s="80"/>
      <c r="B1002" s="7"/>
      <c r="C1002" s="7"/>
      <c r="D1002" s="116"/>
      <c r="E1002" s="116"/>
      <c r="F1002" s="8"/>
      <c r="G1002" s="8"/>
      <c r="H1002" s="7"/>
      <c r="I1002" s="8"/>
      <c r="J1002" s="8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</row>
    <row r="1003">
      <c r="A1003" s="80"/>
      <c r="B1003" s="7"/>
      <c r="C1003" s="7"/>
      <c r="D1003" s="116"/>
      <c r="E1003" s="116"/>
      <c r="F1003" s="8"/>
      <c r="G1003" s="8"/>
      <c r="H1003" s="7"/>
      <c r="I1003" s="8"/>
      <c r="J1003" s="8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</row>
    <row r="1004">
      <c r="A1004" s="80"/>
      <c r="B1004" s="7"/>
      <c r="C1004" s="7"/>
      <c r="D1004" s="116"/>
      <c r="E1004" s="116"/>
      <c r="F1004" s="8"/>
      <c r="G1004" s="8"/>
      <c r="H1004" s="7"/>
      <c r="I1004" s="8"/>
      <c r="J1004" s="8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</row>
    <row r="1005">
      <c r="A1005" s="80"/>
      <c r="B1005" s="7"/>
      <c r="C1005" s="7"/>
      <c r="D1005" s="116"/>
      <c r="E1005" s="116"/>
      <c r="F1005" s="8"/>
      <c r="G1005" s="8"/>
      <c r="H1005" s="7"/>
      <c r="I1005" s="8"/>
      <c r="J1005" s="8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</row>
    <row r="1006">
      <c r="A1006" s="80"/>
      <c r="B1006" s="7"/>
      <c r="C1006" s="7"/>
      <c r="D1006" s="116"/>
      <c r="E1006" s="116"/>
      <c r="F1006" s="8"/>
      <c r="G1006" s="8"/>
      <c r="H1006" s="7"/>
      <c r="I1006" s="8"/>
      <c r="J1006" s="8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</row>
    <row r="1007">
      <c r="A1007" s="80"/>
      <c r="B1007" s="7"/>
      <c r="C1007" s="7"/>
      <c r="D1007" s="116"/>
      <c r="E1007" s="116"/>
      <c r="F1007" s="8"/>
      <c r="G1007" s="8"/>
      <c r="H1007" s="7"/>
      <c r="I1007" s="8"/>
      <c r="J1007" s="8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</row>
    <row r="1008">
      <c r="A1008" s="80"/>
      <c r="B1008" s="7"/>
      <c r="C1008" s="7"/>
      <c r="D1008" s="116"/>
      <c r="E1008" s="116"/>
      <c r="F1008" s="8"/>
      <c r="G1008" s="8"/>
      <c r="H1008" s="7"/>
      <c r="I1008" s="8"/>
      <c r="J1008" s="8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</row>
    <row r="1009">
      <c r="A1009" s="80"/>
      <c r="B1009" s="7"/>
      <c r="C1009" s="7"/>
      <c r="D1009" s="116"/>
      <c r="E1009" s="116"/>
      <c r="F1009" s="8"/>
      <c r="G1009" s="8"/>
      <c r="H1009" s="7"/>
      <c r="I1009" s="8"/>
      <c r="J1009" s="8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</row>
    <row r="1010">
      <c r="A1010" s="80"/>
      <c r="B1010" s="7"/>
      <c r="C1010" s="7"/>
      <c r="D1010" s="116"/>
      <c r="E1010" s="116"/>
      <c r="F1010" s="8"/>
      <c r="G1010" s="8"/>
      <c r="H1010" s="7"/>
      <c r="I1010" s="8"/>
      <c r="J1010" s="8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</row>
    <row r="1011">
      <c r="A1011" s="80"/>
      <c r="B1011" s="7"/>
      <c r="C1011" s="7"/>
      <c r="D1011" s="116"/>
      <c r="E1011" s="116"/>
      <c r="F1011" s="8"/>
      <c r="G1011" s="8"/>
      <c r="H1011" s="7"/>
      <c r="I1011" s="8"/>
      <c r="J1011" s="8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</row>
    <row r="1012">
      <c r="A1012" s="80"/>
      <c r="B1012" s="7"/>
      <c r="C1012" s="7"/>
      <c r="D1012" s="116"/>
      <c r="E1012" s="116"/>
      <c r="F1012" s="8"/>
      <c r="G1012" s="8"/>
      <c r="H1012" s="7"/>
      <c r="I1012" s="8"/>
      <c r="J1012" s="8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</row>
    <row r="1013">
      <c r="A1013" s="80"/>
      <c r="B1013" s="7"/>
      <c r="C1013" s="7"/>
      <c r="D1013" s="116"/>
      <c r="E1013" s="116"/>
      <c r="F1013" s="8"/>
      <c r="G1013" s="8"/>
      <c r="H1013" s="7"/>
      <c r="I1013" s="8"/>
      <c r="J1013" s="8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</row>
    <row r="1014">
      <c r="A1014" s="80"/>
      <c r="B1014" s="7"/>
      <c r="C1014" s="7"/>
      <c r="D1014" s="116"/>
      <c r="E1014" s="116"/>
      <c r="F1014" s="8"/>
      <c r="G1014" s="8"/>
      <c r="H1014" s="7"/>
      <c r="I1014" s="8"/>
      <c r="J1014" s="8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</row>
    <row r="1015">
      <c r="A1015" s="80"/>
      <c r="B1015" s="7"/>
      <c r="C1015" s="7"/>
      <c r="D1015" s="116"/>
      <c r="E1015" s="116"/>
      <c r="F1015" s="8"/>
      <c r="G1015" s="8"/>
      <c r="H1015" s="7"/>
      <c r="I1015" s="8"/>
      <c r="J1015" s="8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</row>
    <row r="1016">
      <c r="A1016" s="80"/>
      <c r="B1016" s="7"/>
      <c r="C1016" s="7"/>
      <c r="D1016" s="116"/>
      <c r="E1016" s="116"/>
      <c r="F1016" s="8"/>
      <c r="G1016" s="8"/>
      <c r="H1016" s="7"/>
      <c r="I1016" s="8"/>
      <c r="J1016" s="8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</row>
    <row r="1017">
      <c r="A1017" s="80"/>
      <c r="B1017" s="7"/>
      <c r="C1017" s="7"/>
      <c r="D1017" s="116"/>
      <c r="E1017" s="116"/>
      <c r="F1017" s="8"/>
      <c r="G1017" s="8"/>
      <c r="H1017" s="7"/>
      <c r="I1017" s="8"/>
      <c r="J1017" s="8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</row>
    <row r="1018">
      <c r="A1018" s="80"/>
      <c r="B1018" s="7"/>
      <c r="C1018" s="7"/>
      <c r="D1018" s="116"/>
      <c r="E1018" s="116"/>
      <c r="F1018" s="8"/>
      <c r="G1018" s="8"/>
      <c r="H1018" s="7"/>
      <c r="I1018" s="8"/>
      <c r="J1018" s="8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</row>
    <row r="1019">
      <c r="A1019" s="80"/>
      <c r="B1019" s="7"/>
      <c r="C1019" s="7"/>
      <c r="D1019" s="116"/>
      <c r="E1019" s="116"/>
      <c r="F1019" s="8"/>
      <c r="G1019" s="8"/>
      <c r="H1019" s="7"/>
      <c r="I1019" s="8"/>
      <c r="J1019" s="8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</row>
    <row r="1020">
      <c r="A1020" s="80"/>
      <c r="B1020" s="7"/>
      <c r="C1020" s="7"/>
      <c r="D1020" s="116"/>
      <c r="E1020" s="116"/>
      <c r="F1020" s="8"/>
      <c r="G1020" s="8"/>
      <c r="H1020" s="7"/>
      <c r="I1020" s="8"/>
      <c r="J1020" s="8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</row>
    <row r="1021">
      <c r="A1021" s="80"/>
      <c r="B1021" s="7"/>
      <c r="C1021" s="7"/>
      <c r="D1021" s="116"/>
      <c r="E1021" s="116"/>
      <c r="F1021" s="8"/>
      <c r="G1021" s="8"/>
      <c r="H1021" s="7"/>
      <c r="I1021" s="8"/>
      <c r="J1021" s="8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</row>
    <row r="1022">
      <c r="A1022" s="80"/>
      <c r="B1022" s="7"/>
      <c r="C1022" s="7"/>
      <c r="D1022" s="116"/>
      <c r="E1022" s="116"/>
      <c r="F1022" s="8"/>
      <c r="G1022" s="8"/>
      <c r="H1022" s="7"/>
      <c r="I1022" s="8"/>
      <c r="J1022" s="8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</row>
    <row r="1023">
      <c r="A1023" s="80"/>
      <c r="B1023" s="7"/>
      <c r="C1023" s="7"/>
      <c r="D1023" s="116"/>
      <c r="E1023" s="116"/>
      <c r="F1023" s="8"/>
      <c r="G1023" s="8"/>
      <c r="H1023" s="7"/>
      <c r="I1023" s="8"/>
      <c r="J1023" s="8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</row>
    <row r="1024">
      <c r="A1024" s="80"/>
      <c r="B1024" s="7"/>
      <c r="C1024" s="7"/>
      <c r="D1024" s="116"/>
      <c r="E1024" s="116"/>
      <c r="F1024" s="8"/>
      <c r="G1024" s="8"/>
      <c r="H1024" s="7"/>
      <c r="I1024" s="8"/>
      <c r="J1024" s="8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</row>
    <row r="1025">
      <c r="A1025" s="80"/>
      <c r="B1025" s="7"/>
      <c r="C1025" s="7"/>
      <c r="D1025" s="116"/>
      <c r="E1025" s="116"/>
      <c r="F1025" s="8"/>
      <c r="G1025" s="8"/>
      <c r="H1025" s="7"/>
      <c r="I1025" s="8"/>
      <c r="J1025" s="8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</row>
    <row r="1026">
      <c r="A1026" s="80"/>
      <c r="B1026" s="7"/>
      <c r="C1026" s="7"/>
      <c r="D1026" s="116"/>
      <c r="E1026" s="116"/>
      <c r="F1026" s="8"/>
      <c r="G1026" s="8"/>
      <c r="H1026" s="7"/>
      <c r="I1026" s="8"/>
      <c r="J1026" s="8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</row>
    <row r="1027">
      <c r="A1027" s="80"/>
      <c r="B1027" s="7"/>
      <c r="C1027" s="7"/>
      <c r="D1027" s="116"/>
      <c r="E1027" s="116"/>
      <c r="F1027" s="8"/>
      <c r="G1027" s="8"/>
      <c r="H1027" s="7"/>
      <c r="I1027" s="8"/>
      <c r="J1027" s="8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</row>
    <row r="1028">
      <c r="A1028" s="80"/>
      <c r="B1028" s="7"/>
      <c r="C1028" s="7"/>
      <c r="D1028" s="116"/>
      <c r="E1028" s="116"/>
      <c r="F1028" s="8"/>
      <c r="G1028" s="8"/>
      <c r="H1028" s="7"/>
      <c r="I1028" s="8"/>
      <c r="J1028" s="8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</row>
    <row r="1029">
      <c r="A1029" s="80"/>
      <c r="B1029" s="7"/>
      <c r="C1029" s="7"/>
      <c r="D1029" s="116"/>
      <c r="E1029" s="116"/>
      <c r="F1029" s="8"/>
      <c r="G1029" s="8"/>
      <c r="H1029" s="7"/>
      <c r="I1029" s="8"/>
      <c r="J1029" s="8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</row>
    <row r="1030">
      <c r="A1030" s="80"/>
      <c r="B1030" s="7"/>
      <c r="C1030" s="7"/>
      <c r="D1030" s="116"/>
      <c r="E1030" s="116"/>
      <c r="F1030" s="8"/>
      <c r="G1030" s="8"/>
      <c r="H1030" s="7"/>
      <c r="I1030" s="8"/>
      <c r="J1030" s="8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</row>
    <row r="1031">
      <c r="A1031" s="80"/>
      <c r="B1031" s="7"/>
      <c r="C1031" s="7"/>
      <c r="D1031" s="116"/>
      <c r="E1031" s="116"/>
      <c r="F1031" s="8"/>
      <c r="G1031" s="8"/>
      <c r="H1031" s="7"/>
      <c r="I1031" s="8"/>
      <c r="J1031" s="8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</row>
    <row r="1032">
      <c r="A1032" s="80"/>
      <c r="B1032" s="7"/>
      <c r="C1032" s="7"/>
      <c r="D1032" s="116"/>
      <c r="E1032" s="116"/>
      <c r="F1032" s="8"/>
      <c r="G1032" s="8"/>
      <c r="H1032" s="7"/>
      <c r="I1032" s="8"/>
      <c r="J1032" s="8"/>
      <c r="K1032" s="80"/>
      <c r="L1032" s="80"/>
      <c r="M1032" s="7"/>
      <c r="N1032" s="7"/>
      <c r="O1032" s="7"/>
      <c r="P1032" s="7"/>
      <c r="Q1032" s="7"/>
      <c r="R1032" s="7"/>
      <c r="S1032" s="7"/>
      <c r="T1032" s="7"/>
      <c r="U1032" s="7"/>
    </row>
    <row r="1033">
      <c r="A1033" s="80"/>
      <c r="B1033" s="7"/>
      <c r="C1033" s="7"/>
      <c r="D1033" s="116"/>
      <c r="E1033" s="116"/>
      <c r="F1033" s="8"/>
      <c r="G1033" s="8"/>
      <c r="H1033" s="7"/>
      <c r="I1033" s="8"/>
      <c r="J1033" s="8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</row>
    <row r="1034">
      <c r="A1034" s="80"/>
      <c r="B1034" s="7"/>
      <c r="C1034" s="7"/>
      <c r="D1034" s="116"/>
      <c r="E1034" s="116"/>
      <c r="F1034" s="8"/>
      <c r="G1034" s="8"/>
      <c r="H1034" s="7"/>
      <c r="I1034" s="8"/>
      <c r="J1034" s="8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</row>
    <row r="1035">
      <c r="A1035" s="80"/>
      <c r="B1035" s="7"/>
      <c r="C1035" s="7"/>
      <c r="D1035" s="116"/>
      <c r="E1035" s="116"/>
      <c r="F1035" s="8"/>
      <c r="G1035" s="8"/>
      <c r="H1035" s="7"/>
      <c r="I1035" s="8"/>
      <c r="J1035" s="8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</row>
    <row r="1036">
      <c r="A1036" s="80"/>
      <c r="B1036" s="7"/>
      <c r="C1036" s="7"/>
      <c r="D1036" s="116"/>
      <c r="E1036" s="116"/>
      <c r="F1036" s="8"/>
      <c r="G1036" s="8"/>
      <c r="H1036" s="7"/>
      <c r="I1036" s="8"/>
      <c r="J1036" s="8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</row>
    <row r="1037">
      <c r="A1037" s="80"/>
      <c r="B1037" s="7"/>
      <c r="C1037" s="7"/>
      <c r="D1037" s="116"/>
      <c r="E1037" s="116"/>
      <c r="F1037" s="8"/>
      <c r="G1037" s="8"/>
      <c r="H1037" s="7"/>
      <c r="I1037" s="8"/>
      <c r="J1037" s="8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</row>
    <row r="1038">
      <c r="A1038" s="80"/>
      <c r="B1038" s="7"/>
      <c r="C1038" s="7"/>
      <c r="D1038" s="116"/>
      <c r="E1038" s="116"/>
      <c r="F1038" s="8"/>
      <c r="G1038" s="8"/>
      <c r="H1038" s="7"/>
      <c r="I1038" s="8"/>
      <c r="J1038" s="8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</row>
    <row r="1039">
      <c r="A1039" s="80"/>
      <c r="B1039" s="7"/>
      <c r="C1039" s="7"/>
      <c r="D1039" s="116"/>
      <c r="E1039" s="116"/>
      <c r="F1039" s="8"/>
      <c r="G1039" s="8"/>
      <c r="H1039" s="7"/>
      <c r="I1039" s="8"/>
      <c r="J1039" s="8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</row>
    <row r="1040">
      <c r="A1040" s="80"/>
      <c r="B1040" s="7"/>
      <c r="C1040" s="7"/>
      <c r="D1040" s="116"/>
      <c r="E1040" s="116"/>
      <c r="F1040" s="8"/>
      <c r="G1040" s="8"/>
      <c r="H1040" s="7"/>
      <c r="I1040" s="8"/>
      <c r="J1040" s="8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</row>
    <row r="1041">
      <c r="A1041" s="80"/>
      <c r="B1041" s="7"/>
      <c r="C1041" s="7"/>
      <c r="D1041" s="116"/>
      <c r="E1041" s="116"/>
      <c r="F1041" s="8"/>
      <c r="G1041" s="8"/>
      <c r="H1041" s="7"/>
      <c r="I1041" s="8"/>
      <c r="J1041" s="8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</row>
    <row r="1042">
      <c r="A1042" s="80"/>
      <c r="B1042" s="7"/>
      <c r="C1042" s="7"/>
      <c r="D1042" s="116"/>
      <c r="E1042" s="116"/>
      <c r="F1042" s="8"/>
      <c r="G1042" s="8"/>
      <c r="H1042" s="7"/>
      <c r="I1042" s="8"/>
      <c r="J1042" s="8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</row>
    <row r="1043">
      <c r="A1043" s="80"/>
      <c r="B1043" s="7"/>
      <c r="C1043" s="7"/>
      <c r="D1043" s="116"/>
      <c r="E1043" s="116"/>
      <c r="F1043" s="8"/>
      <c r="G1043" s="8"/>
      <c r="H1043" s="7"/>
      <c r="I1043" s="8"/>
      <c r="J1043" s="8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</row>
    <row r="1044">
      <c r="A1044" s="80"/>
      <c r="B1044" s="7"/>
      <c r="C1044" s="7"/>
      <c r="D1044" s="116"/>
      <c r="E1044" s="116"/>
      <c r="F1044" s="8"/>
      <c r="G1044" s="8"/>
      <c r="H1044" s="7"/>
      <c r="I1044" s="8"/>
      <c r="J1044" s="8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</row>
    <row r="1045">
      <c r="A1045" s="80"/>
      <c r="B1045" s="7"/>
      <c r="C1045" s="7"/>
      <c r="D1045" s="116"/>
      <c r="E1045" s="116"/>
      <c r="F1045" s="8"/>
      <c r="G1045" s="8"/>
      <c r="H1045" s="7"/>
      <c r="I1045" s="8"/>
      <c r="J1045" s="8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</row>
    <row r="1046">
      <c r="A1046" s="80"/>
      <c r="B1046" s="7"/>
      <c r="C1046" s="7"/>
      <c r="D1046" s="116"/>
      <c r="E1046" s="116"/>
      <c r="F1046" s="8"/>
      <c r="G1046" s="8"/>
      <c r="H1046" s="7"/>
      <c r="I1046" s="8"/>
      <c r="J1046" s="8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</row>
    <row r="1047">
      <c r="A1047" s="80"/>
      <c r="B1047" s="7"/>
      <c r="C1047" s="7"/>
      <c r="D1047" s="116"/>
      <c r="E1047" s="116"/>
      <c r="F1047" s="8"/>
      <c r="G1047" s="8"/>
      <c r="H1047" s="7"/>
      <c r="I1047" s="8"/>
      <c r="J1047" s="8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</row>
    <row r="1048">
      <c r="A1048" s="80"/>
      <c r="B1048" s="7"/>
      <c r="C1048" s="7"/>
      <c r="D1048" s="116"/>
      <c r="E1048" s="116"/>
      <c r="F1048" s="8"/>
      <c r="G1048" s="8"/>
      <c r="H1048" s="7"/>
      <c r="I1048" s="8"/>
      <c r="J1048" s="8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</row>
    <row r="1049">
      <c r="A1049" s="80"/>
      <c r="B1049" s="7"/>
      <c r="C1049" s="7"/>
      <c r="D1049" s="116"/>
      <c r="E1049" s="116"/>
      <c r="F1049" s="8"/>
      <c r="G1049" s="8"/>
      <c r="H1049" s="7"/>
      <c r="I1049" s="8"/>
      <c r="J1049" s="8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</row>
    <row r="1050">
      <c r="A1050" s="80"/>
      <c r="B1050" s="7"/>
      <c r="C1050" s="7"/>
      <c r="D1050" s="116"/>
      <c r="E1050" s="116"/>
      <c r="F1050" s="8"/>
      <c r="G1050" s="8"/>
      <c r="H1050" s="7"/>
      <c r="I1050" s="8"/>
      <c r="J1050" s="8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</row>
    <row r="1051">
      <c r="A1051" s="80"/>
      <c r="B1051" s="7"/>
      <c r="C1051" s="7"/>
      <c r="D1051" s="116"/>
      <c r="E1051" s="116"/>
      <c r="F1051" s="8"/>
      <c r="G1051" s="8"/>
      <c r="H1051" s="7"/>
      <c r="I1051" s="8"/>
      <c r="J1051" s="8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</row>
    <row r="1052">
      <c r="A1052" s="80"/>
      <c r="B1052" s="7"/>
      <c r="C1052" s="7"/>
      <c r="D1052" s="116"/>
      <c r="E1052" s="116"/>
      <c r="F1052" s="8"/>
      <c r="G1052" s="8"/>
      <c r="H1052" s="7"/>
      <c r="I1052" s="8"/>
      <c r="J1052" s="8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</row>
    <row r="1053">
      <c r="A1053" s="80"/>
      <c r="B1053" s="7"/>
      <c r="C1053" s="7"/>
      <c r="D1053" s="116"/>
      <c r="E1053" s="116"/>
      <c r="F1053" s="8"/>
      <c r="G1053" s="8"/>
      <c r="H1053" s="7"/>
      <c r="I1053" s="8"/>
      <c r="J1053" s="8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</row>
    <row r="1054">
      <c r="A1054" s="80"/>
      <c r="B1054" s="7"/>
      <c r="C1054" s="7"/>
      <c r="D1054" s="116"/>
      <c r="E1054" s="116"/>
      <c r="F1054" s="8"/>
      <c r="G1054" s="8"/>
      <c r="H1054" s="7"/>
      <c r="I1054" s="8"/>
      <c r="J1054" s="8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</row>
    <row r="1055">
      <c r="A1055" s="80"/>
      <c r="B1055" s="7"/>
      <c r="C1055" s="7"/>
      <c r="D1055" s="116"/>
      <c r="E1055" s="116"/>
      <c r="F1055" s="8"/>
      <c r="G1055" s="8"/>
      <c r="H1055" s="7"/>
      <c r="I1055" s="8"/>
      <c r="J1055" s="8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</row>
    <row r="1056">
      <c r="A1056" s="80"/>
      <c r="B1056" s="7"/>
      <c r="C1056" s="7"/>
      <c r="D1056" s="116"/>
      <c r="E1056" s="116"/>
      <c r="F1056" s="8"/>
      <c r="G1056" s="8"/>
      <c r="H1056" s="7"/>
      <c r="I1056" s="8"/>
      <c r="J1056" s="8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</row>
    <row r="1057">
      <c r="A1057" s="80"/>
      <c r="B1057" s="7"/>
      <c r="C1057" s="7"/>
      <c r="D1057" s="116"/>
      <c r="E1057" s="116"/>
      <c r="F1057" s="8"/>
      <c r="G1057" s="8"/>
      <c r="H1057" s="7"/>
      <c r="I1057" s="8"/>
      <c r="J1057" s="8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</row>
    <row r="1058">
      <c r="A1058" s="80"/>
      <c r="B1058" s="7"/>
      <c r="C1058" s="7"/>
      <c r="D1058" s="116"/>
      <c r="E1058" s="116"/>
      <c r="F1058" s="8"/>
      <c r="G1058" s="8"/>
      <c r="H1058" s="7"/>
      <c r="I1058" s="8"/>
      <c r="J1058" s="8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</row>
    <row r="1059">
      <c r="A1059" s="80"/>
      <c r="B1059" s="7"/>
      <c r="C1059" s="7"/>
      <c r="D1059" s="116"/>
      <c r="E1059" s="116"/>
      <c r="F1059" s="8"/>
      <c r="G1059" s="8"/>
      <c r="H1059" s="7"/>
      <c r="I1059" s="8"/>
      <c r="J1059" s="8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</row>
    <row r="1060">
      <c r="A1060" s="80"/>
      <c r="B1060" s="7"/>
      <c r="C1060" s="7"/>
      <c r="D1060" s="116"/>
      <c r="E1060" s="116"/>
      <c r="F1060" s="8"/>
      <c r="G1060" s="8"/>
      <c r="H1060" s="7"/>
      <c r="I1060" s="8"/>
      <c r="J1060" s="8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</row>
    <row r="1061">
      <c r="A1061" s="80"/>
      <c r="B1061" s="7"/>
      <c r="C1061" s="7"/>
      <c r="D1061" s="116"/>
      <c r="E1061" s="116"/>
      <c r="F1061" s="8"/>
      <c r="G1061" s="8"/>
      <c r="H1061" s="7"/>
      <c r="I1061" s="8"/>
      <c r="J1061" s="8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</row>
    <row r="1062">
      <c r="A1062" s="80"/>
      <c r="B1062" s="7"/>
      <c r="C1062" s="7"/>
      <c r="D1062" s="116"/>
      <c r="E1062" s="116"/>
      <c r="F1062" s="8"/>
      <c r="G1062" s="8"/>
      <c r="H1062" s="7"/>
      <c r="I1062" s="8"/>
      <c r="J1062" s="8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</row>
    <row r="1063">
      <c r="A1063" s="80"/>
      <c r="B1063" s="7"/>
      <c r="C1063" s="7"/>
      <c r="D1063" s="116"/>
      <c r="E1063" s="116"/>
      <c r="F1063" s="8"/>
      <c r="G1063" s="8"/>
      <c r="H1063" s="7"/>
      <c r="I1063" s="8"/>
      <c r="J1063" s="8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</row>
    <row r="1064">
      <c r="A1064" s="80"/>
      <c r="B1064" s="7"/>
      <c r="C1064" s="7"/>
      <c r="D1064" s="116"/>
      <c r="E1064" s="116"/>
      <c r="F1064" s="8"/>
      <c r="G1064" s="8"/>
      <c r="H1064" s="7"/>
      <c r="I1064" s="8"/>
      <c r="J1064" s="8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</row>
    <row r="1065">
      <c r="A1065" s="80"/>
      <c r="B1065" s="7"/>
      <c r="C1065" s="7"/>
      <c r="D1065" s="116"/>
      <c r="E1065" s="116"/>
      <c r="F1065" s="8"/>
      <c r="G1065" s="8"/>
      <c r="H1065" s="7"/>
      <c r="I1065" s="8"/>
      <c r="J1065" s="8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</row>
    <row r="1066">
      <c r="A1066" s="80"/>
      <c r="B1066" s="7"/>
      <c r="C1066" s="7"/>
      <c r="D1066" s="116"/>
      <c r="E1066" s="116"/>
      <c r="F1066" s="8"/>
      <c r="G1066" s="8"/>
      <c r="H1066" s="7"/>
      <c r="I1066" s="8"/>
      <c r="J1066" s="8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</row>
    <row r="1067">
      <c r="A1067" s="80"/>
      <c r="B1067" s="7"/>
      <c r="C1067" s="7"/>
      <c r="D1067" s="116"/>
      <c r="E1067" s="116"/>
      <c r="F1067" s="8"/>
      <c r="G1067" s="8"/>
      <c r="H1067" s="7"/>
      <c r="I1067" s="8"/>
      <c r="J1067" s="8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</row>
    <row r="1068">
      <c r="A1068" s="80"/>
      <c r="B1068" s="7"/>
      <c r="C1068" s="7"/>
      <c r="D1068" s="116"/>
      <c r="E1068" s="116"/>
      <c r="F1068" s="8"/>
      <c r="G1068" s="8"/>
      <c r="H1068" s="7"/>
      <c r="I1068" s="8"/>
      <c r="J1068" s="8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</row>
    <row r="1069">
      <c r="A1069" s="80"/>
      <c r="B1069" s="7"/>
      <c r="C1069" s="7"/>
      <c r="D1069" s="116"/>
      <c r="E1069" s="116"/>
      <c r="F1069" s="8"/>
      <c r="G1069" s="8"/>
      <c r="H1069" s="7"/>
      <c r="I1069" s="8"/>
      <c r="J1069" s="8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>
      <c r="A1070" s="80"/>
      <c r="B1070" s="7"/>
      <c r="C1070" s="7"/>
      <c r="D1070" s="116"/>
      <c r="E1070" s="116"/>
      <c r="F1070" s="8"/>
      <c r="G1070" s="8"/>
      <c r="H1070" s="7"/>
      <c r="I1070" s="8"/>
      <c r="J1070" s="8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</row>
    <row r="1071">
      <c r="A1071" s="80"/>
      <c r="B1071" s="7"/>
      <c r="C1071" s="7"/>
      <c r="D1071" s="116"/>
      <c r="E1071" s="116"/>
      <c r="F1071" s="8"/>
      <c r="G1071" s="8"/>
      <c r="H1071" s="7"/>
      <c r="I1071" s="8"/>
      <c r="J1071" s="8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</row>
    <row r="1072">
      <c r="A1072" s="80"/>
      <c r="B1072" s="7"/>
      <c r="C1072" s="7"/>
      <c r="D1072" s="116"/>
      <c r="E1072" s="116"/>
      <c r="F1072" s="8"/>
      <c r="G1072" s="8"/>
      <c r="H1072" s="7"/>
      <c r="I1072" s="8"/>
      <c r="J1072" s="8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</row>
    <row r="1073">
      <c r="A1073" s="80"/>
      <c r="B1073" s="7"/>
      <c r="C1073" s="7"/>
      <c r="D1073" s="116"/>
      <c r="E1073" s="116"/>
      <c r="F1073" s="8"/>
      <c r="G1073" s="8"/>
      <c r="H1073" s="7"/>
      <c r="I1073" s="8"/>
      <c r="J1073" s="8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</row>
    <row r="1074">
      <c r="A1074" s="80"/>
      <c r="B1074" s="7"/>
      <c r="C1074" s="7"/>
      <c r="D1074" s="116"/>
      <c r="E1074" s="116"/>
      <c r="F1074" s="8"/>
      <c r="G1074" s="8"/>
      <c r="H1074" s="7"/>
      <c r="I1074" s="8"/>
      <c r="J1074" s="8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</row>
    <row r="1075">
      <c r="A1075" s="80"/>
      <c r="B1075" s="7"/>
      <c r="C1075" s="7"/>
      <c r="D1075" s="116"/>
      <c r="E1075" s="116"/>
      <c r="F1075" s="8"/>
      <c r="G1075" s="8"/>
      <c r="H1075" s="7"/>
      <c r="I1075" s="8"/>
      <c r="J1075" s="8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</row>
    <row r="1076">
      <c r="A1076" s="80"/>
      <c r="B1076" s="7"/>
      <c r="C1076" s="7"/>
      <c r="D1076" s="116"/>
      <c r="E1076" s="116"/>
      <c r="F1076" s="8"/>
      <c r="G1076" s="8"/>
      <c r="H1076" s="7"/>
      <c r="I1076" s="8"/>
      <c r="J1076" s="8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</row>
    <row r="1077">
      <c r="A1077" s="80"/>
      <c r="B1077" s="7"/>
      <c r="C1077" s="7"/>
      <c r="D1077" s="116"/>
      <c r="E1077" s="116"/>
      <c r="F1077" s="8"/>
      <c r="G1077" s="8"/>
      <c r="H1077" s="7"/>
      <c r="I1077" s="8"/>
      <c r="J1077" s="8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</row>
    <row r="1078">
      <c r="A1078" s="80"/>
      <c r="B1078" s="7"/>
      <c r="C1078" s="7"/>
      <c r="D1078" s="116"/>
      <c r="E1078" s="116"/>
      <c r="F1078" s="8"/>
      <c r="G1078" s="8"/>
      <c r="H1078" s="7"/>
      <c r="I1078" s="8"/>
      <c r="J1078" s="8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</row>
    <row r="1079">
      <c r="A1079" s="80"/>
      <c r="B1079" s="7"/>
      <c r="C1079" s="7"/>
      <c r="D1079" s="116"/>
      <c r="E1079" s="116"/>
      <c r="F1079" s="8"/>
      <c r="G1079" s="8"/>
      <c r="H1079" s="7"/>
      <c r="I1079" s="8"/>
      <c r="J1079" s="8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</row>
    <row r="1080">
      <c r="A1080" s="80"/>
      <c r="B1080" s="7"/>
      <c r="C1080" s="7"/>
      <c r="D1080" s="116"/>
      <c r="E1080" s="116"/>
      <c r="F1080" s="8"/>
      <c r="G1080" s="8"/>
      <c r="H1080" s="7"/>
      <c r="I1080" s="8"/>
      <c r="J1080" s="8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</row>
    <row r="1081">
      <c r="A1081" s="80"/>
      <c r="B1081" s="7"/>
      <c r="C1081" s="7"/>
      <c r="D1081" s="116"/>
      <c r="E1081" s="116"/>
      <c r="F1081" s="8"/>
      <c r="G1081" s="8"/>
      <c r="H1081" s="7"/>
      <c r="I1081" s="8"/>
      <c r="J1081" s="8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</row>
    <row r="1082">
      <c r="A1082" s="80"/>
      <c r="B1082" s="7"/>
      <c r="C1082" s="7"/>
      <c r="D1082" s="116"/>
      <c r="E1082" s="116"/>
      <c r="F1082" s="8"/>
      <c r="G1082" s="8"/>
      <c r="H1082" s="7"/>
      <c r="I1082" s="8"/>
      <c r="J1082" s="8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</row>
    <row r="1083">
      <c r="A1083" s="80"/>
      <c r="B1083" s="7"/>
      <c r="C1083" s="7"/>
      <c r="D1083" s="116"/>
      <c r="E1083" s="116"/>
      <c r="F1083" s="8"/>
      <c r="G1083" s="8"/>
      <c r="H1083" s="7"/>
      <c r="I1083" s="8"/>
      <c r="J1083" s="8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</row>
    <row r="1084">
      <c r="A1084" s="80"/>
      <c r="B1084" s="7"/>
      <c r="C1084" s="7"/>
      <c r="D1084" s="116"/>
      <c r="E1084" s="116"/>
      <c r="F1084" s="8"/>
      <c r="G1084" s="8"/>
      <c r="H1084" s="7"/>
      <c r="I1084" s="8"/>
      <c r="J1084" s="8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</row>
    <row r="1085">
      <c r="A1085" s="80"/>
      <c r="B1085" s="7"/>
      <c r="C1085" s="7"/>
      <c r="D1085" s="116"/>
      <c r="E1085" s="116"/>
      <c r="F1085" s="8"/>
      <c r="G1085" s="8"/>
      <c r="H1085" s="7"/>
      <c r="I1085" s="8"/>
      <c r="J1085" s="8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</row>
    <row r="1086">
      <c r="A1086" s="80"/>
      <c r="B1086" s="7"/>
      <c r="C1086" s="7"/>
      <c r="D1086" s="116"/>
      <c r="E1086" s="116"/>
      <c r="F1086" s="8"/>
      <c r="G1086" s="8"/>
      <c r="H1086" s="7"/>
      <c r="I1086" s="8"/>
      <c r="J1086" s="8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</row>
    <row r="1087">
      <c r="A1087" s="80"/>
      <c r="B1087" s="7"/>
      <c r="C1087" s="7"/>
      <c r="D1087" s="116"/>
      <c r="E1087" s="116"/>
      <c r="F1087" s="8"/>
      <c r="G1087" s="8"/>
      <c r="H1087" s="7"/>
      <c r="I1087" s="8"/>
      <c r="J1087" s="8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</row>
    <row r="1088">
      <c r="A1088" s="80"/>
      <c r="B1088" s="7"/>
      <c r="C1088" s="7"/>
      <c r="D1088" s="116"/>
      <c r="E1088" s="116"/>
      <c r="F1088" s="8"/>
      <c r="G1088" s="8"/>
      <c r="H1088" s="7"/>
      <c r="I1088" s="8"/>
      <c r="J1088" s="8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</row>
    <row r="1089">
      <c r="A1089" s="80"/>
      <c r="B1089" s="7"/>
      <c r="C1089" s="7"/>
      <c r="D1089" s="116"/>
      <c r="E1089" s="116"/>
      <c r="F1089" s="8"/>
      <c r="G1089" s="8"/>
      <c r="H1089" s="7"/>
      <c r="I1089" s="8"/>
      <c r="J1089" s="8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</row>
    <row r="1090">
      <c r="A1090" s="80"/>
      <c r="B1090" s="7"/>
      <c r="C1090" s="7"/>
      <c r="D1090" s="116"/>
      <c r="E1090" s="116"/>
      <c r="F1090" s="8"/>
      <c r="G1090" s="8"/>
      <c r="H1090" s="7"/>
      <c r="I1090" s="8"/>
      <c r="J1090" s="8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</row>
    <row r="1091">
      <c r="A1091" s="80"/>
      <c r="B1091" s="7"/>
      <c r="C1091" s="7"/>
      <c r="D1091" s="116"/>
      <c r="E1091" s="116"/>
      <c r="F1091" s="8"/>
      <c r="G1091" s="8"/>
      <c r="H1091" s="7"/>
      <c r="I1091" s="8"/>
      <c r="J1091" s="8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</row>
    <row r="1092">
      <c r="A1092" s="80"/>
      <c r="B1092" s="7"/>
      <c r="C1092" s="7"/>
      <c r="D1092" s="116"/>
      <c r="E1092" s="116"/>
      <c r="F1092" s="8"/>
      <c r="G1092" s="8"/>
      <c r="H1092" s="7"/>
      <c r="I1092" s="8"/>
      <c r="J1092" s="8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</row>
    <row r="1093">
      <c r="A1093" s="80"/>
      <c r="B1093" s="7"/>
      <c r="C1093" s="7"/>
      <c r="D1093" s="116"/>
      <c r="E1093" s="116"/>
      <c r="F1093" s="8"/>
      <c r="G1093" s="8"/>
      <c r="H1093" s="7"/>
      <c r="I1093" s="8"/>
      <c r="J1093" s="8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</row>
    <row r="1094">
      <c r="A1094" s="80"/>
      <c r="B1094" s="7"/>
      <c r="C1094" s="7"/>
      <c r="D1094" s="116"/>
      <c r="E1094" s="116"/>
      <c r="F1094" s="8"/>
      <c r="G1094" s="8"/>
      <c r="H1094" s="7"/>
      <c r="I1094" s="8"/>
      <c r="J1094" s="8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</row>
    <row r="1095">
      <c r="A1095" s="80"/>
      <c r="B1095" s="7"/>
      <c r="C1095" s="7"/>
      <c r="D1095" s="116"/>
      <c r="E1095" s="116"/>
      <c r="F1095" s="8"/>
      <c r="G1095" s="8"/>
      <c r="H1095" s="7"/>
      <c r="I1095" s="8"/>
      <c r="J1095" s="8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</row>
    <row r="1096">
      <c r="A1096" s="80"/>
      <c r="B1096" s="7"/>
      <c r="C1096" s="7"/>
      <c r="D1096" s="116"/>
      <c r="E1096" s="116"/>
      <c r="F1096" s="8"/>
      <c r="G1096" s="8"/>
      <c r="H1096" s="7"/>
      <c r="I1096" s="8"/>
      <c r="J1096" s="8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</row>
    <row r="1097">
      <c r="A1097" s="80"/>
      <c r="B1097" s="7"/>
      <c r="C1097" s="7"/>
      <c r="D1097" s="116"/>
      <c r="E1097" s="116"/>
      <c r="F1097" s="8"/>
      <c r="G1097" s="8"/>
      <c r="H1097" s="7"/>
      <c r="I1097" s="8"/>
      <c r="J1097" s="8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</row>
    <row r="1098">
      <c r="A1098" s="80"/>
      <c r="B1098" s="7"/>
      <c r="C1098" s="7"/>
      <c r="D1098" s="116"/>
      <c r="E1098" s="116"/>
      <c r="F1098" s="8"/>
      <c r="G1098" s="8"/>
      <c r="H1098" s="7"/>
      <c r="I1098" s="8"/>
      <c r="J1098" s="8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</row>
    <row r="1099">
      <c r="A1099" s="80"/>
      <c r="B1099" s="7"/>
      <c r="C1099" s="7"/>
      <c r="D1099" s="116"/>
      <c r="E1099" s="116"/>
      <c r="F1099" s="8"/>
      <c r="G1099" s="8"/>
      <c r="H1099" s="7"/>
      <c r="I1099" s="8"/>
      <c r="J1099" s="8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</row>
    <row r="1100">
      <c r="A1100" s="80"/>
      <c r="B1100" s="7"/>
      <c r="C1100" s="7"/>
      <c r="D1100" s="116"/>
      <c r="E1100" s="116"/>
      <c r="F1100" s="8"/>
      <c r="G1100" s="8"/>
      <c r="H1100" s="7"/>
      <c r="I1100" s="8"/>
      <c r="J1100" s="8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</row>
    <row r="1101">
      <c r="A1101" s="80"/>
      <c r="B1101" s="7"/>
      <c r="C1101" s="7"/>
      <c r="D1101" s="116"/>
      <c r="E1101" s="116"/>
      <c r="F1101" s="8"/>
      <c r="G1101" s="8"/>
      <c r="H1101" s="7"/>
      <c r="I1101" s="8"/>
      <c r="J1101" s="8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</row>
    <row r="1102">
      <c r="A1102" s="80"/>
      <c r="B1102" s="7"/>
      <c r="C1102" s="7"/>
      <c r="D1102" s="116"/>
      <c r="E1102" s="116"/>
      <c r="F1102" s="8"/>
      <c r="G1102" s="8"/>
      <c r="H1102" s="7"/>
      <c r="I1102" s="8"/>
      <c r="J1102" s="8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</row>
    <row r="1103">
      <c r="A1103" s="80"/>
      <c r="B1103" s="7"/>
      <c r="C1103" s="7"/>
      <c r="D1103" s="116"/>
      <c r="E1103" s="116"/>
      <c r="F1103" s="8"/>
      <c r="G1103" s="8"/>
      <c r="H1103" s="7"/>
      <c r="I1103" s="8"/>
      <c r="J1103" s="8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</row>
    <row r="1104">
      <c r="A1104" s="80"/>
      <c r="B1104" s="7"/>
      <c r="C1104" s="7"/>
      <c r="D1104" s="116"/>
      <c r="E1104" s="116"/>
      <c r="F1104" s="8"/>
      <c r="G1104" s="8"/>
      <c r="H1104" s="7"/>
      <c r="I1104" s="8"/>
      <c r="J1104" s="8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</row>
    <row r="1105">
      <c r="A1105" s="80"/>
      <c r="B1105" s="7"/>
      <c r="C1105" s="7"/>
      <c r="D1105" s="116"/>
      <c r="E1105" s="116"/>
      <c r="F1105" s="8"/>
      <c r="G1105" s="8"/>
      <c r="H1105" s="7"/>
      <c r="I1105" s="8"/>
      <c r="J1105" s="8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</row>
    <row r="1106">
      <c r="A1106" s="80"/>
      <c r="B1106" s="7"/>
      <c r="C1106" s="7"/>
      <c r="D1106" s="116"/>
      <c r="E1106" s="116"/>
      <c r="F1106" s="8"/>
      <c r="G1106" s="8"/>
      <c r="H1106" s="7"/>
      <c r="I1106" s="8"/>
      <c r="J1106" s="8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</row>
    <row r="1107">
      <c r="A1107" s="80"/>
      <c r="B1107" s="7"/>
      <c r="C1107" s="7"/>
      <c r="D1107" s="116"/>
      <c r="E1107" s="116"/>
      <c r="F1107" s="8"/>
      <c r="G1107" s="8"/>
      <c r="H1107" s="7"/>
      <c r="I1107" s="8"/>
      <c r="J1107" s="8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</row>
    <row r="1108">
      <c r="A1108" s="80"/>
      <c r="B1108" s="7"/>
      <c r="C1108" s="7"/>
      <c r="D1108" s="116"/>
      <c r="E1108" s="116"/>
      <c r="F1108" s="8"/>
      <c r="G1108" s="8"/>
      <c r="H1108" s="7"/>
      <c r="I1108" s="8"/>
      <c r="J1108" s="8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</row>
    <row r="1109">
      <c r="A1109" s="80"/>
      <c r="B1109" s="7"/>
      <c r="C1109" s="7"/>
      <c r="D1109" s="116"/>
      <c r="E1109" s="116"/>
      <c r="F1109" s="8"/>
      <c r="G1109" s="8"/>
      <c r="H1109" s="7"/>
      <c r="I1109" s="8"/>
      <c r="J1109" s="8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</row>
    <row r="1110">
      <c r="A1110" s="80"/>
      <c r="B1110" s="7"/>
      <c r="C1110" s="7"/>
      <c r="D1110" s="116"/>
      <c r="E1110" s="116"/>
      <c r="F1110" s="8"/>
      <c r="G1110" s="8"/>
      <c r="H1110" s="7"/>
      <c r="I1110" s="8"/>
      <c r="J1110" s="8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</row>
    <row r="1111">
      <c r="A1111" s="80"/>
      <c r="B1111" s="7"/>
      <c r="C1111" s="7"/>
      <c r="D1111" s="116"/>
      <c r="E1111" s="116"/>
      <c r="F1111" s="8"/>
      <c r="G1111" s="8"/>
      <c r="H1111" s="7"/>
      <c r="I1111" s="8"/>
      <c r="J1111" s="8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</row>
    <row r="1112">
      <c r="A1112" s="80"/>
      <c r="B1112" s="7"/>
      <c r="C1112" s="7"/>
      <c r="D1112" s="116"/>
      <c r="E1112" s="116"/>
      <c r="F1112" s="8"/>
      <c r="G1112" s="8"/>
      <c r="H1112" s="7"/>
      <c r="I1112" s="8"/>
      <c r="J1112" s="8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</row>
    <row r="1113">
      <c r="A1113" s="80"/>
      <c r="B1113" s="7"/>
      <c r="C1113" s="7"/>
      <c r="D1113" s="116"/>
      <c r="E1113" s="116"/>
      <c r="F1113" s="8"/>
      <c r="G1113" s="8"/>
      <c r="H1113" s="7"/>
      <c r="I1113" s="8"/>
      <c r="J1113" s="8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</row>
    <row r="1114">
      <c r="A1114" s="80"/>
      <c r="B1114" s="7"/>
      <c r="C1114" s="7"/>
      <c r="D1114" s="116"/>
      <c r="E1114" s="116"/>
      <c r="F1114" s="8"/>
      <c r="G1114" s="8"/>
      <c r="H1114" s="7"/>
      <c r="I1114" s="8"/>
      <c r="J1114" s="8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</row>
    <row r="1115">
      <c r="A1115" s="80"/>
      <c r="B1115" s="7"/>
      <c r="C1115" s="7"/>
      <c r="D1115" s="116"/>
      <c r="E1115" s="116"/>
      <c r="F1115" s="8"/>
      <c r="G1115" s="8"/>
      <c r="H1115" s="7"/>
      <c r="I1115" s="8"/>
      <c r="J1115" s="8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</row>
    <row r="1116">
      <c r="A1116" s="80"/>
      <c r="B1116" s="7"/>
      <c r="C1116" s="7"/>
      <c r="D1116" s="116"/>
      <c r="E1116" s="116"/>
      <c r="F1116" s="8"/>
      <c r="G1116" s="8"/>
      <c r="H1116" s="7"/>
      <c r="I1116" s="8"/>
      <c r="J1116" s="8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</row>
    <row r="1117">
      <c r="A1117" s="80"/>
      <c r="B1117" s="7"/>
      <c r="C1117" s="7"/>
      <c r="D1117" s="116"/>
      <c r="E1117" s="116"/>
      <c r="F1117" s="8"/>
      <c r="G1117" s="8"/>
      <c r="H1117" s="7"/>
      <c r="I1117" s="8"/>
      <c r="J1117" s="8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</row>
    <row r="1118">
      <c r="A1118" s="80"/>
      <c r="B1118" s="7"/>
      <c r="C1118" s="7"/>
      <c r="D1118" s="116"/>
      <c r="E1118" s="116"/>
      <c r="F1118" s="8"/>
      <c r="G1118" s="8"/>
      <c r="H1118" s="7"/>
      <c r="I1118" s="8"/>
      <c r="J1118" s="8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</row>
    <row r="1119">
      <c r="A1119" s="80"/>
      <c r="B1119" s="7"/>
      <c r="C1119" s="7"/>
      <c r="D1119" s="116"/>
      <c r="E1119" s="116"/>
      <c r="F1119" s="8"/>
      <c r="G1119" s="8"/>
      <c r="H1119" s="7"/>
      <c r="I1119" s="8"/>
      <c r="J1119" s="8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</row>
    <row r="1120">
      <c r="A1120" s="80"/>
      <c r="B1120" s="7"/>
      <c r="C1120" s="7"/>
      <c r="D1120" s="116"/>
      <c r="E1120" s="116"/>
      <c r="F1120" s="8"/>
      <c r="G1120" s="8"/>
      <c r="H1120" s="7"/>
      <c r="I1120" s="8"/>
      <c r="J1120" s="8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</row>
    <row r="1121">
      <c r="A1121" s="80"/>
      <c r="B1121" s="7"/>
      <c r="C1121" s="7"/>
      <c r="D1121" s="116"/>
      <c r="E1121" s="116"/>
      <c r="F1121" s="8"/>
      <c r="G1121" s="8"/>
      <c r="H1121" s="7"/>
      <c r="I1121" s="8"/>
      <c r="J1121" s="8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</row>
    <row r="1122">
      <c r="A1122" s="80"/>
      <c r="B1122" s="7"/>
      <c r="C1122" s="7"/>
      <c r="D1122" s="116"/>
      <c r="E1122" s="116"/>
      <c r="F1122" s="8"/>
      <c r="G1122" s="8"/>
      <c r="H1122" s="7"/>
      <c r="I1122" s="8"/>
      <c r="J1122" s="8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</row>
    <row r="1123">
      <c r="A1123" s="80"/>
      <c r="B1123" s="7"/>
      <c r="C1123" s="7"/>
      <c r="D1123" s="116"/>
      <c r="E1123" s="116"/>
      <c r="F1123" s="8"/>
      <c r="G1123" s="8"/>
      <c r="H1123" s="7"/>
      <c r="I1123" s="8"/>
      <c r="J1123" s="8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</row>
    <row r="1124">
      <c r="A1124" s="80"/>
      <c r="B1124" s="7"/>
      <c r="C1124" s="7"/>
      <c r="D1124" s="116"/>
      <c r="E1124" s="116"/>
      <c r="F1124" s="8"/>
      <c r="G1124" s="8"/>
      <c r="H1124" s="7"/>
      <c r="I1124" s="8"/>
      <c r="J1124" s="8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</row>
    <row r="1125">
      <c r="A1125" s="80"/>
      <c r="B1125" s="7"/>
      <c r="C1125" s="7"/>
      <c r="D1125" s="116"/>
      <c r="E1125" s="116"/>
      <c r="F1125" s="8"/>
      <c r="G1125" s="8"/>
      <c r="H1125" s="7"/>
      <c r="I1125" s="8"/>
      <c r="J1125" s="8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</row>
    <row r="1126">
      <c r="A1126" s="80"/>
      <c r="B1126" s="7"/>
      <c r="C1126" s="7"/>
      <c r="D1126" s="116"/>
      <c r="E1126" s="116"/>
      <c r="F1126" s="8"/>
      <c r="G1126" s="8"/>
      <c r="H1126" s="7"/>
      <c r="I1126" s="8"/>
      <c r="J1126" s="8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</row>
    <row r="1127">
      <c r="A1127" s="80"/>
      <c r="B1127" s="7"/>
      <c r="C1127" s="7"/>
      <c r="D1127" s="116"/>
      <c r="E1127" s="116"/>
      <c r="F1127" s="8"/>
      <c r="G1127" s="8"/>
      <c r="H1127" s="7"/>
      <c r="I1127" s="8"/>
      <c r="J1127" s="8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</row>
    <row r="1128">
      <c r="A1128" s="80"/>
      <c r="B1128" s="7"/>
      <c r="C1128" s="7"/>
      <c r="D1128" s="116"/>
      <c r="E1128" s="116"/>
      <c r="F1128" s="8"/>
      <c r="G1128" s="8"/>
      <c r="H1128" s="7"/>
      <c r="I1128" s="8"/>
      <c r="J1128" s="8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</row>
    <row r="1129">
      <c r="A1129" s="80"/>
      <c r="B1129" s="7"/>
      <c r="C1129" s="7"/>
      <c r="D1129" s="116"/>
      <c r="E1129" s="116"/>
      <c r="F1129" s="8"/>
      <c r="G1129" s="8"/>
      <c r="H1129" s="7"/>
      <c r="I1129" s="8"/>
      <c r="J1129" s="8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</row>
    <row r="1130">
      <c r="A1130" s="80"/>
      <c r="B1130" s="7"/>
      <c r="C1130" s="7"/>
      <c r="D1130" s="116"/>
      <c r="E1130" s="116"/>
      <c r="F1130" s="8"/>
      <c r="G1130" s="8"/>
      <c r="H1130" s="7"/>
      <c r="I1130" s="8"/>
      <c r="J1130" s="8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</row>
    <row r="1131">
      <c r="A1131" s="80"/>
      <c r="B1131" s="7"/>
      <c r="C1131" s="7"/>
      <c r="D1131" s="116"/>
      <c r="E1131" s="116"/>
      <c r="F1131" s="8"/>
      <c r="G1131" s="8"/>
      <c r="H1131" s="7"/>
      <c r="I1131" s="8"/>
      <c r="J1131" s="8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</row>
    <row r="1132">
      <c r="A1132" s="80"/>
      <c r="B1132" s="7"/>
      <c r="C1132" s="7"/>
      <c r="D1132" s="116"/>
      <c r="E1132" s="116"/>
      <c r="F1132" s="8"/>
      <c r="G1132" s="8"/>
      <c r="H1132" s="7"/>
      <c r="I1132" s="8"/>
      <c r="J1132" s="8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</row>
    <row r="1133">
      <c r="A1133" s="80"/>
      <c r="B1133" s="7"/>
      <c r="C1133" s="7"/>
      <c r="D1133" s="116"/>
      <c r="E1133" s="116"/>
      <c r="F1133" s="8"/>
      <c r="G1133" s="8"/>
      <c r="H1133" s="7"/>
      <c r="I1133" s="8"/>
      <c r="J1133" s="8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</row>
    <row r="1134">
      <c r="A1134" s="80"/>
      <c r="B1134" s="7"/>
      <c r="C1134" s="7"/>
      <c r="D1134" s="116"/>
      <c r="E1134" s="116"/>
      <c r="F1134" s="8"/>
      <c r="G1134" s="8"/>
      <c r="H1134" s="7"/>
      <c r="I1134" s="8"/>
      <c r="J1134" s="8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</row>
    <row r="1135">
      <c r="A1135" s="80"/>
      <c r="B1135" s="7"/>
      <c r="C1135" s="7"/>
      <c r="D1135" s="116"/>
      <c r="E1135" s="116"/>
      <c r="F1135" s="8"/>
      <c r="G1135" s="8"/>
      <c r="H1135" s="7"/>
      <c r="I1135" s="8"/>
      <c r="J1135" s="8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</row>
    <row r="1136">
      <c r="A1136" s="80"/>
      <c r="B1136" s="7"/>
      <c r="C1136" s="7"/>
      <c r="D1136" s="116"/>
      <c r="E1136" s="116"/>
      <c r="F1136" s="8"/>
      <c r="G1136" s="8"/>
      <c r="H1136" s="7"/>
      <c r="I1136" s="8"/>
      <c r="J1136" s="8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</row>
    <row r="1137">
      <c r="A1137" s="80"/>
      <c r="B1137" s="7"/>
      <c r="C1137" s="7"/>
      <c r="D1137" s="116"/>
      <c r="E1137" s="116"/>
      <c r="F1137" s="8"/>
      <c r="G1137" s="8"/>
      <c r="H1137" s="7"/>
      <c r="I1137" s="8"/>
      <c r="J1137" s="8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</row>
    <row r="1138">
      <c r="A1138" s="80"/>
      <c r="B1138" s="7"/>
      <c r="C1138" s="7"/>
      <c r="D1138" s="116"/>
      <c r="E1138" s="116"/>
      <c r="F1138" s="8"/>
      <c r="G1138" s="8"/>
      <c r="H1138" s="7"/>
      <c r="I1138" s="8"/>
      <c r="J1138" s="8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</row>
    <row r="1139">
      <c r="A1139" s="80"/>
      <c r="B1139" s="7"/>
      <c r="C1139" s="7"/>
      <c r="D1139" s="116"/>
      <c r="E1139" s="116"/>
      <c r="F1139" s="8"/>
      <c r="G1139" s="8"/>
      <c r="H1139" s="7"/>
      <c r="I1139" s="8"/>
      <c r="J1139" s="8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</row>
    <row r="1140">
      <c r="A1140" s="80"/>
      <c r="B1140" s="7"/>
      <c r="C1140" s="7"/>
      <c r="D1140" s="116"/>
      <c r="E1140" s="116"/>
      <c r="F1140" s="8"/>
      <c r="G1140" s="8"/>
      <c r="H1140" s="7"/>
      <c r="I1140" s="8"/>
      <c r="J1140" s="8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</row>
    <row r="1141">
      <c r="A1141" s="80"/>
      <c r="B1141" s="7"/>
      <c r="C1141" s="7"/>
      <c r="D1141" s="116"/>
      <c r="E1141" s="116"/>
      <c r="F1141" s="8"/>
      <c r="G1141" s="8"/>
      <c r="H1141" s="7"/>
      <c r="I1141" s="8"/>
      <c r="J1141" s="8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</row>
    <row r="1142">
      <c r="A1142" s="80"/>
      <c r="B1142" s="7"/>
      <c r="C1142" s="7"/>
      <c r="D1142" s="116"/>
      <c r="E1142" s="116"/>
      <c r="F1142" s="8"/>
      <c r="G1142" s="8"/>
      <c r="H1142" s="7"/>
      <c r="I1142" s="8"/>
      <c r="J1142" s="8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</row>
    <row r="1143">
      <c r="A1143" s="80"/>
      <c r="B1143" s="7"/>
      <c r="C1143" s="7"/>
      <c r="D1143" s="116"/>
      <c r="E1143" s="116"/>
      <c r="F1143" s="8"/>
      <c r="G1143" s="8"/>
      <c r="H1143" s="7"/>
      <c r="I1143" s="8"/>
      <c r="J1143" s="8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</row>
    <row r="1144">
      <c r="A1144" s="80"/>
      <c r="B1144" s="7"/>
      <c r="C1144" s="7"/>
      <c r="D1144" s="116"/>
      <c r="E1144" s="116"/>
      <c r="F1144" s="8"/>
      <c r="G1144" s="8"/>
      <c r="H1144" s="7"/>
      <c r="I1144" s="8"/>
      <c r="J1144" s="8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</row>
    <row r="1145">
      <c r="A1145" s="80"/>
      <c r="B1145" s="7"/>
      <c r="C1145" s="7"/>
      <c r="D1145" s="116"/>
      <c r="E1145" s="116"/>
      <c r="F1145" s="8"/>
      <c r="G1145" s="8"/>
      <c r="H1145" s="7"/>
      <c r="I1145" s="8"/>
      <c r="J1145" s="8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</row>
    <row r="1146">
      <c r="A1146" s="80"/>
      <c r="B1146" s="7"/>
      <c r="C1146" s="7"/>
      <c r="D1146" s="116"/>
      <c r="E1146" s="116"/>
      <c r="F1146" s="8"/>
      <c r="G1146" s="8"/>
      <c r="H1146" s="7"/>
      <c r="I1146" s="8"/>
      <c r="J1146" s="8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</row>
    <row r="1147">
      <c r="A1147" s="80"/>
      <c r="B1147" s="7"/>
      <c r="C1147" s="7"/>
      <c r="D1147" s="116"/>
      <c r="E1147" s="116"/>
      <c r="F1147" s="8"/>
      <c r="G1147" s="8"/>
      <c r="H1147" s="7"/>
      <c r="I1147" s="8"/>
      <c r="J1147" s="8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</row>
    <row r="1148">
      <c r="A1148" s="80"/>
      <c r="B1148" s="7"/>
      <c r="C1148" s="7"/>
      <c r="D1148" s="116"/>
      <c r="E1148" s="116"/>
      <c r="F1148" s="8"/>
      <c r="G1148" s="8"/>
      <c r="H1148" s="7"/>
      <c r="I1148" s="8"/>
      <c r="J1148" s="8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</row>
    <row r="1149">
      <c r="A1149" s="80"/>
      <c r="B1149" s="7"/>
      <c r="C1149" s="7"/>
      <c r="D1149" s="116"/>
      <c r="E1149" s="116"/>
      <c r="F1149" s="8"/>
      <c r="G1149" s="8"/>
      <c r="H1149" s="7"/>
      <c r="I1149" s="8"/>
      <c r="J1149" s="8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</row>
    <row r="1150">
      <c r="A1150" s="80"/>
      <c r="B1150" s="7"/>
      <c r="C1150" s="7"/>
      <c r="D1150" s="116"/>
      <c r="E1150" s="116"/>
      <c r="F1150" s="8"/>
      <c r="G1150" s="8"/>
      <c r="H1150" s="7"/>
      <c r="I1150" s="8"/>
      <c r="J1150" s="8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>
      <c r="A1151" s="80"/>
      <c r="B1151" s="7"/>
      <c r="C1151" s="7"/>
      <c r="D1151" s="116"/>
      <c r="E1151" s="116"/>
      <c r="F1151" s="8"/>
      <c r="G1151" s="8"/>
      <c r="H1151" s="7"/>
      <c r="I1151" s="8"/>
      <c r="J1151" s="8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</row>
    <row r="1152">
      <c r="A1152" s="80"/>
      <c r="B1152" s="7"/>
      <c r="C1152" s="7"/>
      <c r="D1152" s="116"/>
      <c r="E1152" s="116"/>
      <c r="F1152" s="8"/>
      <c r="G1152" s="8"/>
      <c r="H1152" s="7"/>
      <c r="I1152" s="8"/>
      <c r="J1152" s="8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</row>
    <row r="1153">
      <c r="A1153" s="80"/>
      <c r="B1153" s="7"/>
      <c r="C1153" s="7"/>
      <c r="D1153" s="116"/>
      <c r="E1153" s="116"/>
      <c r="F1153" s="8"/>
      <c r="G1153" s="8"/>
      <c r="H1153" s="7"/>
      <c r="I1153" s="8"/>
      <c r="J1153" s="8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</row>
    <row r="1154">
      <c r="A1154" s="80"/>
      <c r="B1154" s="7"/>
      <c r="C1154" s="7"/>
      <c r="D1154" s="116"/>
      <c r="E1154" s="116"/>
      <c r="F1154" s="8"/>
      <c r="G1154" s="8"/>
      <c r="H1154" s="7"/>
      <c r="I1154" s="8"/>
      <c r="J1154" s="8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</row>
    <row r="1155">
      <c r="A1155" s="80"/>
      <c r="B1155" s="7"/>
      <c r="C1155" s="7"/>
      <c r="D1155" s="116"/>
      <c r="E1155" s="116"/>
      <c r="F1155" s="8"/>
      <c r="G1155" s="8"/>
      <c r="H1155" s="7"/>
      <c r="I1155" s="8"/>
      <c r="J1155" s="8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</row>
    <row r="1156">
      <c r="A1156" s="80"/>
      <c r="B1156" s="7"/>
      <c r="C1156" s="7"/>
      <c r="D1156" s="116"/>
      <c r="E1156" s="116"/>
      <c r="F1156" s="8"/>
      <c r="G1156" s="8"/>
      <c r="H1156" s="7"/>
      <c r="I1156" s="8"/>
      <c r="J1156" s="8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</row>
    <row r="1157">
      <c r="A1157" s="80"/>
      <c r="B1157" s="7"/>
      <c r="C1157" s="7"/>
      <c r="D1157" s="116"/>
      <c r="E1157" s="116"/>
      <c r="F1157" s="8"/>
      <c r="G1157" s="8"/>
      <c r="H1157" s="7"/>
      <c r="I1157" s="8"/>
      <c r="J1157" s="8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</row>
    <row r="1158">
      <c r="A1158" s="80"/>
      <c r="B1158" s="7"/>
      <c r="C1158" s="7"/>
      <c r="D1158" s="116"/>
      <c r="E1158" s="116"/>
      <c r="F1158" s="8"/>
      <c r="G1158" s="8"/>
      <c r="H1158" s="7"/>
      <c r="I1158" s="8"/>
      <c r="J1158" s="8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</row>
    <row r="1159">
      <c r="A1159" s="80"/>
      <c r="B1159" s="7"/>
      <c r="C1159" s="7"/>
      <c r="D1159" s="116"/>
      <c r="E1159" s="116"/>
      <c r="F1159" s="8"/>
      <c r="G1159" s="8"/>
      <c r="H1159" s="7"/>
      <c r="I1159" s="8"/>
      <c r="J1159" s="8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</row>
    <row r="1160">
      <c r="A1160" s="80"/>
      <c r="B1160" s="7"/>
      <c r="C1160" s="7"/>
      <c r="D1160" s="116"/>
      <c r="E1160" s="116"/>
      <c r="F1160" s="8"/>
      <c r="G1160" s="8"/>
      <c r="H1160" s="7"/>
      <c r="I1160" s="8"/>
      <c r="J1160" s="8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</row>
    <row r="1161">
      <c r="A1161" s="80"/>
      <c r="B1161" s="7"/>
      <c r="C1161" s="7"/>
      <c r="D1161" s="116"/>
      <c r="E1161" s="116"/>
      <c r="F1161" s="8"/>
      <c r="G1161" s="8"/>
      <c r="H1161" s="7"/>
      <c r="I1161" s="8"/>
      <c r="J1161" s="8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</row>
    <row r="1162">
      <c r="A1162" s="80"/>
      <c r="B1162" s="7"/>
      <c r="C1162" s="7"/>
      <c r="D1162" s="116"/>
      <c r="E1162" s="116"/>
      <c r="F1162" s="8"/>
      <c r="G1162" s="8"/>
      <c r="H1162" s="7"/>
      <c r="I1162" s="8"/>
      <c r="J1162" s="8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</row>
    <row r="1163">
      <c r="A1163" s="80"/>
      <c r="B1163" s="7"/>
      <c r="C1163" s="7"/>
      <c r="D1163" s="116"/>
      <c r="E1163" s="116"/>
      <c r="F1163" s="8"/>
      <c r="G1163" s="8"/>
      <c r="H1163" s="7"/>
      <c r="I1163" s="8"/>
      <c r="J1163" s="8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</row>
    <row r="1164">
      <c r="A1164" s="80"/>
      <c r="B1164" s="7"/>
      <c r="C1164" s="7"/>
      <c r="D1164" s="116"/>
      <c r="E1164" s="116"/>
      <c r="F1164" s="8"/>
      <c r="G1164" s="8"/>
      <c r="H1164" s="7"/>
      <c r="I1164" s="8"/>
      <c r="J1164" s="8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</row>
    <row r="1165">
      <c r="A1165" s="80"/>
      <c r="B1165" s="7"/>
      <c r="C1165" s="7"/>
      <c r="D1165" s="116"/>
      <c r="E1165" s="116"/>
      <c r="F1165" s="8"/>
      <c r="G1165" s="8"/>
      <c r="H1165" s="7"/>
      <c r="I1165" s="8"/>
      <c r="J1165" s="8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</row>
    <row r="1166">
      <c r="A1166" s="80"/>
      <c r="B1166" s="7"/>
      <c r="C1166" s="7"/>
      <c r="D1166" s="116"/>
      <c r="E1166" s="116"/>
      <c r="F1166" s="8"/>
      <c r="G1166" s="8"/>
      <c r="H1166" s="7"/>
      <c r="I1166" s="8"/>
      <c r="J1166" s="8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</row>
    <row r="1167">
      <c r="A1167" s="80"/>
      <c r="B1167" s="7"/>
      <c r="C1167" s="7"/>
      <c r="D1167" s="116"/>
      <c r="E1167" s="116"/>
      <c r="F1167" s="8"/>
      <c r="G1167" s="8"/>
      <c r="H1167" s="7"/>
      <c r="I1167" s="8"/>
      <c r="J1167" s="8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</row>
    <row r="1168">
      <c r="A1168" s="80"/>
      <c r="B1168" s="7"/>
      <c r="C1168" s="7"/>
      <c r="D1168" s="116"/>
      <c r="E1168" s="116"/>
      <c r="F1168" s="8"/>
      <c r="G1168" s="8"/>
      <c r="H1168" s="7"/>
      <c r="I1168" s="8"/>
      <c r="J1168" s="8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</row>
    <row r="1169">
      <c r="A1169" s="80"/>
      <c r="B1169" s="7"/>
      <c r="C1169" s="7"/>
      <c r="D1169" s="116"/>
      <c r="E1169" s="116"/>
      <c r="F1169" s="8"/>
      <c r="G1169" s="8"/>
      <c r="H1169" s="7"/>
      <c r="I1169" s="8"/>
      <c r="J1169" s="8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</row>
    <row r="1170">
      <c r="A1170" s="80"/>
      <c r="B1170" s="7"/>
      <c r="C1170" s="7"/>
      <c r="D1170" s="116"/>
      <c r="E1170" s="116"/>
      <c r="F1170" s="8"/>
      <c r="G1170" s="8"/>
      <c r="H1170" s="7"/>
      <c r="I1170" s="8"/>
      <c r="J1170" s="8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</row>
    <row r="1171">
      <c r="A1171" s="80"/>
      <c r="B1171" s="7"/>
      <c r="C1171" s="7"/>
      <c r="D1171" s="116"/>
      <c r="E1171" s="116"/>
      <c r="F1171" s="8"/>
      <c r="G1171" s="8"/>
      <c r="H1171" s="7"/>
      <c r="I1171" s="8"/>
      <c r="J1171" s="8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</row>
    <row r="1172">
      <c r="A1172" s="80"/>
      <c r="B1172" s="7"/>
      <c r="C1172" s="7"/>
      <c r="D1172" s="116"/>
      <c r="E1172" s="116"/>
      <c r="F1172" s="8"/>
      <c r="G1172" s="8"/>
      <c r="H1172" s="7"/>
      <c r="I1172" s="8"/>
      <c r="J1172" s="8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</row>
    <row r="1173">
      <c r="A1173" s="80"/>
      <c r="B1173" s="7"/>
      <c r="C1173" s="7"/>
      <c r="D1173" s="116"/>
      <c r="E1173" s="116"/>
      <c r="F1173" s="8"/>
      <c r="G1173" s="8"/>
      <c r="H1173" s="7"/>
      <c r="I1173" s="8"/>
      <c r="J1173" s="8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</row>
    <row r="1174">
      <c r="A1174" s="80"/>
      <c r="B1174" s="7"/>
      <c r="C1174" s="7"/>
      <c r="D1174" s="116"/>
      <c r="E1174" s="116"/>
      <c r="F1174" s="8"/>
      <c r="G1174" s="8"/>
      <c r="H1174" s="7"/>
      <c r="I1174" s="8"/>
      <c r="J1174" s="8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</row>
    <row r="1175">
      <c r="A1175" s="80"/>
      <c r="B1175" s="7"/>
      <c r="C1175" s="7"/>
      <c r="D1175" s="116"/>
      <c r="E1175" s="116"/>
      <c r="F1175" s="8"/>
      <c r="G1175" s="8"/>
      <c r="H1175" s="7"/>
      <c r="I1175" s="8"/>
      <c r="J1175" s="8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</row>
    <row r="1176">
      <c r="A1176" s="80"/>
      <c r="B1176" s="7"/>
      <c r="C1176" s="7"/>
      <c r="D1176" s="116"/>
      <c r="E1176" s="116"/>
      <c r="F1176" s="8"/>
      <c r="G1176" s="8"/>
      <c r="H1176" s="7"/>
      <c r="I1176" s="8"/>
      <c r="J1176" s="8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</row>
    <row r="1177">
      <c r="A1177" s="80"/>
      <c r="B1177" s="7"/>
      <c r="C1177" s="7"/>
      <c r="D1177" s="116"/>
      <c r="E1177" s="116"/>
      <c r="F1177" s="8"/>
      <c r="G1177" s="8"/>
      <c r="H1177" s="7"/>
      <c r="I1177" s="8"/>
      <c r="J1177" s="8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</row>
    <row r="1178">
      <c r="A1178" s="80"/>
      <c r="B1178" s="7"/>
      <c r="C1178" s="7"/>
      <c r="D1178" s="116"/>
      <c r="E1178" s="116"/>
      <c r="F1178" s="8"/>
      <c r="G1178" s="8"/>
      <c r="H1178" s="7"/>
      <c r="I1178" s="8"/>
      <c r="J1178" s="8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</row>
    <row r="1179">
      <c r="A1179" s="80"/>
      <c r="B1179" s="7"/>
      <c r="C1179" s="7"/>
      <c r="D1179" s="116"/>
      <c r="E1179" s="116"/>
      <c r="F1179" s="8"/>
      <c r="G1179" s="8"/>
      <c r="H1179" s="7"/>
      <c r="I1179" s="8"/>
      <c r="J1179" s="8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</row>
    <row r="1180">
      <c r="A1180" s="80"/>
      <c r="B1180" s="7"/>
      <c r="C1180" s="7"/>
      <c r="D1180" s="116"/>
      <c r="E1180" s="116"/>
      <c r="F1180" s="8"/>
      <c r="G1180" s="8"/>
      <c r="H1180" s="7"/>
      <c r="I1180" s="8"/>
      <c r="J1180" s="8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</row>
    <row r="1181">
      <c r="A1181" s="80"/>
      <c r="B1181" s="7"/>
      <c r="C1181" s="7"/>
      <c r="D1181" s="116"/>
      <c r="E1181" s="116"/>
      <c r="F1181" s="8"/>
      <c r="G1181" s="8"/>
      <c r="H1181" s="7"/>
      <c r="I1181" s="8"/>
      <c r="J1181" s="8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</row>
    <row r="1182">
      <c r="A1182" s="80"/>
      <c r="B1182" s="7"/>
      <c r="C1182" s="7"/>
      <c r="D1182" s="116"/>
      <c r="E1182" s="116"/>
      <c r="F1182" s="8"/>
      <c r="G1182" s="8"/>
      <c r="H1182" s="7"/>
      <c r="I1182" s="8"/>
      <c r="J1182" s="8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</row>
    <row r="1183">
      <c r="A1183" s="80"/>
      <c r="B1183" s="7"/>
      <c r="C1183" s="7"/>
      <c r="D1183" s="116"/>
      <c r="E1183" s="116"/>
      <c r="F1183" s="8"/>
      <c r="G1183" s="8"/>
      <c r="H1183" s="7"/>
      <c r="I1183" s="8"/>
      <c r="J1183" s="8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</row>
    <row r="1184">
      <c r="A1184" s="80"/>
      <c r="B1184" s="7"/>
      <c r="C1184" s="7"/>
      <c r="D1184" s="116"/>
      <c r="E1184" s="116"/>
      <c r="F1184" s="8"/>
      <c r="G1184" s="8"/>
      <c r="H1184" s="7"/>
      <c r="I1184" s="8"/>
      <c r="J1184" s="8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</row>
    <row r="1185">
      <c r="A1185" s="80"/>
      <c r="B1185" s="7"/>
      <c r="C1185" s="7"/>
      <c r="D1185" s="116"/>
      <c r="E1185" s="116"/>
      <c r="F1185" s="8"/>
      <c r="G1185" s="8"/>
      <c r="H1185" s="7"/>
      <c r="I1185" s="8"/>
      <c r="J1185" s="8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</row>
    <row r="1186">
      <c r="A1186" s="80"/>
      <c r="B1186" s="7"/>
      <c r="C1186" s="7"/>
      <c r="D1186" s="116"/>
      <c r="E1186" s="116"/>
      <c r="F1186" s="8"/>
      <c r="G1186" s="8"/>
      <c r="H1186" s="7"/>
      <c r="I1186" s="8"/>
      <c r="J1186" s="8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</row>
    <row r="1187">
      <c r="A1187" s="80"/>
      <c r="B1187" s="7"/>
      <c r="C1187" s="7"/>
      <c r="D1187" s="116"/>
      <c r="E1187" s="116"/>
      <c r="F1187" s="8"/>
      <c r="G1187" s="8"/>
      <c r="H1187" s="7"/>
      <c r="I1187" s="8"/>
      <c r="J1187" s="8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</row>
    <row r="1188">
      <c r="A1188" s="80"/>
      <c r="B1188" s="7"/>
      <c r="C1188" s="7"/>
      <c r="D1188" s="116"/>
      <c r="E1188" s="116"/>
      <c r="F1188" s="8"/>
      <c r="G1188" s="8"/>
      <c r="H1188" s="7"/>
      <c r="I1188" s="8"/>
      <c r="J1188" s="8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</row>
    <row r="1189">
      <c r="A1189" s="80"/>
      <c r="B1189" s="7"/>
      <c r="C1189" s="7"/>
      <c r="D1189" s="116"/>
      <c r="E1189" s="116"/>
      <c r="F1189" s="8"/>
      <c r="G1189" s="8"/>
      <c r="H1189" s="7"/>
      <c r="I1189" s="8"/>
      <c r="J1189" s="8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</row>
    <row r="1190">
      <c r="A1190" s="80"/>
      <c r="B1190" s="7"/>
      <c r="C1190" s="7"/>
      <c r="D1190" s="116"/>
      <c r="E1190" s="116"/>
      <c r="F1190" s="8"/>
      <c r="G1190" s="8"/>
      <c r="H1190" s="7"/>
      <c r="I1190" s="8"/>
      <c r="J1190" s="8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</row>
    <row r="1191">
      <c r="A1191" s="80"/>
      <c r="B1191" s="7"/>
      <c r="C1191" s="7"/>
      <c r="D1191" s="116"/>
      <c r="E1191" s="116"/>
      <c r="F1191" s="8"/>
      <c r="G1191" s="8"/>
      <c r="H1191" s="7"/>
      <c r="I1191" s="8"/>
      <c r="J1191" s="8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</row>
    <row r="1192">
      <c r="A1192" s="80"/>
      <c r="B1192" s="7"/>
      <c r="C1192" s="7"/>
      <c r="D1192" s="116"/>
      <c r="E1192" s="116"/>
      <c r="F1192" s="8"/>
      <c r="G1192" s="8"/>
      <c r="H1192" s="7"/>
      <c r="I1192" s="8"/>
      <c r="J1192" s="8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</row>
    <row r="1193">
      <c r="A1193" s="80"/>
      <c r="B1193" s="7"/>
      <c r="C1193" s="7"/>
      <c r="D1193" s="116"/>
      <c r="E1193" s="116"/>
      <c r="F1193" s="8"/>
      <c r="G1193" s="8"/>
      <c r="H1193" s="7"/>
      <c r="I1193" s="8"/>
      <c r="J1193" s="8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</row>
    <row r="1194">
      <c r="A1194" s="80"/>
      <c r="B1194" s="7"/>
      <c r="C1194" s="7"/>
      <c r="D1194" s="116"/>
      <c r="E1194" s="116"/>
      <c r="F1194" s="8"/>
      <c r="G1194" s="8"/>
      <c r="H1194" s="7"/>
      <c r="I1194" s="8"/>
      <c r="J1194" s="8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</row>
    <row r="1195">
      <c r="A1195" s="80"/>
      <c r="B1195" s="7"/>
      <c r="C1195" s="7"/>
      <c r="D1195" s="116"/>
      <c r="E1195" s="116"/>
      <c r="F1195" s="8"/>
      <c r="G1195" s="8"/>
      <c r="H1195" s="7"/>
      <c r="I1195" s="8"/>
      <c r="J1195" s="8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</row>
    <row r="1196">
      <c r="A1196" s="80"/>
      <c r="B1196" s="7"/>
      <c r="C1196" s="7"/>
      <c r="D1196" s="116"/>
      <c r="E1196" s="116"/>
      <c r="F1196" s="8"/>
      <c r="G1196" s="8"/>
      <c r="H1196" s="7"/>
      <c r="I1196" s="8"/>
      <c r="J1196" s="8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</row>
    <row r="1197">
      <c r="A1197" s="80"/>
      <c r="B1197" s="7"/>
      <c r="C1197" s="7"/>
      <c r="D1197" s="116"/>
      <c r="E1197" s="116"/>
      <c r="F1197" s="8"/>
      <c r="G1197" s="8"/>
      <c r="H1197" s="7"/>
      <c r="I1197" s="8"/>
      <c r="J1197" s="8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</row>
    <row r="1198">
      <c r="A1198" s="80"/>
      <c r="B1198" s="7"/>
      <c r="C1198" s="7"/>
      <c r="D1198" s="116"/>
      <c r="E1198" s="116"/>
      <c r="F1198" s="8"/>
      <c r="G1198" s="8"/>
      <c r="H1198" s="7"/>
      <c r="I1198" s="8"/>
      <c r="J1198" s="8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</row>
    <row r="1199">
      <c r="A1199" s="80"/>
      <c r="B1199" s="7"/>
      <c r="C1199" s="7"/>
      <c r="D1199" s="116"/>
      <c r="E1199" s="116"/>
      <c r="F1199" s="8"/>
      <c r="G1199" s="8"/>
      <c r="H1199" s="7"/>
      <c r="I1199" s="8"/>
      <c r="J1199" s="8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</row>
    <row r="1200">
      <c r="A1200" s="80"/>
      <c r="B1200" s="7"/>
      <c r="C1200" s="7"/>
      <c r="D1200" s="116"/>
      <c r="E1200" s="116"/>
      <c r="F1200" s="8"/>
      <c r="G1200" s="8"/>
      <c r="H1200" s="7"/>
      <c r="I1200" s="8"/>
      <c r="J1200" s="8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</row>
    <row r="1201">
      <c r="A1201" s="80"/>
      <c r="B1201" s="7"/>
      <c r="C1201" s="7"/>
      <c r="D1201" s="116"/>
      <c r="E1201" s="116"/>
      <c r="F1201" s="8"/>
      <c r="G1201" s="8"/>
      <c r="H1201" s="7"/>
      <c r="I1201" s="8"/>
      <c r="J1201" s="8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</row>
    <row r="1202">
      <c r="A1202" s="80"/>
      <c r="B1202" s="7"/>
      <c r="C1202" s="7"/>
      <c r="D1202" s="116"/>
      <c r="E1202" s="116"/>
      <c r="F1202" s="8"/>
      <c r="G1202" s="8"/>
      <c r="H1202" s="7"/>
      <c r="I1202" s="8"/>
      <c r="J1202" s="8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</row>
    <row r="1203">
      <c r="A1203" s="80"/>
      <c r="B1203" s="7"/>
      <c r="C1203" s="7"/>
      <c r="D1203" s="116"/>
      <c r="E1203" s="116"/>
      <c r="F1203" s="8"/>
      <c r="G1203" s="8"/>
      <c r="H1203" s="7"/>
      <c r="I1203" s="8"/>
      <c r="J1203" s="8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</row>
    <row r="1204">
      <c r="A1204" s="80"/>
      <c r="B1204" s="7"/>
      <c r="C1204" s="7"/>
      <c r="D1204" s="116"/>
      <c r="E1204" s="116"/>
      <c r="F1204" s="8"/>
      <c r="G1204" s="8"/>
      <c r="H1204" s="7"/>
      <c r="I1204" s="8"/>
      <c r="J1204" s="8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</row>
    <row r="1205">
      <c r="A1205" s="80"/>
      <c r="B1205" s="7"/>
      <c r="C1205" s="7"/>
      <c r="D1205" s="116"/>
      <c r="E1205" s="116"/>
      <c r="F1205" s="8"/>
      <c r="G1205" s="8"/>
      <c r="H1205" s="7"/>
      <c r="I1205" s="8"/>
      <c r="J1205" s="8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</row>
    <row r="1206">
      <c r="A1206" s="80"/>
      <c r="B1206" s="7"/>
      <c r="C1206" s="7"/>
      <c r="D1206" s="116"/>
      <c r="E1206" s="116"/>
      <c r="F1206" s="8"/>
      <c r="G1206" s="8"/>
      <c r="H1206" s="7"/>
      <c r="I1206" s="8"/>
      <c r="J1206" s="8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</row>
    <row r="1207">
      <c r="A1207" s="80"/>
      <c r="B1207" s="7"/>
      <c r="C1207" s="7"/>
      <c r="D1207" s="116"/>
      <c r="E1207" s="116"/>
      <c r="F1207" s="8"/>
      <c r="G1207" s="8"/>
      <c r="H1207" s="7"/>
      <c r="I1207" s="8"/>
      <c r="J1207" s="8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</row>
    <row r="1208">
      <c r="A1208" s="80"/>
      <c r="B1208" s="7"/>
      <c r="C1208" s="7"/>
      <c r="D1208" s="116"/>
      <c r="E1208" s="116"/>
      <c r="F1208" s="8"/>
      <c r="G1208" s="8"/>
      <c r="H1208" s="7"/>
      <c r="I1208" s="8"/>
      <c r="J1208" s="8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</row>
    <row r="1209">
      <c r="A1209" s="80"/>
      <c r="B1209" s="7"/>
      <c r="C1209" s="7"/>
      <c r="D1209" s="116"/>
      <c r="E1209" s="116"/>
      <c r="F1209" s="8"/>
      <c r="G1209" s="8"/>
      <c r="H1209" s="7"/>
      <c r="I1209" s="8"/>
      <c r="J1209" s="8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</row>
    <row r="1210">
      <c r="A1210" s="80"/>
      <c r="B1210" s="7"/>
      <c r="C1210" s="7"/>
      <c r="D1210" s="116"/>
      <c r="E1210" s="116"/>
      <c r="F1210" s="8"/>
      <c r="G1210" s="8"/>
      <c r="H1210" s="7"/>
      <c r="I1210" s="8"/>
      <c r="J1210" s="8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</row>
    <row r="1211">
      <c r="A1211" s="80"/>
      <c r="B1211" s="7"/>
      <c r="C1211" s="7"/>
      <c r="D1211" s="116"/>
      <c r="E1211" s="116"/>
      <c r="F1211" s="8"/>
      <c r="G1211" s="8"/>
      <c r="H1211" s="7"/>
      <c r="I1211" s="8"/>
      <c r="J1211" s="8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</row>
    <row r="1212">
      <c r="A1212" s="80"/>
      <c r="B1212" s="7"/>
      <c r="C1212" s="7"/>
      <c r="D1212" s="116"/>
      <c r="E1212" s="116"/>
      <c r="F1212" s="8"/>
      <c r="G1212" s="8"/>
      <c r="H1212" s="7"/>
      <c r="I1212" s="8"/>
      <c r="J1212" s="8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</row>
    <row r="1213">
      <c r="A1213" s="80"/>
      <c r="B1213" s="7"/>
      <c r="C1213" s="7"/>
      <c r="D1213" s="116"/>
      <c r="E1213" s="116"/>
      <c r="F1213" s="8"/>
      <c r="G1213" s="8"/>
      <c r="H1213" s="7"/>
      <c r="I1213" s="8"/>
      <c r="J1213" s="8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</row>
    <row r="1214">
      <c r="A1214" s="80"/>
      <c r="B1214" s="7"/>
      <c r="C1214" s="7"/>
      <c r="D1214" s="116"/>
      <c r="E1214" s="116"/>
      <c r="F1214" s="8"/>
      <c r="G1214" s="8"/>
      <c r="H1214" s="7"/>
      <c r="I1214" s="8"/>
      <c r="J1214" s="8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</row>
    <row r="1215">
      <c r="A1215" s="80"/>
      <c r="B1215" s="7"/>
      <c r="C1215" s="7"/>
      <c r="D1215" s="116"/>
      <c r="E1215" s="116"/>
      <c r="F1215" s="8"/>
      <c r="G1215" s="8"/>
      <c r="H1215" s="7"/>
      <c r="I1215" s="8"/>
      <c r="J1215" s="8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</row>
    <row r="1216">
      <c r="A1216" s="80"/>
      <c r="B1216" s="7"/>
      <c r="C1216" s="7"/>
      <c r="D1216" s="116"/>
      <c r="E1216" s="116"/>
      <c r="F1216" s="8"/>
      <c r="G1216" s="8"/>
      <c r="H1216" s="7"/>
      <c r="I1216" s="8"/>
      <c r="J1216" s="8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</row>
    <row r="1217">
      <c r="A1217" s="80"/>
      <c r="B1217" s="7"/>
      <c r="C1217" s="7"/>
      <c r="D1217" s="116"/>
      <c r="E1217" s="116"/>
      <c r="F1217" s="8"/>
      <c r="G1217" s="8"/>
      <c r="H1217" s="7"/>
      <c r="I1217" s="8"/>
      <c r="J1217" s="8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</row>
    <row r="1218">
      <c r="A1218" s="80"/>
      <c r="B1218" s="7"/>
      <c r="C1218" s="7"/>
      <c r="D1218" s="116"/>
      <c r="E1218" s="116"/>
      <c r="F1218" s="8"/>
      <c r="G1218" s="8"/>
      <c r="H1218" s="7"/>
      <c r="I1218" s="8"/>
      <c r="J1218" s="8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</row>
    <row r="1219">
      <c r="A1219" s="80"/>
      <c r="B1219" s="7"/>
      <c r="C1219" s="7"/>
      <c r="D1219" s="116"/>
      <c r="E1219" s="116"/>
      <c r="F1219" s="8"/>
      <c r="G1219" s="8"/>
      <c r="H1219" s="7"/>
      <c r="I1219" s="8"/>
      <c r="J1219" s="8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</row>
    <row r="1220">
      <c r="A1220" s="80"/>
      <c r="B1220" s="7"/>
      <c r="C1220" s="7"/>
      <c r="D1220" s="116"/>
      <c r="E1220" s="116"/>
      <c r="F1220" s="8"/>
      <c r="G1220" s="8"/>
      <c r="H1220" s="7"/>
      <c r="I1220" s="8"/>
      <c r="J1220" s="8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</row>
    <row r="1221">
      <c r="A1221" s="80"/>
      <c r="B1221" s="7"/>
      <c r="C1221" s="7"/>
      <c r="D1221" s="116"/>
      <c r="E1221" s="116"/>
      <c r="F1221" s="8"/>
      <c r="G1221" s="8"/>
      <c r="H1221" s="7"/>
      <c r="I1221" s="8"/>
      <c r="J1221" s="8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</row>
    <row r="1222">
      <c r="A1222" s="80"/>
      <c r="B1222" s="7"/>
      <c r="C1222" s="7"/>
      <c r="D1222" s="116"/>
      <c r="E1222" s="116"/>
      <c r="F1222" s="8"/>
      <c r="G1222" s="8"/>
      <c r="H1222" s="7"/>
      <c r="I1222" s="8"/>
      <c r="J1222" s="8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</row>
    <row r="1223">
      <c r="A1223" s="80"/>
      <c r="B1223" s="7"/>
      <c r="C1223" s="7"/>
      <c r="D1223" s="116"/>
      <c r="E1223" s="116"/>
      <c r="F1223" s="8"/>
      <c r="G1223" s="8"/>
      <c r="H1223" s="7"/>
      <c r="I1223" s="8"/>
      <c r="J1223" s="8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</row>
    <row r="1224">
      <c r="A1224" s="80"/>
      <c r="B1224" s="7"/>
      <c r="C1224" s="7"/>
      <c r="D1224" s="116"/>
      <c r="E1224" s="116"/>
      <c r="F1224" s="8"/>
      <c r="G1224" s="8"/>
      <c r="H1224" s="7"/>
      <c r="I1224" s="8"/>
      <c r="J1224" s="8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</row>
    <row r="1225">
      <c r="A1225" s="80"/>
      <c r="B1225" s="7"/>
      <c r="C1225" s="7"/>
      <c r="D1225" s="116"/>
      <c r="E1225" s="116"/>
      <c r="F1225" s="8"/>
      <c r="G1225" s="8"/>
      <c r="H1225" s="7"/>
      <c r="I1225" s="8"/>
      <c r="J1225" s="8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</row>
    <row r="1226">
      <c r="A1226" s="80"/>
      <c r="B1226" s="7"/>
      <c r="C1226" s="7"/>
      <c r="D1226" s="116"/>
      <c r="E1226" s="116"/>
      <c r="F1226" s="8"/>
      <c r="G1226" s="8"/>
      <c r="H1226" s="7"/>
      <c r="I1226" s="8"/>
      <c r="J1226" s="8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</row>
    <row r="1227">
      <c r="A1227" s="80"/>
      <c r="B1227" s="7"/>
      <c r="C1227" s="7"/>
      <c r="D1227" s="116"/>
      <c r="E1227" s="116"/>
      <c r="F1227" s="8"/>
      <c r="G1227" s="8"/>
      <c r="H1227" s="7"/>
      <c r="I1227" s="8"/>
      <c r="J1227" s="8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</row>
    <row r="1228">
      <c r="A1228" s="80"/>
      <c r="B1228" s="7"/>
      <c r="C1228" s="7"/>
      <c r="D1228" s="116"/>
      <c r="E1228" s="116"/>
      <c r="F1228" s="8"/>
      <c r="G1228" s="8"/>
      <c r="H1228" s="7"/>
      <c r="I1228" s="8"/>
      <c r="J1228" s="8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</row>
    <row r="1229">
      <c r="A1229" s="80"/>
      <c r="B1229" s="7"/>
      <c r="C1229" s="7"/>
      <c r="D1229" s="116"/>
      <c r="E1229" s="116"/>
      <c r="F1229" s="8"/>
      <c r="G1229" s="8"/>
      <c r="H1229" s="7"/>
      <c r="I1229" s="8"/>
      <c r="J1229" s="8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</row>
    <row r="1230">
      <c r="A1230" s="80"/>
      <c r="B1230" s="7"/>
      <c r="C1230" s="7"/>
      <c r="D1230" s="116"/>
      <c r="E1230" s="116"/>
      <c r="F1230" s="8"/>
      <c r="G1230" s="8"/>
      <c r="H1230" s="7"/>
      <c r="I1230" s="8"/>
      <c r="J1230" s="8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</row>
    <row r="1231">
      <c r="A1231" s="80"/>
      <c r="B1231" s="7"/>
      <c r="C1231" s="7"/>
      <c r="D1231" s="116"/>
      <c r="E1231" s="116"/>
      <c r="F1231" s="8"/>
      <c r="G1231" s="8"/>
      <c r="H1231" s="7"/>
      <c r="I1231" s="8"/>
      <c r="J1231" s="8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</row>
    <row r="1232">
      <c r="A1232" s="80"/>
      <c r="B1232" s="7"/>
      <c r="C1232" s="7"/>
      <c r="D1232" s="116"/>
      <c r="E1232" s="116"/>
      <c r="F1232" s="8"/>
      <c r="G1232" s="8"/>
      <c r="H1232" s="7"/>
      <c r="I1232" s="8"/>
      <c r="J1232" s="8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</row>
    <row r="1233">
      <c r="A1233" s="80"/>
      <c r="B1233" s="7"/>
      <c r="C1233" s="7"/>
      <c r="D1233" s="116"/>
      <c r="E1233" s="116"/>
      <c r="F1233" s="8"/>
      <c r="G1233" s="8"/>
      <c r="H1233" s="7"/>
      <c r="I1233" s="8"/>
      <c r="J1233" s="8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</row>
    <row r="1234">
      <c r="A1234" s="80"/>
      <c r="B1234" s="7"/>
      <c r="C1234" s="7"/>
      <c r="D1234" s="116"/>
      <c r="E1234" s="116"/>
      <c r="F1234" s="8"/>
      <c r="G1234" s="8"/>
      <c r="H1234" s="7"/>
      <c r="I1234" s="8"/>
      <c r="J1234" s="8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</row>
    <row r="1235">
      <c r="A1235" s="80"/>
      <c r="B1235" s="7"/>
      <c r="C1235" s="7"/>
      <c r="D1235" s="116"/>
      <c r="E1235" s="116"/>
      <c r="F1235" s="8"/>
      <c r="G1235" s="8"/>
      <c r="H1235" s="7"/>
      <c r="I1235" s="8"/>
      <c r="J1235" s="8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</row>
    <row r="1236">
      <c r="A1236" s="80"/>
      <c r="B1236" s="7"/>
      <c r="C1236" s="7"/>
      <c r="D1236" s="116"/>
      <c r="E1236" s="116"/>
      <c r="F1236" s="8"/>
      <c r="G1236" s="8"/>
      <c r="H1236" s="7"/>
      <c r="I1236" s="8"/>
      <c r="J1236" s="8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</row>
    <row r="1237">
      <c r="A1237" s="80"/>
      <c r="B1237" s="7"/>
      <c r="C1237" s="7"/>
      <c r="D1237" s="116"/>
      <c r="E1237" s="116"/>
      <c r="F1237" s="8"/>
      <c r="G1237" s="8"/>
      <c r="H1237" s="7"/>
      <c r="I1237" s="8"/>
      <c r="J1237" s="8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</row>
    <row r="1238">
      <c r="A1238" s="80"/>
      <c r="B1238" s="7"/>
      <c r="C1238" s="7"/>
      <c r="D1238" s="116"/>
      <c r="E1238" s="116"/>
      <c r="F1238" s="8"/>
      <c r="G1238" s="8"/>
      <c r="H1238" s="7"/>
      <c r="I1238" s="8"/>
      <c r="J1238" s="8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</row>
    <row r="1239">
      <c r="A1239" s="80"/>
      <c r="B1239" s="7"/>
      <c r="C1239" s="7"/>
      <c r="D1239" s="116"/>
      <c r="E1239" s="116"/>
      <c r="F1239" s="8"/>
      <c r="G1239" s="8"/>
      <c r="H1239" s="7"/>
      <c r="I1239" s="8"/>
      <c r="J1239" s="8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</row>
    <row r="1240">
      <c r="A1240" s="80"/>
      <c r="B1240" s="7"/>
      <c r="C1240" s="7"/>
      <c r="D1240" s="116"/>
      <c r="E1240" s="116"/>
      <c r="F1240" s="8"/>
      <c r="G1240" s="8"/>
      <c r="H1240" s="7"/>
      <c r="I1240" s="8"/>
      <c r="J1240" s="8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</row>
    <row r="1241">
      <c r="A1241" s="80"/>
      <c r="B1241" s="7"/>
      <c r="C1241" s="7"/>
      <c r="D1241" s="116"/>
      <c r="E1241" s="116"/>
      <c r="F1241" s="8"/>
      <c r="G1241" s="8"/>
      <c r="H1241" s="7"/>
      <c r="I1241" s="8"/>
      <c r="J1241" s="8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</row>
    <row r="1242">
      <c r="A1242" s="80"/>
      <c r="B1242" s="7"/>
      <c r="C1242" s="7"/>
      <c r="D1242" s="116"/>
      <c r="E1242" s="116"/>
      <c r="F1242" s="8"/>
      <c r="G1242" s="8"/>
      <c r="H1242" s="7"/>
      <c r="I1242" s="8"/>
      <c r="J1242" s="8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</row>
    <row r="1243">
      <c r="A1243" s="80"/>
      <c r="B1243" s="7"/>
      <c r="C1243" s="7"/>
      <c r="D1243" s="116"/>
      <c r="E1243" s="116"/>
      <c r="F1243" s="8"/>
      <c r="G1243" s="8"/>
      <c r="H1243" s="7"/>
      <c r="I1243" s="8"/>
      <c r="J1243" s="8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>
      <c r="A1244" s="80"/>
      <c r="B1244" s="7"/>
      <c r="C1244" s="7"/>
      <c r="D1244" s="116"/>
      <c r="E1244" s="116"/>
      <c r="F1244" s="8"/>
      <c r="G1244" s="8"/>
      <c r="H1244" s="7"/>
      <c r="I1244" s="8"/>
      <c r="J1244" s="8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</row>
    <row r="1245">
      <c r="A1245" s="80"/>
      <c r="B1245" s="7"/>
      <c r="C1245" s="7"/>
      <c r="D1245" s="116"/>
      <c r="E1245" s="116"/>
      <c r="F1245" s="8"/>
      <c r="G1245" s="8"/>
      <c r="H1245" s="7"/>
      <c r="I1245" s="8"/>
      <c r="J1245" s="8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</row>
    <row r="1246">
      <c r="A1246" s="80"/>
      <c r="B1246" s="7"/>
      <c r="C1246" s="7"/>
      <c r="D1246" s="116"/>
      <c r="E1246" s="116"/>
      <c r="F1246" s="8"/>
      <c r="G1246" s="8"/>
      <c r="H1246" s="7"/>
      <c r="I1246" s="8"/>
      <c r="J1246" s="8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</row>
    <row r="1247">
      <c r="A1247" s="80"/>
      <c r="B1247" s="7"/>
      <c r="C1247" s="7"/>
      <c r="D1247" s="116"/>
      <c r="E1247" s="116"/>
      <c r="F1247" s="8"/>
      <c r="G1247" s="8"/>
      <c r="H1247" s="7"/>
      <c r="I1247" s="8"/>
      <c r="J1247" s="8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</row>
    <row r="1248">
      <c r="A1248" s="80"/>
      <c r="B1248" s="7"/>
      <c r="C1248" s="7"/>
      <c r="D1248" s="116"/>
      <c r="E1248" s="116"/>
      <c r="F1248" s="8"/>
      <c r="G1248" s="8"/>
      <c r="H1248" s="7"/>
      <c r="I1248" s="8"/>
      <c r="J1248" s="8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</row>
    <row r="1249">
      <c r="A1249" s="80"/>
      <c r="B1249" s="7"/>
      <c r="C1249" s="7"/>
      <c r="D1249" s="116"/>
      <c r="E1249" s="116"/>
      <c r="F1249" s="8"/>
      <c r="G1249" s="8"/>
      <c r="H1249" s="7"/>
      <c r="I1249" s="8"/>
      <c r="J1249" s="8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</row>
    <row r="1250">
      <c r="A1250" s="80"/>
      <c r="B1250" s="7"/>
      <c r="C1250" s="7"/>
      <c r="D1250" s="116"/>
      <c r="E1250" s="116"/>
      <c r="F1250" s="8"/>
      <c r="G1250" s="8"/>
      <c r="H1250" s="7"/>
      <c r="I1250" s="8"/>
      <c r="J1250" s="8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</row>
    <row r="1251">
      <c r="A1251" s="80"/>
      <c r="B1251" s="7"/>
      <c r="C1251" s="7"/>
      <c r="D1251" s="116"/>
      <c r="E1251" s="116"/>
      <c r="F1251" s="8"/>
      <c r="G1251" s="8"/>
      <c r="H1251" s="7"/>
      <c r="I1251" s="8"/>
      <c r="J1251" s="8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</row>
    <row r="1252">
      <c r="A1252" s="80"/>
      <c r="B1252" s="7"/>
      <c r="C1252" s="7"/>
      <c r="D1252" s="116"/>
      <c r="E1252" s="116"/>
      <c r="F1252" s="8"/>
      <c r="G1252" s="8"/>
      <c r="H1252" s="7"/>
      <c r="I1252" s="8"/>
      <c r="J1252" s="8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</row>
    <row r="1253">
      <c r="A1253" s="80"/>
      <c r="B1253" s="7"/>
      <c r="C1253" s="7"/>
      <c r="D1253" s="116"/>
      <c r="E1253" s="116"/>
      <c r="F1253" s="8"/>
      <c r="G1253" s="8"/>
      <c r="H1253" s="7"/>
      <c r="I1253" s="8"/>
      <c r="J1253" s="8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</row>
    <row r="1254">
      <c r="A1254" s="80"/>
      <c r="B1254" s="7"/>
      <c r="C1254" s="7"/>
      <c r="D1254" s="116"/>
      <c r="E1254" s="116"/>
      <c r="F1254" s="8"/>
      <c r="G1254" s="8"/>
      <c r="H1254" s="7"/>
      <c r="I1254" s="8"/>
      <c r="J1254" s="8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</row>
    <row r="1255">
      <c r="A1255" s="80"/>
      <c r="B1255" s="7"/>
      <c r="C1255" s="7"/>
      <c r="D1255" s="116"/>
      <c r="E1255" s="116"/>
      <c r="F1255" s="8"/>
      <c r="G1255" s="8"/>
      <c r="H1255" s="7"/>
      <c r="I1255" s="8"/>
      <c r="J1255" s="8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</row>
    <row r="1256">
      <c r="A1256" s="80"/>
      <c r="B1256" s="7"/>
      <c r="C1256" s="7"/>
      <c r="D1256" s="116"/>
      <c r="E1256" s="116"/>
      <c r="F1256" s="8"/>
      <c r="G1256" s="8"/>
      <c r="H1256" s="7"/>
      <c r="I1256" s="8"/>
      <c r="J1256" s="8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</row>
    <row r="1257">
      <c r="A1257" s="80"/>
      <c r="B1257" s="7"/>
      <c r="C1257" s="7"/>
      <c r="D1257" s="116"/>
      <c r="E1257" s="116"/>
      <c r="F1257" s="8"/>
      <c r="G1257" s="8"/>
      <c r="H1257" s="7"/>
      <c r="I1257" s="8"/>
      <c r="J1257" s="8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</row>
    <row r="1258">
      <c r="A1258" s="80"/>
      <c r="B1258" s="7"/>
      <c r="C1258" s="7"/>
      <c r="D1258" s="116"/>
      <c r="E1258" s="116"/>
      <c r="F1258" s="8"/>
      <c r="G1258" s="8"/>
      <c r="H1258" s="7"/>
      <c r="I1258" s="8"/>
      <c r="J1258" s="8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</row>
    <row r="1259">
      <c r="A1259" s="80"/>
      <c r="B1259" s="7"/>
      <c r="C1259" s="7"/>
      <c r="D1259" s="116"/>
      <c r="E1259" s="116"/>
      <c r="F1259" s="8"/>
      <c r="G1259" s="8"/>
      <c r="H1259" s="7"/>
      <c r="I1259" s="8"/>
      <c r="J1259" s="8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</row>
    <row r="1260">
      <c r="A1260" s="80"/>
      <c r="B1260" s="7"/>
      <c r="C1260" s="7"/>
      <c r="D1260" s="116"/>
      <c r="E1260" s="116"/>
      <c r="F1260" s="8"/>
      <c r="G1260" s="8"/>
      <c r="H1260" s="7"/>
      <c r="I1260" s="8"/>
      <c r="J1260" s="8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</row>
    <row r="1261">
      <c r="A1261" s="80"/>
      <c r="B1261" s="7"/>
      <c r="C1261" s="7"/>
      <c r="D1261" s="116"/>
      <c r="E1261" s="116"/>
      <c r="F1261" s="8"/>
      <c r="G1261" s="8"/>
      <c r="H1261" s="7"/>
      <c r="I1261" s="8"/>
      <c r="J1261" s="8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</row>
    <row r="1262">
      <c r="A1262" s="80"/>
      <c r="B1262" s="7"/>
      <c r="C1262" s="7"/>
      <c r="D1262" s="116"/>
      <c r="E1262" s="116"/>
      <c r="F1262" s="8"/>
      <c r="G1262" s="8"/>
      <c r="H1262" s="7"/>
      <c r="I1262" s="8"/>
      <c r="J1262" s="8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</row>
    <row r="1263">
      <c r="A1263" s="80"/>
      <c r="B1263" s="7"/>
      <c r="C1263" s="7"/>
      <c r="D1263" s="116"/>
      <c r="E1263" s="116"/>
      <c r="F1263" s="8"/>
      <c r="G1263" s="8"/>
      <c r="H1263" s="7"/>
      <c r="I1263" s="8"/>
      <c r="J1263" s="8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</row>
    <row r="1264">
      <c r="A1264" s="80"/>
      <c r="B1264" s="7"/>
      <c r="C1264" s="7"/>
      <c r="D1264" s="116"/>
      <c r="E1264" s="116"/>
      <c r="F1264" s="8"/>
      <c r="G1264" s="8"/>
      <c r="H1264" s="7"/>
      <c r="I1264" s="8"/>
      <c r="J1264" s="8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</row>
    <row r="1265">
      <c r="A1265" s="80"/>
      <c r="B1265" s="7"/>
      <c r="C1265" s="7"/>
      <c r="D1265" s="116"/>
      <c r="E1265" s="116"/>
      <c r="F1265" s="8"/>
      <c r="G1265" s="8"/>
      <c r="H1265" s="7"/>
      <c r="I1265" s="8"/>
      <c r="J1265" s="8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</row>
    <row r="1266">
      <c r="A1266" s="80"/>
      <c r="B1266" s="7"/>
      <c r="C1266" s="7"/>
      <c r="D1266" s="116"/>
      <c r="E1266" s="116"/>
      <c r="F1266" s="8"/>
      <c r="G1266" s="8"/>
      <c r="H1266" s="7"/>
      <c r="I1266" s="8"/>
      <c r="J1266" s="8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</row>
    <row r="1267">
      <c r="A1267" s="80"/>
      <c r="B1267" s="7"/>
      <c r="C1267" s="7"/>
      <c r="D1267" s="116"/>
      <c r="E1267" s="116"/>
      <c r="F1267" s="8"/>
      <c r="G1267" s="8"/>
      <c r="H1267" s="7"/>
      <c r="I1267" s="8"/>
      <c r="J1267" s="8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</row>
    <row r="1268">
      <c r="A1268" s="80"/>
      <c r="B1268" s="7"/>
      <c r="C1268" s="7"/>
      <c r="D1268" s="116"/>
      <c r="E1268" s="116"/>
      <c r="F1268" s="8"/>
      <c r="G1268" s="8"/>
      <c r="H1268" s="7"/>
      <c r="I1268" s="8"/>
      <c r="J1268" s="8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</row>
    <row r="1269">
      <c r="A1269" s="80"/>
      <c r="B1269" s="7"/>
      <c r="C1269" s="7"/>
      <c r="D1269" s="116"/>
      <c r="E1269" s="116"/>
      <c r="F1269" s="8"/>
      <c r="G1269" s="8"/>
      <c r="H1269" s="7"/>
      <c r="I1269" s="8"/>
      <c r="J1269" s="8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</row>
    <row r="1270">
      <c r="A1270" s="80"/>
      <c r="B1270" s="7"/>
      <c r="C1270" s="7"/>
      <c r="D1270" s="116"/>
      <c r="E1270" s="116"/>
      <c r="F1270" s="8"/>
      <c r="G1270" s="8"/>
      <c r="H1270" s="7"/>
      <c r="I1270" s="8"/>
      <c r="J1270" s="8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</row>
    <row r="1271">
      <c r="A1271" s="80"/>
      <c r="B1271" s="7"/>
      <c r="C1271" s="7"/>
      <c r="D1271" s="116"/>
      <c r="E1271" s="116"/>
      <c r="F1271" s="8"/>
      <c r="G1271" s="8"/>
      <c r="H1271" s="7"/>
      <c r="I1271" s="8"/>
      <c r="J1271" s="8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</row>
    <row r="1272">
      <c r="A1272" s="80"/>
      <c r="B1272" s="7"/>
      <c r="C1272" s="7"/>
      <c r="D1272" s="116"/>
      <c r="E1272" s="116"/>
      <c r="F1272" s="8"/>
      <c r="G1272" s="8"/>
      <c r="H1272" s="7"/>
      <c r="I1272" s="8"/>
      <c r="J1272" s="8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</row>
    <row r="1273">
      <c r="A1273" s="80"/>
      <c r="B1273" s="7"/>
      <c r="C1273" s="7"/>
      <c r="D1273" s="116"/>
      <c r="E1273" s="116"/>
      <c r="F1273" s="8"/>
      <c r="G1273" s="8"/>
      <c r="H1273" s="7"/>
      <c r="I1273" s="8"/>
      <c r="J1273" s="8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</row>
    <row r="1274">
      <c r="A1274" s="80"/>
      <c r="B1274" s="7"/>
      <c r="C1274" s="7"/>
      <c r="D1274" s="116"/>
      <c r="E1274" s="116"/>
      <c r="F1274" s="8"/>
      <c r="G1274" s="8"/>
      <c r="H1274" s="7"/>
      <c r="I1274" s="8"/>
      <c r="J1274" s="8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</row>
    <row r="1275">
      <c r="A1275" s="80"/>
      <c r="B1275" s="7"/>
      <c r="C1275" s="7"/>
      <c r="D1275" s="116"/>
      <c r="E1275" s="116"/>
      <c r="F1275" s="8"/>
      <c r="G1275" s="8"/>
      <c r="H1275" s="7"/>
      <c r="I1275" s="8"/>
      <c r="J1275" s="8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</row>
    <row r="1276">
      <c r="A1276" s="80"/>
      <c r="B1276" s="7"/>
      <c r="C1276" s="7"/>
      <c r="D1276" s="116"/>
      <c r="E1276" s="116"/>
      <c r="F1276" s="8"/>
      <c r="G1276" s="8"/>
      <c r="H1276" s="7"/>
      <c r="I1276" s="8"/>
      <c r="J1276" s="8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</row>
    <row r="1277">
      <c r="A1277" s="80"/>
      <c r="B1277" s="7"/>
      <c r="C1277" s="7"/>
      <c r="D1277" s="116"/>
      <c r="E1277" s="116"/>
      <c r="F1277" s="8"/>
      <c r="G1277" s="8"/>
      <c r="H1277" s="7"/>
      <c r="I1277" s="8"/>
      <c r="J1277" s="8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</row>
    <row r="1278">
      <c r="A1278" s="80"/>
      <c r="B1278" s="7"/>
      <c r="C1278" s="7"/>
      <c r="D1278" s="116"/>
      <c r="E1278" s="116"/>
      <c r="F1278" s="8"/>
      <c r="G1278" s="8"/>
      <c r="H1278" s="7"/>
      <c r="I1278" s="8"/>
      <c r="J1278" s="8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</row>
    <row r="1279">
      <c r="A1279" s="80"/>
      <c r="B1279" s="7"/>
      <c r="C1279" s="7"/>
      <c r="D1279" s="116"/>
      <c r="E1279" s="116"/>
      <c r="F1279" s="8"/>
      <c r="G1279" s="8"/>
      <c r="H1279" s="7"/>
      <c r="I1279" s="8"/>
      <c r="J1279" s="8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</row>
    <row r="1280">
      <c r="A1280" s="80"/>
      <c r="B1280" s="7"/>
      <c r="C1280" s="7"/>
      <c r="D1280" s="116"/>
      <c r="E1280" s="116"/>
      <c r="F1280" s="8"/>
      <c r="G1280" s="8"/>
      <c r="H1280" s="7"/>
      <c r="I1280" s="8"/>
      <c r="J1280" s="8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</row>
    <row r="1281">
      <c r="A1281" s="80"/>
      <c r="B1281" s="7"/>
      <c r="C1281" s="7"/>
      <c r="D1281" s="116"/>
      <c r="E1281" s="116"/>
      <c r="F1281" s="8"/>
      <c r="G1281" s="8"/>
      <c r="H1281" s="7"/>
      <c r="I1281" s="8"/>
      <c r="J1281" s="8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</row>
    <row r="1282">
      <c r="A1282" s="80"/>
      <c r="B1282" s="7"/>
      <c r="C1282" s="7"/>
      <c r="D1282" s="116"/>
      <c r="E1282" s="116"/>
      <c r="F1282" s="8"/>
      <c r="G1282" s="8"/>
      <c r="H1282" s="7"/>
      <c r="I1282" s="8"/>
      <c r="J1282" s="8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</row>
    <row r="1283">
      <c r="A1283" s="80"/>
      <c r="B1283" s="7"/>
      <c r="C1283" s="7"/>
      <c r="D1283" s="116"/>
      <c r="E1283" s="116"/>
      <c r="F1283" s="8"/>
      <c r="G1283" s="8"/>
      <c r="H1283" s="7"/>
      <c r="I1283" s="8"/>
      <c r="J1283" s="8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</row>
    <row r="1284">
      <c r="A1284" s="80"/>
      <c r="B1284" s="7"/>
      <c r="C1284" s="7"/>
      <c r="D1284" s="116"/>
      <c r="E1284" s="116"/>
      <c r="F1284" s="8"/>
      <c r="G1284" s="8"/>
      <c r="H1284" s="7"/>
      <c r="I1284" s="8"/>
      <c r="J1284" s="8"/>
      <c r="K1284" s="80"/>
      <c r="L1284" s="80"/>
      <c r="M1284" s="7"/>
      <c r="N1284" s="7"/>
      <c r="O1284" s="7"/>
      <c r="P1284" s="7"/>
      <c r="Q1284" s="7"/>
      <c r="R1284" s="7"/>
      <c r="S1284" s="7"/>
      <c r="T1284" s="7"/>
      <c r="U1284" s="7"/>
    </row>
    <row r="1285">
      <c r="A1285" s="80"/>
      <c r="B1285" s="7"/>
      <c r="C1285" s="7"/>
      <c r="D1285" s="116"/>
      <c r="E1285" s="116"/>
      <c r="F1285" s="8"/>
      <c r="G1285" s="8"/>
      <c r="H1285" s="7"/>
      <c r="I1285" s="8"/>
      <c r="J1285" s="8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</row>
    <row r="1286">
      <c r="A1286" s="80"/>
      <c r="B1286" s="7"/>
      <c r="C1286" s="7"/>
      <c r="D1286" s="116"/>
      <c r="E1286" s="116"/>
      <c r="F1286" s="8"/>
      <c r="G1286" s="8"/>
      <c r="H1286" s="7"/>
      <c r="I1286" s="8"/>
      <c r="J1286" s="8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</row>
    <row r="1287">
      <c r="A1287" s="80"/>
      <c r="B1287" s="7"/>
      <c r="C1287" s="7"/>
      <c r="D1287" s="116"/>
      <c r="E1287" s="116"/>
      <c r="F1287" s="8"/>
      <c r="G1287" s="8"/>
      <c r="H1287" s="7"/>
      <c r="I1287" s="8"/>
      <c r="J1287" s="8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</row>
    <row r="1288">
      <c r="A1288" s="80"/>
      <c r="B1288" s="7"/>
      <c r="C1288" s="7"/>
      <c r="D1288" s="116"/>
      <c r="E1288" s="116"/>
      <c r="F1288" s="8"/>
      <c r="G1288" s="8"/>
      <c r="H1288" s="7"/>
      <c r="I1288" s="8"/>
      <c r="J1288" s="8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</row>
    <row r="1289">
      <c r="A1289" s="80"/>
      <c r="B1289" s="7"/>
      <c r="C1289" s="7"/>
      <c r="D1289" s="116"/>
      <c r="E1289" s="116"/>
      <c r="F1289" s="8"/>
      <c r="G1289" s="8"/>
      <c r="H1289" s="7"/>
      <c r="I1289" s="8"/>
      <c r="J1289" s="8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</row>
    <row r="1290">
      <c r="A1290" s="80"/>
      <c r="B1290" s="7"/>
      <c r="C1290" s="7"/>
      <c r="D1290" s="116"/>
      <c r="E1290" s="116"/>
      <c r="F1290" s="8"/>
      <c r="G1290" s="8"/>
      <c r="H1290" s="7"/>
      <c r="I1290" s="8"/>
      <c r="J1290" s="8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</row>
    <row r="1291">
      <c r="A1291" s="80"/>
      <c r="B1291" s="7"/>
      <c r="C1291" s="7"/>
      <c r="D1291" s="116"/>
      <c r="E1291" s="116"/>
      <c r="F1291" s="8"/>
      <c r="G1291" s="8"/>
      <c r="H1291" s="7"/>
      <c r="I1291" s="8"/>
      <c r="J1291" s="8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</row>
    <row r="1292">
      <c r="A1292" s="80"/>
      <c r="B1292" s="7"/>
      <c r="C1292" s="7"/>
      <c r="D1292" s="116"/>
      <c r="E1292" s="116"/>
      <c r="F1292" s="8"/>
      <c r="G1292" s="8"/>
      <c r="H1292" s="7"/>
      <c r="I1292" s="8"/>
      <c r="J1292" s="8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</row>
    <row r="1293">
      <c r="A1293" s="80"/>
      <c r="B1293" s="7"/>
      <c r="C1293" s="7"/>
      <c r="D1293" s="116"/>
      <c r="E1293" s="116"/>
      <c r="F1293" s="8"/>
      <c r="G1293" s="8"/>
      <c r="H1293" s="7"/>
      <c r="I1293" s="8"/>
      <c r="J1293" s="8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</row>
    <row r="1294">
      <c r="A1294" s="80"/>
      <c r="B1294" s="7"/>
      <c r="C1294" s="7"/>
      <c r="D1294" s="116"/>
      <c r="E1294" s="116"/>
      <c r="F1294" s="8"/>
      <c r="G1294" s="8"/>
      <c r="H1294" s="7"/>
      <c r="I1294" s="8"/>
      <c r="J1294" s="8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</row>
    <row r="1295">
      <c r="A1295" s="80"/>
      <c r="B1295" s="7"/>
      <c r="C1295" s="7"/>
      <c r="D1295" s="116"/>
      <c r="E1295" s="116"/>
      <c r="F1295" s="8"/>
      <c r="G1295" s="8"/>
      <c r="H1295" s="7"/>
      <c r="I1295" s="8"/>
      <c r="J1295" s="8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</row>
    <row r="1296">
      <c r="A1296" s="80"/>
      <c r="B1296" s="7"/>
      <c r="C1296" s="7"/>
      <c r="D1296" s="116"/>
      <c r="E1296" s="116"/>
      <c r="F1296" s="8"/>
      <c r="G1296" s="8"/>
      <c r="H1296" s="7"/>
      <c r="I1296" s="8"/>
      <c r="J1296" s="8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</row>
    <row r="1297">
      <c r="A1297" s="80"/>
      <c r="B1297" s="7"/>
      <c r="C1297" s="7"/>
      <c r="D1297" s="116"/>
      <c r="E1297" s="116"/>
      <c r="F1297" s="8"/>
      <c r="G1297" s="8"/>
      <c r="H1297" s="7"/>
      <c r="I1297" s="8"/>
      <c r="J1297" s="8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</row>
    <row r="1298">
      <c r="A1298" s="80"/>
      <c r="B1298" s="7"/>
      <c r="C1298" s="7"/>
      <c r="D1298" s="116"/>
      <c r="E1298" s="116"/>
      <c r="F1298" s="8"/>
      <c r="G1298" s="8"/>
      <c r="H1298" s="7"/>
      <c r="I1298" s="8"/>
      <c r="J1298" s="8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</row>
    <row r="1299">
      <c r="A1299" s="80"/>
      <c r="B1299" s="7"/>
      <c r="C1299" s="7"/>
      <c r="D1299" s="116"/>
      <c r="E1299" s="116"/>
      <c r="F1299" s="8"/>
      <c r="G1299" s="8"/>
      <c r="H1299" s="7"/>
      <c r="I1299" s="8"/>
      <c r="J1299" s="8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</row>
    <row r="1300">
      <c r="A1300" s="80"/>
      <c r="B1300" s="7"/>
      <c r="C1300" s="7"/>
      <c r="D1300" s="116"/>
      <c r="E1300" s="116"/>
      <c r="F1300" s="8"/>
      <c r="G1300" s="8"/>
      <c r="H1300" s="7"/>
      <c r="I1300" s="8"/>
      <c r="J1300" s="8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</row>
    <row r="1301">
      <c r="A1301" s="80"/>
      <c r="B1301" s="7"/>
      <c r="C1301" s="7"/>
      <c r="D1301" s="116"/>
      <c r="E1301" s="116"/>
      <c r="F1301" s="8"/>
      <c r="G1301" s="8"/>
      <c r="H1301" s="7"/>
      <c r="I1301" s="8"/>
      <c r="J1301" s="8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</row>
    <row r="1302">
      <c r="A1302" s="80"/>
      <c r="B1302" s="7"/>
      <c r="C1302" s="7"/>
      <c r="D1302" s="116"/>
      <c r="E1302" s="116"/>
      <c r="F1302" s="8"/>
      <c r="G1302" s="8"/>
      <c r="H1302" s="7"/>
      <c r="I1302" s="8"/>
      <c r="J1302" s="8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</row>
    <row r="1303">
      <c r="A1303" s="80"/>
      <c r="B1303" s="7"/>
      <c r="C1303" s="7"/>
      <c r="D1303" s="116"/>
      <c r="E1303" s="116"/>
      <c r="F1303" s="8"/>
      <c r="G1303" s="8"/>
      <c r="H1303" s="7"/>
      <c r="I1303" s="8"/>
      <c r="J1303" s="8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</row>
    <row r="1304">
      <c r="A1304" s="80"/>
      <c r="B1304" s="7"/>
      <c r="C1304" s="7"/>
      <c r="D1304" s="116"/>
      <c r="E1304" s="116"/>
      <c r="F1304" s="8"/>
      <c r="G1304" s="8"/>
      <c r="H1304" s="7"/>
      <c r="I1304" s="8"/>
      <c r="J1304" s="8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</row>
    <row r="1305">
      <c r="A1305" s="80"/>
      <c r="B1305" s="7"/>
      <c r="C1305" s="7"/>
      <c r="D1305" s="116"/>
      <c r="E1305" s="116"/>
      <c r="F1305" s="8"/>
      <c r="G1305" s="8"/>
      <c r="H1305" s="7"/>
      <c r="I1305" s="8"/>
      <c r="J1305" s="8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</row>
    <row r="1306">
      <c r="A1306" s="80"/>
      <c r="B1306" s="7"/>
      <c r="C1306" s="7"/>
      <c r="D1306" s="116"/>
      <c r="E1306" s="116"/>
      <c r="F1306" s="8"/>
      <c r="G1306" s="8"/>
      <c r="H1306" s="7"/>
      <c r="I1306" s="8"/>
      <c r="J1306" s="8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</row>
    <row r="1307">
      <c r="A1307" s="80"/>
      <c r="B1307" s="7"/>
      <c r="C1307" s="7"/>
      <c r="D1307" s="116"/>
      <c r="E1307" s="116"/>
      <c r="F1307" s="8"/>
      <c r="G1307" s="8"/>
      <c r="H1307" s="7"/>
      <c r="I1307" s="8"/>
      <c r="J1307" s="8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</row>
    <row r="1308">
      <c r="A1308" s="80"/>
      <c r="B1308" s="7"/>
      <c r="C1308" s="7"/>
      <c r="D1308" s="116"/>
      <c r="E1308" s="116"/>
      <c r="F1308" s="8"/>
      <c r="G1308" s="8"/>
      <c r="H1308" s="7"/>
      <c r="I1308" s="8"/>
      <c r="J1308" s="8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</row>
    <row r="1309">
      <c r="A1309" s="80"/>
      <c r="B1309" s="7"/>
      <c r="C1309" s="7"/>
      <c r="D1309" s="116"/>
      <c r="E1309" s="116"/>
      <c r="F1309" s="8"/>
      <c r="G1309" s="8"/>
      <c r="H1309" s="7"/>
      <c r="I1309" s="8"/>
      <c r="J1309" s="8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</row>
    <row r="1310">
      <c r="A1310" s="80"/>
      <c r="B1310" s="7"/>
      <c r="C1310" s="7"/>
      <c r="D1310" s="116"/>
      <c r="E1310" s="116"/>
      <c r="F1310" s="8"/>
      <c r="G1310" s="8"/>
      <c r="H1310" s="7"/>
      <c r="I1310" s="8"/>
      <c r="J1310" s="8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</row>
    <row r="1311">
      <c r="A1311" s="80"/>
      <c r="B1311" s="7"/>
      <c r="C1311" s="7"/>
      <c r="D1311" s="116"/>
      <c r="E1311" s="116"/>
      <c r="F1311" s="8"/>
      <c r="G1311" s="8"/>
      <c r="H1311" s="7"/>
      <c r="I1311" s="8"/>
      <c r="J1311" s="8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</row>
    <row r="1312">
      <c r="A1312" s="80"/>
      <c r="B1312" s="7"/>
      <c r="C1312" s="7"/>
      <c r="D1312" s="116"/>
      <c r="E1312" s="116"/>
      <c r="F1312" s="8"/>
      <c r="G1312" s="8"/>
      <c r="H1312" s="7"/>
      <c r="I1312" s="8"/>
      <c r="J1312" s="8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</row>
    <row r="1313">
      <c r="A1313" s="80"/>
      <c r="B1313" s="7"/>
      <c r="C1313" s="7"/>
      <c r="D1313" s="116"/>
      <c r="E1313" s="116"/>
      <c r="F1313" s="8"/>
      <c r="G1313" s="8"/>
      <c r="H1313" s="7"/>
      <c r="I1313" s="8"/>
      <c r="J1313" s="8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</row>
    <row r="1314">
      <c r="A1314" s="80"/>
      <c r="B1314" s="7"/>
      <c r="C1314" s="7"/>
      <c r="D1314" s="116"/>
      <c r="E1314" s="116"/>
      <c r="F1314" s="8"/>
      <c r="G1314" s="8"/>
      <c r="H1314" s="7"/>
      <c r="I1314" s="8"/>
      <c r="J1314" s="8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</row>
    <row r="1315">
      <c r="A1315" s="80"/>
      <c r="B1315" s="7"/>
      <c r="C1315" s="7"/>
      <c r="D1315" s="116"/>
      <c r="E1315" s="116"/>
      <c r="F1315" s="8"/>
      <c r="G1315" s="8"/>
      <c r="H1315" s="7"/>
      <c r="I1315" s="8"/>
      <c r="J1315" s="8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</row>
    <row r="1316">
      <c r="A1316" s="80"/>
      <c r="B1316" s="7"/>
      <c r="C1316" s="7"/>
      <c r="D1316" s="116"/>
      <c r="E1316" s="116"/>
      <c r="F1316" s="8"/>
      <c r="G1316" s="8"/>
      <c r="H1316" s="7"/>
      <c r="I1316" s="8"/>
      <c r="J1316" s="8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</row>
    <row r="1317">
      <c r="A1317" s="80"/>
      <c r="B1317" s="7"/>
      <c r="C1317" s="7"/>
      <c r="D1317" s="116"/>
      <c r="E1317" s="116"/>
      <c r="F1317" s="8"/>
      <c r="G1317" s="8"/>
      <c r="H1317" s="7"/>
      <c r="I1317" s="8"/>
      <c r="J1317" s="8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</row>
    <row r="1318">
      <c r="A1318" s="80"/>
      <c r="B1318" s="7"/>
      <c r="C1318" s="7"/>
      <c r="D1318" s="116"/>
      <c r="E1318" s="116"/>
      <c r="F1318" s="8"/>
      <c r="G1318" s="8"/>
      <c r="H1318" s="7"/>
      <c r="I1318" s="8"/>
      <c r="J1318" s="8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</row>
    <row r="1319">
      <c r="A1319" s="80"/>
      <c r="B1319" s="7"/>
      <c r="C1319" s="7"/>
      <c r="D1319" s="116"/>
      <c r="E1319" s="116"/>
      <c r="F1319" s="8"/>
      <c r="G1319" s="8"/>
      <c r="H1319" s="7"/>
      <c r="I1319" s="8"/>
      <c r="J1319" s="8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</row>
    <row r="1320">
      <c r="A1320" s="80"/>
      <c r="B1320" s="7"/>
      <c r="C1320" s="7"/>
      <c r="D1320" s="116"/>
      <c r="E1320" s="116"/>
      <c r="F1320" s="8"/>
      <c r="G1320" s="8"/>
      <c r="H1320" s="7"/>
      <c r="I1320" s="8"/>
      <c r="J1320" s="8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</row>
    <row r="1321">
      <c r="A1321" s="80"/>
      <c r="B1321" s="7"/>
      <c r="C1321" s="7"/>
      <c r="D1321" s="116"/>
      <c r="E1321" s="116"/>
      <c r="F1321" s="8"/>
      <c r="G1321" s="8"/>
      <c r="H1321" s="7"/>
      <c r="I1321" s="8"/>
      <c r="J1321" s="8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</row>
    <row r="1322">
      <c r="A1322" s="80"/>
      <c r="B1322" s="7"/>
      <c r="C1322" s="7"/>
      <c r="D1322" s="116"/>
      <c r="E1322" s="116"/>
      <c r="F1322" s="8"/>
      <c r="G1322" s="8"/>
      <c r="H1322" s="7"/>
      <c r="I1322" s="8"/>
      <c r="J1322" s="8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</row>
    <row r="1323">
      <c r="A1323" s="80"/>
      <c r="B1323" s="7"/>
      <c r="C1323" s="7"/>
      <c r="D1323" s="116"/>
      <c r="E1323" s="116"/>
      <c r="F1323" s="8"/>
      <c r="G1323" s="8"/>
      <c r="H1323" s="7"/>
      <c r="I1323" s="8"/>
      <c r="J1323" s="8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</row>
    <row r="1324">
      <c r="A1324" s="80"/>
      <c r="B1324" s="7"/>
      <c r="C1324" s="7"/>
      <c r="D1324" s="116"/>
      <c r="E1324" s="116"/>
      <c r="F1324" s="8"/>
      <c r="G1324" s="8"/>
      <c r="H1324" s="7"/>
      <c r="I1324" s="8"/>
      <c r="J1324" s="8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>
      <c r="A1325" s="80"/>
      <c r="B1325" s="7"/>
      <c r="C1325" s="7"/>
      <c r="D1325" s="116"/>
      <c r="E1325" s="116"/>
      <c r="F1325" s="8"/>
      <c r="G1325" s="8"/>
      <c r="H1325" s="7"/>
      <c r="I1325" s="8"/>
      <c r="J1325" s="8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</row>
    <row r="1326">
      <c r="A1326" s="80"/>
      <c r="B1326" s="7"/>
      <c r="C1326" s="7"/>
      <c r="D1326" s="116"/>
      <c r="E1326" s="116"/>
      <c r="F1326" s="8"/>
      <c r="G1326" s="8"/>
      <c r="H1326" s="7"/>
      <c r="I1326" s="8"/>
      <c r="J1326" s="8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</row>
    <row r="1327">
      <c r="A1327" s="80"/>
      <c r="B1327" s="7"/>
      <c r="C1327" s="7"/>
      <c r="D1327" s="116"/>
      <c r="E1327" s="116"/>
      <c r="F1327" s="8"/>
      <c r="G1327" s="8"/>
      <c r="H1327" s="7"/>
      <c r="I1327" s="8"/>
      <c r="J1327" s="8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</row>
    <row r="1328">
      <c r="A1328" s="80"/>
      <c r="B1328" s="7"/>
      <c r="C1328" s="7"/>
      <c r="D1328" s="116"/>
      <c r="E1328" s="116"/>
      <c r="F1328" s="8"/>
      <c r="G1328" s="8"/>
      <c r="H1328" s="7"/>
      <c r="I1328" s="8"/>
      <c r="J1328" s="8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</row>
    <row r="1329">
      <c r="A1329" s="80"/>
      <c r="B1329" s="7"/>
      <c r="C1329" s="7"/>
      <c r="D1329" s="116"/>
      <c r="E1329" s="116"/>
      <c r="F1329" s="8"/>
      <c r="G1329" s="8"/>
      <c r="H1329" s="7"/>
      <c r="I1329" s="8"/>
      <c r="J1329" s="8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</row>
    <row r="1330">
      <c r="A1330" s="80"/>
      <c r="B1330" s="7"/>
      <c r="C1330" s="7"/>
      <c r="D1330" s="116"/>
      <c r="E1330" s="116"/>
      <c r="F1330" s="8"/>
      <c r="G1330" s="8"/>
      <c r="H1330" s="7"/>
      <c r="I1330" s="8"/>
      <c r="J1330" s="8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</row>
    <row r="1331">
      <c r="A1331" s="80"/>
      <c r="B1331" s="7"/>
      <c r="C1331" s="7"/>
      <c r="D1331" s="116"/>
      <c r="E1331" s="116"/>
      <c r="F1331" s="8"/>
      <c r="G1331" s="8"/>
      <c r="H1331" s="7"/>
      <c r="I1331" s="8"/>
      <c r="J1331" s="8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</row>
    <row r="1332">
      <c r="A1332" s="80"/>
      <c r="B1332" s="7"/>
      <c r="C1332" s="7"/>
      <c r="D1332" s="116"/>
      <c r="E1332" s="116"/>
      <c r="F1332" s="8"/>
      <c r="G1332" s="8"/>
      <c r="H1332" s="7"/>
      <c r="I1332" s="8"/>
      <c r="J1332" s="8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</row>
    <row r="1333">
      <c r="A1333" s="80"/>
      <c r="B1333" s="7"/>
      <c r="C1333" s="7"/>
      <c r="D1333" s="116"/>
      <c r="E1333" s="116"/>
      <c r="F1333" s="8"/>
      <c r="G1333" s="8"/>
      <c r="H1333" s="7"/>
      <c r="I1333" s="8"/>
      <c r="J1333" s="8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</row>
    <row r="1334">
      <c r="A1334" s="80"/>
      <c r="B1334" s="7"/>
      <c r="C1334" s="7"/>
      <c r="D1334" s="116"/>
      <c r="E1334" s="116"/>
      <c r="F1334" s="8"/>
      <c r="G1334" s="8"/>
      <c r="H1334" s="7"/>
      <c r="I1334" s="8"/>
      <c r="J1334" s="8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</row>
    <row r="1335">
      <c r="A1335" s="80"/>
      <c r="B1335" s="7"/>
      <c r="C1335" s="7"/>
      <c r="D1335" s="116"/>
      <c r="E1335" s="116"/>
      <c r="F1335" s="8"/>
      <c r="G1335" s="8"/>
      <c r="H1335" s="7"/>
      <c r="I1335" s="8"/>
      <c r="J1335" s="8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</row>
    <row r="1336">
      <c r="A1336" s="80"/>
      <c r="B1336" s="7"/>
      <c r="C1336" s="7"/>
      <c r="D1336" s="116"/>
      <c r="E1336" s="116"/>
      <c r="F1336" s="8"/>
      <c r="G1336" s="8"/>
      <c r="H1336" s="7"/>
      <c r="I1336" s="8"/>
      <c r="J1336" s="8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</row>
    <row r="1337">
      <c r="A1337" s="80"/>
      <c r="B1337" s="7"/>
      <c r="C1337" s="7"/>
      <c r="D1337" s="116"/>
      <c r="E1337" s="116"/>
      <c r="F1337" s="8"/>
      <c r="G1337" s="8"/>
      <c r="H1337" s="7"/>
      <c r="I1337" s="8"/>
      <c r="J1337" s="8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</row>
    <row r="1338">
      <c r="A1338" s="80"/>
      <c r="B1338" s="7"/>
      <c r="C1338" s="7"/>
      <c r="D1338" s="116"/>
      <c r="E1338" s="116"/>
      <c r="F1338" s="8"/>
      <c r="G1338" s="8"/>
      <c r="H1338" s="7"/>
      <c r="I1338" s="8"/>
      <c r="J1338" s="8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</row>
    <row r="1339">
      <c r="A1339" s="80"/>
      <c r="B1339" s="7"/>
      <c r="C1339" s="7"/>
      <c r="D1339" s="116"/>
      <c r="E1339" s="116"/>
      <c r="F1339" s="8"/>
      <c r="G1339" s="8"/>
      <c r="H1339" s="7"/>
      <c r="I1339" s="8"/>
      <c r="J1339" s="8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</row>
    <row r="1340">
      <c r="A1340" s="80"/>
      <c r="B1340" s="7"/>
      <c r="C1340" s="7"/>
      <c r="D1340" s="116"/>
      <c r="E1340" s="116"/>
      <c r="F1340" s="8"/>
      <c r="G1340" s="8"/>
      <c r="H1340" s="7"/>
      <c r="I1340" s="8"/>
      <c r="J1340" s="8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</row>
    <row r="1341">
      <c r="A1341" s="80"/>
      <c r="B1341" s="7"/>
      <c r="C1341" s="7"/>
      <c r="D1341" s="116"/>
      <c r="E1341" s="116"/>
      <c r="F1341" s="8"/>
      <c r="G1341" s="8"/>
      <c r="H1341" s="7"/>
      <c r="I1341" s="8"/>
      <c r="J1341" s="8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</row>
    <row r="1342">
      <c r="A1342" s="80"/>
      <c r="B1342" s="7"/>
      <c r="C1342" s="7"/>
      <c r="D1342" s="116"/>
      <c r="E1342" s="116"/>
      <c r="F1342" s="8"/>
      <c r="G1342" s="8"/>
      <c r="H1342" s="7"/>
      <c r="I1342" s="8"/>
      <c r="J1342" s="8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</row>
    <row r="1343">
      <c r="A1343" s="80"/>
      <c r="B1343" s="7"/>
      <c r="C1343" s="7"/>
      <c r="D1343" s="116"/>
      <c r="E1343" s="116"/>
      <c r="F1343" s="8"/>
      <c r="G1343" s="8"/>
      <c r="H1343" s="7"/>
      <c r="I1343" s="8"/>
      <c r="J1343" s="8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</row>
    <row r="1344">
      <c r="A1344" s="80"/>
      <c r="B1344" s="7"/>
      <c r="C1344" s="7"/>
      <c r="D1344" s="116"/>
      <c r="E1344" s="116"/>
      <c r="F1344" s="8"/>
      <c r="G1344" s="8"/>
      <c r="H1344" s="7"/>
      <c r="I1344" s="8"/>
      <c r="J1344" s="8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</row>
    <row r="1345">
      <c r="A1345" s="80"/>
      <c r="B1345" s="7"/>
      <c r="C1345" s="7"/>
      <c r="D1345" s="116"/>
      <c r="E1345" s="116"/>
      <c r="F1345" s="8"/>
      <c r="G1345" s="8"/>
      <c r="H1345" s="7"/>
      <c r="I1345" s="8"/>
      <c r="J1345" s="8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</row>
    <row r="1346">
      <c r="A1346" s="80"/>
      <c r="B1346" s="7"/>
      <c r="C1346" s="7"/>
      <c r="D1346" s="116"/>
      <c r="E1346" s="116"/>
      <c r="F1346" s="8"/>
      <c r="G1346" s="8"/>
      <c r="H1346" s="7"/>
      <c r="I1346" s="8"/>
      <c r="J1346" s="8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</row>
    <row r="1347">
      <c r="A1347" s="80"/>
      <c r="B1347" s="7"/>
      <c r="C1347" s="7"/>
      <c r="D1347" s="116"/>
      <c r="E1347" s="116"/>
      <c r="F1347" s="8"/>
      <c r="G1347" s="8"/>
      <c r="H1347" s="7"/>
      <c r="I1347" s="8"/>
      <c r="J1347" s="8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</row>
    <row r="1348">
      <c r="A1348" s="80"/>
      <c r="B1348" s="7"/>
      <c r="C1348" s="7"/>
      <c r="D1348" s="116"/>
      <c r="E1348" s="116"/>
      <c r="F1348" s="8"/>
      <c r="G1348" s="8"/>
      <c r="H1348" s="7"/>
      <c r="I1348" s="8"/>
      <c r="J1348" s="8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</row>
    <row r="1349">
      <c r="A1349" s="80"/>
      <c r="B1349" s="7"/>
      <c r="C1349" s="7"/>
      <c r="D1349" s="116"/>
      <c r="E1349" s="116"/>
      <c r="F1349" s="8"/>
      <c r="G1349" s="8"/>
      <c r="H1349" s="7"/>
      <c r="I1349" s="8"/>
      <c r="J1349" s="8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</row>
    <row r="1350">
      <c r="A1350" s="80"/>
      <c r="B1350" s="7"/>
      <c r="C1350" s="7"/>
      <c r="D1350" s="116"/>
      <c r="E1350" s="116"/>
      <c r="F1350" s="8"/>
      <c r="G1350" s="8"/>
      <c r="H1350" s="7"/>
      <c r="I1350" s="8"/>
      <c r="J1350" s="8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</row>
    <row r="1351">
      <c r="A1351" s="80"/>
      <c r="B1351" s="7"/>
      <c r="C1351" s="7"/>
      <c r="D1351" s="116"/>
      <c r="E1351" s="116"/>
      <c r="F1351" s="8"/>
      <c r="G1351" s="8"/>
      <c r="H1351" s="7"/>
      <c r="I1351" s="8"/>
      <c r="J1351" s="8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</row>
    <row r="1352">
      <c r="A1352" s="80"/>
      <c r="B1352" s="7"/>
      <c r="C1352" s="7"/>
      <c r="D1352" s="116"/>
      <c r="E1352" s="116"/>
      <c r="F1352" s="8"/>
      <c r="G1352" s="8"/>
      <c r="H1352" s="7"/>
      <c r="I1352" s="8"/>
      <c r="J1352" s="8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</row>
    <row r="1353">
      <c r="A1353" s="80"/>
      <c r="B1353" s="7"/>
      <c r="C1353" s="7"/>
      <c r="D1353" s="116"/>
      <c r="E1353" s="116"/>
      <c r="F1353" s="8"/>
      <c r="G1353" s="8"/>
      <c r="H1353" s="7"/>
      <c r="I1353" s="8"/>
      <c r="J1353" s="8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</row>
    <row r="1354">
      <c r="A1354" s="80"/>
      <c r="B1354" s="7"/>
      <c r="C1354" s="7"/>
      <c r="D1354" s="116"/>
      <c r="E1354" s="116"/>
      <c r="F1354" s="8"/>
      <c r="G1354" s="8"/>
      <c r="H1354" s="7"/>
      <c r="I1354" s="8"/>
      <c r="J1354" s="8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</row>
    <row r="1355">
      <c r="A1355" s="80"/>
      <c r="B1355" s="7"/>
      <c r="C1355" s="7"/>
      <c r="D1355" s="116"/>
      <c r="E1355" s="116"/>
      <c r="F1355" s="8"/>
      <c r="G1355" s="8"/>
      <c r="H1355" s="7"/>
      <c r="I1355" s="8"/>
      <c r="J1355" s="8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</row>
    <row r="1356">
      <c r="A1356" s="80"/>
      <c r="B1356" s="7"/>
      <c r="C1356" s="7"/>
      <c r="D1356" s="116"/>
      <c r="E1356" s="116"/>
      <c r="F1356" s="8"/>
      <c r="G1356" s="8"/>
      <c r="H1356" s="7"/>
      <c r="I1356" s="8"/>
      <c r="J1356" s="8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</row>
    <row r="1357">
      <c r="A1357" s="80"/>
      <c r="B1357" s="7"/>
      <c r="C1357" s="7"/>
      <c r="D1357" s="116"/>
      <c r="E1357" s="116"/>
      <c r="F1357" s="8"/>
      <c r="G1357" s="8"/>
      <c r="H1357" s="7"/>
      <c r="I1357" s="8"/>
      <c r="J1357" s="8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</row>
    <row r="1358">
      <c r="A1358" s="80"/>
      <c r="B1358" s="7"/>
      <c r="C1358" s="7"/>
      <c r="D1358" s="116"/>
      <c r="E1358" s="116"/>
      <c r="F1358" s="8"/>
      <c r="G1358" s="8"/>
      <c r="H1358" s="7"/>
      <c r="I1358" s="8"/>
      <c r="J1358" s="8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</row>
    <row r="1359">
      <c r="A1359" s="80"/>
      <c r="B1359" s="7"/>
      <c r="C1359" s="7"/>
      <c r="D1359" s="116"/>
      <c r="E1359" s="116"/>
      <c r="F1359" s="8"/>
      <c r="G1359" s="8"/>
      <c r="H1359" s="7"/>
      <c r="I1359" s="8"/>
      <c r="J1359" s="8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</row>
    <row r="1360">
      <c r="A1360" s="80"/>
      <c r="B1360" s="7"/>
      <c r="C1360" s="7"/>
      <c r="D1360" s="116"/>
      <c r="E1360" s="116"/>
      <c r="F1360" s="8"/>
      <c r="G1360" s="8"/>
      <c r="H1360" s="7"/>
      <c r="I1360" s="8"/>
      <c r="J1360" s="8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</row>
    <row r="1361">
      <c r="A1361" s="80"/>
      <c r="B1361" s="7"/>
      <c r="C1361" s="7"/>
      <c r="D1361" s="116"/>
      <c r="E1361" s="116"/>
      <c r="F1361" s="8"/>
      <c r="G1361" s="8"/>
      <c r="H1361" s="7"/>
      <c r="I1361" s="8"/>
      <c r="J1361" s="8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</row>
    <row r="1362">
      <c r="A1362" s="80"/>
      <c r="B1362" s="7"/>
      <c r="C1362" s="7"/>
      <c r="D1362" s="116"/>
      <c r="E1362" s="116"/>
      <c r="F1362" s="8"/>
      <c r="G1362" s="8"/>
      <c r="H1362" s="7"/>
      <c r="I1362" s="8"/>
      <c r="J1362" s="8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</row>
    <row r="1363">
      <c r="A1363" s="80"/>
      <c r="B1363" s="7"/>
      <c r="C1363" s="7"/>
      <c r="D1363" s="116"/>
      <c r="E1363" s="116"/>
      <c r="F1363" s="8"/>
      <c r="G1363" s="8"/>
      <c r="H1363" s="7"/>
      <c r="I1363" s="8"/>
      <c r="J1363" s="8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</row>
    <row r="1364">
      <c r="A1364" s="80"/>
      <c r="B1364" s="7"/>
      <c r="C1364" s="7"/>
      <c r="D1364" s="116"/>
      <c r="E1364" s="116"/>
      <c r="F1364" s="8"/>
      <c r="G1364" s="8"/>
      <c r="H1364" s="7"/>
      <c r="I1364" s="8"/>
      <c r="J1364" s="8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</row>
    <row r="1365">
      <c r="A1365" s="80"/>
      <c r="B1365" s="7"/>
      <c r="C1365" s="7"/>
      <c r="D1365" s="116"/>
      <c r="E1365" s="116"/>
      <c r="F1365" s="8"/>
      <c r="G1365" s="8"/>
      <c r="H1365" s="7"/>
      <c r="I1365" s="8"/>
      <c r="J1365" s="8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</row>
    <row r="1366">
      <c r="A1366" s="80"/>
      <c r="B1366" s="7"/>
      <c r="C1366" s="7"/>
      <c r="D1366" s="116"/>
      <c r="E1366" s="116"/>
      <c r="F1366" s="8"/>
      <c r="G1366" s="8"/>
      <c r="H1366" s="7"/>
      <c r="I1366" s="8"/>
      <c r="J1366" s="8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</row>
    <row r="1367">
      <c r="A1367" s="80"/>
      <c r="B1367" s="7"/>
      <c r="C1367" s="7"/>
      <c r="D1367" s="116"/>
      <c r="E1367" s="116"/>
      <c r="F1367" s="8"/>
      <c r="G1367" s="8"/>
      <c r="H1367" s="7"/>
      <c r="I1367" s="8"/>
      <c r="J1367" s="8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</row>
    <row r="1368">
      <c r="A1368" s="80"/>
      <c r="B1368" s="7"/>
      <c r="C1368" s="7"/>
      <c r="D1368" s="116"/>
      <c r="E1368" s="116"/>
      <c r="F1368" s="8"/>
      <c r="G1368" s="8"/>
      <c r="H1368" s="7"/>
      <c r="I1368" s="8"/>
      <c r="J1368" s="8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</row>
    <row r="1369">
      <c r="A1369" s="80"/>
      <c r="B1369" s="7"/>
      <c r="C1369" s="7"/>
      <c r="D1369" s="116"/>
      <c r="E1369" s="116"/>
      <c r="F1369" s="8"/>
      <c r="G1369" s="8"/>
      <c r="H1369" s="7"/>
      <c r="I1369" s="8"/>
      <c r="J1369" s="8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</row>
    <row r="1370">
      <c r="A1370" s="80"/>
      <c r="B1370" s="7"/>
      <c r="C1370" s="7"/>
      <c r="D1370" s="116"/>
      <c r="E1370" s="116"/>
      <c r="F1370" s="8"/>
      <c r="G1370" s="8"/>
      <c r="H1370" s="7"/>
      <c r="I1370" s="8"/>
      <c r="J1370" s="8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</row>
    <row r="1371">
      <c r="A1371" s="80"/>
      <c r="B1371" s="7"/>
      <c r="C1371" s="7"/>
      <c r="D1371" s="116"/>
      <c r="E1371" s="116"/>
      <c r="F1371" s="8"/>
      <c r="G1371" s="8"/>
      <c r="H1371" s="7"/>
      <c r="I1371" s="8"/>
      <c r="J1371" s="8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</row>
    <row r="1372">
      <c r="A1372" s="80"/>
      <c r="B1372" s="7"/>
      <c r="C1372" s="7"/>
      <c r="D1372" s="116"/>
      <c r="E1372" s="116"/>
      <c r="F1372" s="8"/>
      <c r="G1372" s="8"/>
      <c r="H1372" s="7"/>
      <c r="I1372" s="8"/>
      <c r="J1372" s="8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</row>
    <row r="1373">
      <c r="A1373" s="80"/>
      <c r="B1373" s="7"/>
      <c r="C1373" s="7"/>
      <c r="D1373" s="116"/>
      <c r="E1373" s="116"/>
      <c r="F1373" s="8"/>
      <c r="G1373" s="8"/>
      <c r="H1373" s="7"/>
      <c r="I1373" s="8"/>
      <c r="J1373" s="8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</row>
    <row r="1374">
      <c r="A1374" s="80"/>
      <c r="B1374" s="7"/>
      <c r="C1374" s="7"/>
      <c r="D1374" s="116"/>
      <c r="E1374" s="116"/>
      <c r="F1374" s="8"/>
      <c r="G1374" s="8"/>
      <c r="H1374" s="7"/>
      <c r="I1374" s="8"/>
      <c r="J1374" s="8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</row>
    <row r="1375">
      <c r="A1375" s="80"/>
      <c r="B1375" s="7"/>
      <c r="C1375" s="7"/>
      <c r="D1375" s="116"/>
      <c r="E1375" s="116"/>
      <c r="F1375" s="8"/>
      <c r="G1375" s="8"/>
      <c r="H1375" s="7"/>
      <c r="I1375" s="8"/>
      <c r="J1375" s="8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</row>
    <row r="1376">
      <c r="A1376" s="80"/>
      <c r="B1376" s="7"/>
      <c r="C1376" s="7"/>
      <c r="D1376" s="116"/>
      <c r="E1376" s="116"/>
      <c r="F1376" s="8"/>
      <c r="G1376" s="8"/>
      <c r="H1376" s="7"/>
      <c r="I1376" s="8"/>
      <c r="J1376" s="8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</row>
    <row r="1377">
      <c r="A1377" s="80"/>
      <c r="B1377" s="7"/>
      <c r="C1377" s="7"/>
      <c r="D1377" s="116"/>
      <c r="E1377" s="116"/>
      <c r="F1377" s="8"/>
      <c r="G1377" s="8"/>
      <c r="H1377" s="7"/>
      <c r="I1377" s="8"/>
      <c r="J1377" s="8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</row>
    <row r="1378">
      <c r="A1378" s="80"/>
      <c r="B1378" s="7"/>
      <c r="C1378" s="7"/>
      <c r="D1378" s="116"/>
      <c r="E1378" s="116"/>
      <c r="F1378" s="8"/>
      <c r="G1378" s="8"/>
      <c r="H1378" s="7"/>
      <c r="I1378" s="8"/>
      <c r="J1378" s="8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</row>
    <row r="1379">
      <c r="A1379" s="80"/>
      <c r="B1379" s="7"/>
      <c r="C1379" s="7"/>
      <c r="D1379" s="116"/>
      <c r="E1379" s="116"/>
      <c r="F1379" s="8"/>
      <c r="G1379" s="8"/>
      <c r="H1379" s="7"/>
      <c r="I1379" s="8"/>
      <c r="J1379" s="8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</row>
    <row r="1380">
      <c r="A1380" s="80"/>
      <c r="B1380" s="7"/>
      <c r="C1380" s="7"/>
      <c r="D1380" s="116"/>
      <c r="E1380" s="116"/>
      <c r="F1380" s="8"/>
      <c r="G1380" s="8"/>
      <c r="H1380" s="7"/>
      <c r="I1380" s="8"/>
      <c r="J1380" s="8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</row>
    <row r="1381">
      <c r="A1381" s="80"/>
      <c r="B1381" s="7"/>
      <c r="C1381" s="7"/>
      <c r="D1381" s="116"/>
      <c r="E1381" s="116"/>
      <c r="F1381" s="8"/>
      <c r="G1381" s="8"/>
      <c r="H1381" s="7"/>
      <c r="I1381" s="8"/>
      <c r="J1381" s="8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</row>
    <row r="1382">
      <c r="A1382" s="80"/>
      <c r="B1382" s="7"/>
      <c r="C1382" s="7"/>
      <c r="D1382" s="116"/>
      <c r="E1382" s="116"/>
      <c r="F1382" s="8"/>
      <c r="G1382" s="8"/>
      <c r="H1382" s="7"/>
      <c r="I1382" s="8"/>
      <c r="J1382" s="8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</row>
    <row r="1383">
      <c r="A1383" s="80"/>
      <c r="B1383" s="7"/>
      <c r="C1383" s="7"/>
      <c r="D1383" s="116"/>
      <c r="E1383" s="116"/>
      <c r="F1383" s="8"/>
      <c r="G1383" s="8"/>
      <c r="H1383" s="7"/>
      <c r="I1383" s="8"/>
      <c r="J1383" s="8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</row>
    <row r="1384">
      <c r="A1384" s="80"/>
      <c r="B1384" s="7"/>
      <c r="C1384" s="7"/>
      <c r="D1384" s="116"/>
      <c r="E1384" s="116"/>
      <c r="F1384" s="8"/>
      <c r="G1384" s="8"/>
      <c r="H1384" s="7"/>
      <c r="I1384" s="8"/>
      <c r="J1384" s="8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</row>
    <row r="1385">
      <c r="A1385" s="80"/>
      <c r="B1385" s="7"/>
      <c r="C1385" s="7"/>
      <c r="D1385" s="116"/>
      <c r="E1385" s="116"/>
      <c r="F1385" s="8"/>
      <c r="G1385" s="8"/>
      <c r="H1385" s="7"/>
      <c r="I1385" s="8"/>
      <c r="J1385" s="8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</row>
    <row r="1386">
      <c r="A1386" s="7"/>
      <c r="B1386" s="7"/>
      <c r="C1386" s="7"/>
      <c r="D1386" s="116"/>
      <c r="E1386" s="116"/>
      <c r="F1386" s="8"/>
      <c r="G1386" s="8"/>
      <c r="H1386" s="7"/>
      <c r="I1386" s="8"/>
      <c r="J1386" s="8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</row>
    <row r="1387">
      <c r="A1387" s="7"/>
      <c r="B1387" s="7"/>
      <c r="C1387" s="7"/>
      <c r="D1387" s="116"/>
      <c r="E1387" s="116"/>
      <c r="F1387" s="8"/>
      <c r="G1387" s="8"/>
      <c r="H1387" s="7"/>
      <c r="I1387" s="8"/>
      <c r="J1387" s="8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3.25"/>
    <col customWidth="1" min="2" max="2" width="41.0"/>
    <col customWidth="1" min="3" max="3" width="69.5"/>
    <col customWidth="1" min="4" max="4" width="25.5"/>
    <col customWidth="1" min="5" max="5" width="22.75"/>
    <col customWidth="1" min="10" max="10" width="19.13"/>
    <col hidden="1" min="16" max="21" width="12.63"/>
  </cols>
  <sheetData>
    <row r="1">
      <c r="A1" s="111" t="s">
        <v>29</v>
      </c>
      <c r="B1" s="111" t="s">
        <v>87</v>
      </c>
      <c r="C1" s="111" t="s">
        <v>88</v>
      </c>
      <c r="D1" s="61" t="s">
        <v>89</v>
      </c>
      <c r="E1" s="61" t="s">
        <v>90</v>
      </c>
      <c r="F1" s="60" t="s">
        <v>30</v>
      </c>
      <c r="G1" s="60" t="s">
        <v>91</v>
      </c>
      <c r="H1" s="111" t="s">
        <v>92</v>
      </c>
      <c r="I1" s="60" t="s">
        <v>93</v>
      </c>
      <c r="J1" s="139" t="s">
        <v>94</v>
      </c>
      <c r="K1" s="60" t="s">
        <v>39</v>
      </c>
      <c r="L1" s="111" t="s">
        <v>40</v>
      </c>
      <c r="M1" s="111" t="s">
        <v>41</v>
      </c>
      <c r="N1" s="111" t="s">
        <v>42</v>
      </c>
      <c r="O1" s="111" t="s">
        <v>43</v>
      </c>
      <c r="P1" s="111" t="s">
        <v>485</v>
      </c>
      <c r="Q1" s="111" t="s">
        <v>486</v>
      </c>
      <c r="R1" s="111" t="s">
        <v>487</v>
      </c>
      <c r="S1" s="111" t="s">
        <v>488</v>
      </c>
      <c r="T1" s="111" t="s">
        <v>489</v>
      </c>
      <c r="U1" s="111" t="s">
        <v>45</v>
      </c>
      <c r="V1" s="7"/>
      <c r="W1" s="7"/>
    </row>
    <row r="2">
      <c r="A2" s="45">
        <v>45912.16039351852</v>
      </c>
      <c r="B2" s="7" t="s">
        <v>1494</v>
      </c>
      <c r="C2" s="7" t="s">
        <v>2075</v>
      </c>
      <c r="D2" s="74">
        <v>1.0</v>
      </c>
      <c r="E2" s="46"/>
      <c r="F2" s="47">
        <v>24.99</v>
      </c>
      <c r="G2" s="47">
        <v>0.0</v>
      </c>
      <c r="H2" s="7"/>
      <c r="I2" s="47">
        <v>1.02</v>
      </c>
      <c r="J2" s="140">
        <f t="shared" ref="J2:J347" si="1">F2-I2</f>
        <v>23.97</v>
      </c>
      <c r="K2" s="8"/>
      <c r="L2" s="7"/>
      <c r="M2" s="7"/>
      <c r="N2" s="7"/>
      <c r="O2" s="7"/>
      <c r="P2" s="7" t="s">
        <v>490</v>
      </c>
      <c r="Q2" s="7" t="s">
        <v>1710</v>
      </c>
      <c r="R2" s="7"/>
      <c r="S2" s="7" t="s">
        <v>1711</v>
      </c>
      <c r="T2" s="7" t="s">
        <v>493</v>
      </c>
      <c r="U2" s="65">
        <v>3990.0</v>
      </c>
      <c r="V2" s="7"/>
      <c r="W2" s="7"/>
    </row>
    <row r="3">
      <c r="A3" s="45">
        <v>45912.128842592596</v>
      </c>
      <c r="B3" s="7" t="s">
        <v>1933</v>
      </c>
      <c r="C3" s="7" t="s">
        <v>2075</v>
      </c>
      <c r="D3" s="74">
        <v>1.0</v>
      </c>
      <c r="E3" s="46"/>
      <c r="F3" s="47">
        <v>24.99</v>
      </c>
      <c r="G3" s="47">
        <v>0.0</v>
      </c>
      <c r="H3" s="7"/>
      <c r="I3" s="47">
        <v>1.4</v>
      </c>
      <c r="J3" s="140">
        <f t="shared" si="1"/>
        <v>23.59</v>
      </c>
      <c r="K3" s="8"/>
      <c r="L3" s="7"/>
      <c r="M3" s="7"/>
      <c r="N3" s="7"/>
      <c r="O3" s="7"/>
      <c r="P3" s="7" t="s">
        <v>490</v>
      </c>
      <c r="Q3" s="7" t="s">
        <v>1934</v>
      </c>
      <c r="R3" s="7" t="s">
        <v>2076</v>
      </c>
      <c r="S3" s="7" t="s">
        <v>572</v>
      </c>
      <c r="T3" s="7" t="s">
        <v>1012</v>
      </c>
      <c r="U3" s="65">
        <v>3989.0</v>
      </c>
      <c r="V3" s="7"/>
      <c r="W3" s="7"/>
    </row>
    <row r="4">
      <c r="A4" s="45">
        <v>45911.96145833333</v>
      </c>
      <c r="B4" s="7" t="s">
        <v>230</v>
      </c>
      <c r="C4" s="67" t="s">
        <v>2077</v>
      </c>
      <c r="D4" s="74">
        <v>1.0</v>
      </c>
      <c r="E4" s="74">
        <v>1.0</v>
      </c>
      <c r="F4" s="47">
        <v>124.99</v>
      </c>
      <c r="G4" s="47">
        <v>0.0</v>
      </c>
      <c r="H4" s="7"/>
      <c r="I4" s="47">
        <v>3.92</v>
      </c>
      <c r="J4" s="140">
        <f t="shared" si="1"/>
        <v>121.07</v>
      </c>
      <c r="K4" s="8"/>
      <c r="L4" s="7"/>
      <c r="M4" s="7"/>
      <c r="N4" s="7"/>
      <c r="O4" s="7"/>
      <c r="P4" s="7" t="s">
        <v>490</v>
      </c>
      <c r="Q4" s="7" t="s">
        <v>1809</v>
      </c>
      <c r="R4" s="7"/>
      <c r="S4" s="7" t="s">
        <v>1810</v>
      </c>
      <c r="T4" s="7" t="s">
        <v>493</v>
      </c>
      <c r="U4" s="65">
        <v>3988.0</v>
      </c>
      <c r="V4" s="7"/>
      <c r="W4" s="7"/>
    </row>
    <row r="5">
      <c r="A5" s="45">
        <v>45911.79077546296</v>
      </c>
      <c r="B5" s="7" t="s">
        <v>1069</v>
      </c>
      <c r="C5" s="7" t="s">
        <v>2075</v>
      </c>
      <c r="D5" s="74">
        <v>1.0</v>
      </c>
      <c r="E5" s="46"/>
      <c r="F5" s="47">
        <v>24.99</v>
      </c>
      <c r="G5" s="47">
        <v>0.0</v>
      </c>
      <c r="H5" s="7"/>
      <c r="I5" s="47">
        <v>1.4</v>
      </c>
      <c r="J5" s="140">
        <f t="shared" si="1"/>
        <v>23.59</v>
      </c>
      <c r="K5" s="8"/>
      <c r="L5" s="7"/>
      <c r="M5" s="7"/>
      <c r="N5" s="7"/>
      <c r="O5" s="7"/>
      <c r="P5" s="7" t="s">
        <v>490</v>
      </c>
      <c r="Q5" s="7" t="s">
        <v>1070</v>
      </c>
      <c r="R5" s="7"/>
      <c r="S5" s="7" t="s">
        <v>509</v>
      </c>
      <c r="T5" s="7" t="s">
        <v>510</v>
      </c>
      <c r="U5" s="65">
        <v>3986.0</v>
      </c>
      <c r="V5" s="7"/>
      <c r="W5" s="7"/>
    </row>
    <row r="6">
      <c r="A6" s="45">
        <v>45911.788506944446</v>
      </c>
      <c r="B6" s="7" t="s">
        <v>186</v>
      </c>
      <c r="C6" s="7" t="s">
        <v>2075</v>
      </c>
      <c r="D6" s="74">
        <v>1.0</v>
      </c>
      <c r="E6" s="46"/>
      <c r="F6" s="47">
        <v>26.49</v>
      </c>
      <c r="G6" s="47">
        <v>0.0</v>
      </c>
      <c r="H6" s="7"/>
      <c r="I6" s="47">
        <v>1.07</v>
      </c>
      <c r="J6" s="140">
        <f t="shared" si="1"/>
        <v>25.42</v>
      </c>
      <c r="K6" s="8"/>
      <c r="L6" s="7"/>
      <c r="M6" s="7"/>
      <c r="N6" s="7"/>
      <c r="O6" s="7"/>
      <c r="P6" s="7" t="s">
        <v>490</v>
      </c>
      <c r="Q6" s="7" t="s">
        <v>750</v>
      </c>
      <c r="R6" s="7"/>
      <c r="S6" s="7" t="s">
        <v>751</v>
      </c>
      <c r="T6" s="7" t="s">
        <v>493</v>
      </c>
      <c r="U6" s="65">
        <v>3987.0</v>
      </c>
      <c r="V6" s="7"/>
      <c r="W6" s="7"/>
    </row>
    <row r="7">
      <c r="A7" s="45">
        <v>45911.778078703705</v>
      </c>
      <c r="B7" s="7" t="s">
        <v>2078</v>
      </c>
      <c r="C7" s="7" t="s">
        <v>2075</v>
      </c>
      <c r="D7" s="74">
        <v>1.0</v>
      </c>
      <c r="E7" s="46"/>
      <c r="F7" s="47">
        <v>34.46</v>
      </c>
      <c r="G7" s="47">
        <v>0.0</v>
      </c>
      <c r="H7" s="7"/>
      <c r="I7" s="47">
        <v>1.3</v>
      </c>
      <c r="J7" s="140">
        <f t="shared" si="1"/>
        <v>33.16</v>
      </c>
      <c r="K7" s="8"/>
      <c r="L7" s="7"/>
      <c r="M7" s="7"/>
      <c r="N7" s="7"/>
      <c r="O7" s="7"/>
      <c r="P7" s="7" t="s">
        <v>490</v>
      </c>
      <c r="Q7" s="7" t="s">
        <v>2079</v>
      </c>
      <c r="R7" s="7"/>
      <c r="S7" s="7" t="s">
        <v>572</v>
      </c>
      <c r="T7" s="7" t="s">
        <v>493</v>
      </c>
      <c r="U7" s="65">
        <v>3985.0</v>
      </c>
      <c r="V7" s="7"/>
      <c r="W7" s="7"/>
    </row>
    <row r="8">
      <c r="A8" s="45">
        <v>45911.76032407407</v>
      </c>
      <c r="B8" s="7" t="s">
        <v>1482</v>
      </c>
      <c r="C8" s="7" t="s">
        <v>2075</v>
      </c>
      <c r="D8" s="74">
        <v>1.0</v>
      </c>
      <c r="E8" s="46"/>
      <c r="F8" s="47">
        <v>24.99</v>
      </c>
      <c r="G8" s="47">
        <v>0.0</v>
      </c>
      <c r="H8" s="7"/>
      <c r="I8" s="47">
        <v>1.02</v>
      </c>
      <c r="J8" s="140">
        <f t="shared" si="1"/>
        <v>23.97</v>
      </c>
      <c r="K8" s="8"/>
      <c r="L8" s="7"/>
      <c r="M8" s="7"/>
      <c r="N8" s="7"/>
      <c r="O8" s="7"/>
      <c r="P8" s="7" t="s">
        <v>490</v>
      </c>
      <c r="Q8" s="7" t="s">
        <v>721</v>
      </c>
      <c r="R8" s="7"/>
      <c r="S8" s="7" t="s">
        <v>1483</v>
      </c>
      <c r="T8" s="7" t="s">
        <v>493</v>
      </c>
      <c r="U8" s="65">
        <v>3984.0</v>
      </c>
      <c r="V8" s="7"/>
      <c r="W8" s="7"/>
    </row>
    <row r="9">
      <c r="A9" s="45">
        <v>45911.724594907406</v>
      </c>
      <c r="B9" s="7" t="s">
        <v>2031</v>
      </c>
      <c r="C9" s="7" t="s">
        <v>2075</v>
      </c>
      <c r="D9" s="74">
        <v>1.0</v>
      </c>
      <c r="E9" s="46"/>
      <c r="F9" s="47">
        <v>26.49</v>
      </c>
      <c r="G9" s="47">
        <v>0.0</v>
      </c>
      <c r="H9" s="7"/>
      <c r="I9" s="47">
        <v>1.07</v>
      </c>
      <c r="J9" s="140">
        <f t="shared" si="1"/>
        <v>25.42</v>
      </c>
      <c r="K9" s="8"/>
      <c r="L9" s="7"/>
      <c r="M9" s="7"/>
      <c r="N9" s="7"/>
      <c r="O9" s="7"/>
      <c r="P9" s="7" t="s">
        <v>490</v>
      </c>
      <c r="Q9" s="7" t="s">
        <v>2032</v>
      </c>
      <c r="R9" s="7"/>
      <c r="S9" s="7" t="s">
        <v>2033</v>
      </c>
      <c r="T9" s="7" t="s">
        <v>493</v>
      </c>
      <c r="U9" s="65">
        <v>3983.0</v>
      </c>
      <c r="V9" s="7"/>
      <c r="W9" s="7"/>
    </row>
    <row r="10">
      <c r="A10" s="45">
        <v>45911.68517361111</v>
      </c>
      <c r="B10" s="7" t="s">
        <v>108</v>
      </c>
      <c r="C10" s="7" t="s">
        <v>2075</v>
      </c>
      <c r="D10" s="74">
        <v>1.0</v>
      </c>
      <c r="E10" s="46"/>
      <c r="F10" s="47">
        <v>24.99</v>
      </c>
      <c r="G10" s="47">
        <v>0.0</v>
      </c>
      <c r="H10" s="7"/>
      <c r="I10" s="47">
        <v>1.4</v>
      </c>
      <c r="J10" s="140">
        <f t="shared" si="1"/>
        <v>23.59</v>
      </c>
      <c r="K10" s="8"/>
      <c r="L10" s="7"/>
      <c r="M10" s="7"/>
      <c r="N10" s="7"/>
      <c r="O10" s="7"/>
      <c r="P10" s="7" t="s">
        <v>490</v>
      </c>
      <c r="Q10" s="7" t="s">
        <v>543</v>
      </c>
      <c r="R10" s="7"/>
      <c r="S10" s="7" t="s">
        <v>544</v>
      </c>
      <c r="T10" s="7" t="s">
        <v>545</v>
      </c>
      <c r="U10" s="65">
        <v>3982.0</v>
      </c>
      <c r="V10" s="7"/>
      <c r="W10" s="7"/>
    </row>
    <row r="11">
      <c r="A11" s="45">
        <v>45911.466944444444</v>
      </c>
      <c r="B11" s="7" t="s">
        <v>2080</v>
      </c>
      <c r="C11" s="7" t="s">
        <v>2075</v>
      </c>
      <c r="D11" s="74">
        <v>1.0</v>
      </c>
      <c r="E11" s="46"/>
      <c r="F11" s="47">
        <v>24.99</v>
      </c>
      <c r="G11" s="47">
        <v>0.0</v>
      </c>
      <c r="H11" s="7"/>
      <c r="I11" s="47">
        <v>1.4</v>
      </c>
      <c r="J11" s="140">
        <f t="shared" si="1"/>
        <v>23.59</v>
      </c>
      <c r="K11" s="8"/>
      <c r="L11" s="7"/>
      <c r="M11" s="7"/>
      <c r="N11" s="7"/>
      <c r="O11" s="7"/>
      <c r="P11" s="7" t="s">
        <v>490</v>
      </c>
      <c r="Q11" s="7" t="s">
        <v>1955</v>
      </c>
      <c r="R11" s="7"/>
      <c r="S11" s="7" t="s">
        <v>1956</v>
      </c>
      <c r="T11" s="7" t="s">
        <v>939</v>
      </c>
      <c r="U11" s="65">
        <v>3978.0</v>
      </c>
      <c r="V11" s="7"/>
      <c r="W11" s="7"/>
    </row>
    <row r="12">
      <c r="A12" s="45">
        <v>45911.33855324074</v>
      </c>
      <c r="B12" s="7" t="s">
        <v>2081</v>
      </c>
      <c r="C12" s="7" t="s">
        <v>2075</v>
      </c>
      <c r="D12" s="74">
        <v>1.0</v>
      </c>
      <c r="E12" s="46"/>
      <c r="F12" s="47">
        <v>24.99</v>
      </c>
      <c r="G12" s="47">
        <v>0.0</v>
      </c>
      <c r="H12" s="7"/>
      <c r="I12" s="47">
        <v>1.4</v>
      </c>
      <c r="J12" s="140">
        <f t="shared" si="1"/>
        <v>23.59</v>
      </c>
      <c r="K12" s="8"/>
      <c r="L12" s="7"/>
      <c r="M12" s="7"/>
      <c r="N12" s="7"/>
      <c r="O12" s="7"/>
      <c r="P12" s="7" t="s">
        <v>490</v>
      </c>
      <c r="Q12" s="7"/>
      <c r="R12" s="7"/>
      <c r="S12" s="7"/>
      <c r="T12" s="7" t="s">
        <v>525</v>
      </c>
      <c r="U12" s="65">
        <v>3976.0</v>
      </c>
      <c r="V12" s="7"/>
      <c r="W12" s="7"/>
    </row>
    <row r="13">
      <c r="A13" s="45">
        <v>45911.14199074074</v>
      </c>
      <c r="B13" s="7" t="s">
        <v>2082</v>
      </c>
      <c r="C13" s="67" t="s">
        <v>2077</v>
      </c>
      <c r="D13" s="74">
        <v>1.0</v>
      </c>
      <c r="E13" s="74">
        <v>1.0</v>
      </c>
      <c r="F13" s="47">
        <v>165.64</v>
      </c>
      <c r="G13" s="47">
        <v>0.0</v>
      </c>
      <c r="H13" s="7"/>
      <c r="I13" s="47">
        <v>7.59</v>
      </c>
      <c r="J13" s="140">
        <f t="shared" si="1"/>
        <v>158.05</v>
      </c>
      <c r="K13" s="8"/>
      <c r="L13" s="7"/>
      <c r="M13" s="7"/>
      <c r="N13" s="7"/>
      <c r="O13" s="7"/>
      <c r="P13" s="7" t="s">
        <v>490</v>
      </c>
      <c r="Q13" s="7" t="s">
        <v>2083</v>
      </c>
      <c r="R13" s="7" t="s">
        <v>2084</v>
      </c>
      <c r="S13" s="7" t="s">
        <v>2085</v>
      </c>
      <c r="T13" s="7" t="s">
        <v>497</v>
      </c>
      <c r="U13" s="65">
        <v>3975.0</v>
      </c>
      <c r="V13" s="7"/>
      <c r="W13" s="7"/>
    </row>
    <row r="14">
      <c r="A14" s="45">
        <v>45911.12505787037</v>
      </c>
      <c r="B14" s="7" t="s">
        <v>440</v>
      </c>
      <c r="C14" s="7" t="s">
        <v>2075</v>
      </c>
      <c r="D14" s="74">
        <v>1.0</v>
      </c>
      <c r="E14" s="46"/>
      <c r="F14" s="47">
        <v>24.99</v>
      </c>
      <c r="G14" s="47">
        <v>0.0</v>
      </c>
      <c r="H14" s="7"/>
      <c r="I14" s="47">
        <v>1.02</v>
      </c>
      <c r="J14" s="140">
        <f t="shared" si="1"/>
        <v>23.97</v>
      </c>
      <c r="K14" s="8"/>
      <c r="L14" s="7"/>
      <c r="M14" s="7"/>
      <c r="N14" s="7"/>
      <c r="O14" s="7"/>
      <c r="P14" s="7" t="s">
        <v>490</v>
      </c>
      <c r="Q14" s="7" t="s">
        <v>1949</v>
      </c>
      <c r="R14" s="7"/>
      <c r="S14" s="7" t="s">
        <v>1745</v>
      </c>
      <c r="T14" s="7" t="s">
        <v>493</v>
      </c>
      <c r="U14" s="65">
        <v>3973.0</v>
      </c>
      <c r="V14" s="7"/>
      <c r="W14" s="7"/>
    </row>
    <row r="15">
      <c r="A15" s="45">
        <v>45910.86539351852</v>
      </c>
      <c r="B15" s="7" t="s">
        <v>2086</v>
      </c>
      <c r="C15" s="7" t="s">
        <v>2075</v>
      </c>
      <c r="D15" s="74">
        <v>1.0</v>
      </c>
      <c r="E15" s="46"/>
      <c r="F15" s="47">
        <v>34.46</v>
      </c>
      <c r="G15" s="47">
        <v>0.0</v>
      </c>
      <c r="H15" s="7"/>
      <c r="I15" s="47">
        <v>1.3</v>
      </c>
      <c r="J15" s="140">
        <f t="shared" si="1"/>
        <v>33.16</v>
      </c>
      <c r="K15" s="8"/>
      <c r="L15" s="7"/>
      <c r="M15" s="7"/>
      <c r="N15" s="7"/>
      <c r="O15" s="7"/>
      <c r="P15" s="7" t="s">
        <v>490</v>
      </c>
      <c r="Q15" s="7" t="s">
        <v>2087</v>
      </c>
      <c r="R15" s="7" t="s">
        <v>2088</v>
      </c>
      <c r="S15" s="7" t="s">
        <v>1171</v>
      </c>
      <c r="T15" s="7" t="s">
        <v>493</v>
      </c>
      <c r="U15" s="65">
        <v>3970.0</v>
      </c>
      <c r="V15" s="7"/>
      <c r="W15" s="7"/>
    </row>
    <row r="16">
      <c r="A16" s="45">
        <v>45910.80805555556</v>
      </c>
      <c r="B16" s="7" t="s">
        <v>498</v>
      </c>
      <c r="C16" s="7" t="s">
        <v>2075</v>
      </c>
      <c r="D16" s="74">
        <v>1.0</v>
      </c>
      <c r="E16" s="46"/>
      <c r="F16" s="47">
        <v>24.99</v>
      </c>
      <c r="G16" s="47">
        <v>0.0</v>
      </c>
      <c r="H16" s="7"/>
      <c r="I16" s="47">
        <v>1.4</v>
      </c>
      <c r="J16" s="140">
        <f t="shared" si="1"/>
        <v>23.59</v>
      </c>
      <c r="K16" s="8"/>
      <c r="L16" s="7"/>
      <c r="M16" s="7"/>
      <c r="N16" s="7"/>
      <c r="O16" s="7"/>
      <c r="P16" s="7" t="s">
        <v>490</v>
      </c>
      <c r="Q16" s="7" t="s">
        <v>2089</v>
      </c>
      <c r="R16" s="7"/>
      <c r="S16" s="7" t="s">
        <v>500</v>
      </c>
      <c r="T16" s="7" t="s">
        <v>501</v>
      </c>
      <c r="U16" s="65">
        <v>3969.0</v>
      </c>
      <c r="V16" s="7"/>
      <c r="W16" s="7"/>
    </row>
    <row r="17">
      <c r="A17" s="45">
        <v>45910.75511574074</v>
      </c>
      <c r="B17" s="7" t="s">
        <v>866</v>
      </c>
      <c r="C17" s="7" t="s">
        <v>2075</v>
      </c>
      <c r="D17" s="74">
        <v>1.0</v>
      </c>
      <c r="E17" s="46"/>
      <c r="F17" s="47">
        <v>46.67</v>
      </c>
      <c r="G17" s="47">
        <v>0.0</v>
      </c>
      <c r="H17" s="7"/>
      <c r="I17" s="47">
        <v>2.35</v>
      </c>
      <c r="J17" s="140">
        <f t="shared" si="1"/>
        <v>44.32</v>
      </c>
      <c r="K17" s="8"/>
      <c r="L17" s="7"/>
      <c r="M17" s="7"/>
      <c r="N17" s="7"/>
      <c r="O17" s="7"/>
      <c r="P17" s="7" t="s">
        <v>490</v>
      </c>
      <c r="Q17" s="7" t="s">
        <v>2090</v>
      </c>
      <c r="R17" s="7"/>
      <c r="S17" s="7" t="s">
        <v>2091</v>
      </c>
      <c r="T17" s="7" t="s">
        <v>545</v>
      </c>
      <c r="U17" s="65">
        <v>3968.0</v>
      </c>
      <c r="V17" s="7"/>
      <c r="W17" s="7"/>
    </row>
    <row r="18">
      <c r="A18" s="45">
        <v>45910.20112268518</v>
      </c>
      <c r="B18" s="7" t="s">
        <v>634</v>
      </c>
      <c r="C18" s="7" t="s">
        <v>2075</v>
      </c>
      <c r="D18" s="74">
        <v>1.0</v>
      </c>
      <c r="E18" s="46"/>
      <c r="F18" s="47">
        <v>24.99</v>
      </c>
      <c r="G18" s="47">
        <v>0.0</v>
      </c>
      <c r="H18" s="7"/>
      <c r="I18" s="47">
        <v>1.4</v>
      </c>
      <c r="J18" s="140">
        <f t="shared" si="1"/>
        <v>23.59</v>
      </c>
      <c r="K18" s="8"/>
      <c r="L18" s="7"/>
      <c r="M18" s="7"/>
      <c r="N18" s="7"/>
      <c r="O18" s="7"/>
      <c r="P18" s="7" t="s">
        <v>490</v>
      </c>
      <c r="Q18" s="7" t="s">
        <v>635</v>
      </c>
      <c r="R18" s="7" t="s">
        <v>636</v>
      </c>
      <c r="S18" s="7" t="s">
        <v>637</v>
      </c>
      <c r="T18" s="7" t="s">
        <v>638</v>
      </c>
      <c r="U18" s="65">
        <v>3965.0</v>
      </c>
      <c r="V18" s="7"/>
      <c r="W18" s="7"/>
    </row>
    <row r="19">
      <c r="A19" s="45">
        <v>45909.67275462963</v>
      </c>
      <c r="B19" s="7" t="s">
        <v>342</v>
      </c>
      <c r="C19" s="7" t="s">
        <v>2075</v>
      </c>
      <c r="D19" s="74">
        <v>1.0</v>
      </c>
      <c r="E19" s="46"/>
      <c r="F19" s="47">
        <v>34.46</v>
      </c>
      <c r="G19" s="47">
        <v>0.0</v>
      </c>
      <c r="H19" s="7"/>
      <c r="I19" s="47">
        <v>1.3</v>
      </c>
      <c r="J19" s="140">
        <f t="shared" si="1"/>
        <v>33.16</v>
      </c>
      <c r="K19" s="8"/>
      <c r="L19" s="7"/>
      <c r="M19" s="7"/>
      <c r="N19" s="7"/>
      <c r="O19" s="7"/>
      <c r="P19" s="7" t="s">
        <v>490</v>
      </c>
      <c r="Q19" s="7"/>
      <c r="R19" s="7"/>
      <c r="S19" s="7"/>
      <c r="T19" s="7" t="s">
        <v>493</v>
      </c>
      <c r="U19" s="65">
        <v>3960.0</v>
      </c>
      <c r="V19" s="7"/>
      <c r="W19" s="7"/>
    </row>
    <row r="20">
      <c r="A20" s="45">
        <v>45909.09333333333</v>
      </c>
      <c r="B20" s="7" t="s">
        <v>2092</v>
      </c>
      <c r="C20" s="7" t="s">
        <v>2075</v>
      </c>
      <c r="D20" s="74">
        <v>1.0</v>
      </c>
      <c r="E20" s="46"/>
      <c r="F20" s="47">
        <v>36.4</v>
      </c>
      <c r="G20" s="47">
        <v>0.0</v>
      </c>
      <c r="H20" s="7"/>
      <c r="I20" s="47">
        <v>1.36</v>
      </c>
      <c r="J20" s="140">
        <f t="shared" si="1"/>
        <v>35.04</v>
      </c>
      <c r="K20" s="8"/>
      <c r="L20" s="7"/>
      <c r="M20" s="7"/>
      <c r="N20" s="7"/>
      <c r="O20" s="7"/>
      <c r="P20" s="7" t="s">
        <v>490</v>
      </c>
      <c r="Q20" s="7" t="s">
        <v>2093</v>
      </c>
      <c r="R20" s="7"/>
      <c r="S20" s="7" t="s">
        <v>2094</v>
      </c>
      <c r="T20" s="7" t="s">
        <v>493</v>
      </c>
      <c r="U20" s="65">
        <v>3959.0</v>
      </c>
      <c r="V20" s="7"/>
      <c r="W20" s="7"/>
    </row>
    <row r="21">
      <c r="A21" s="45">
        <v>45909.04539351852</v>
      </c>
      <c r="B21" s="7" t="s">
        <v>2095</v>
      </c>
      <c r="C21" s="7" t="s">
        <v>2075</v>
      </c>
      <c r="D21" s="74">
        <v>1.0</v>
      </c>
      <c r="E21" s="46"/>
      <c r="F21" s="47">
        <v>36.53</v>
      </c>
      <c r="G21" s="47">
        <v>0.0</v>
      </c>
      <c r="H21" s="7"/>
      <c r="I21" s="47">
        <v>1.91</v>
      </c>
      <c r="J21" s="140">
        <f t="shared" si="1"/>
        <v>34.62</v>
      </c>
      <c r="K21" s="8"/>
      <c r="L21" s="7"/>
      <c r="M21" s="7"/>
      <c r="N21" s="7"/>
      <c r="O21" s="7"/>
      <c r="P21" s="7" t="s">
        <v>490</v>
      </c>
      <c r="Q21" s="7"/>
      <c r="R21" s="7"/>
      <c r="S21" s="7"/>
      <c r="T21" s="7" t="s">
        <v>560</v>
      </c>
      <c r="U21" s="65">
        <v>3958.0</v>
      </c>
      <c r="V21" s="7"/>
      <c r="W21" s="7"/>
    </row>
    <row r="22">
      <c r="A22" s="45">
        <v>45908.967453703706</v>
      </c>
      <c r="B22" s="7" t="s">
        <v>667</v>
      </c>
      <c r="C22" s="7" t="s">
        <v>2075</v>
      </c>
      <c r="D22" s="74">
        <v>1.0</v>
      </c>
      <c r="E22" s="46"/>
      <c r="F22" s="47">
        <v>24.99</v>
      </c>
      <c r="G22" s="47">
        <v>0.0</v>
      </c>
      <c r="H22" s="7"/>
      <c r="I22" s="47">
        <v>1.02</v>
      </c>
      <c r="J22" s="140">
        <f t="shared" si="1"/>
        <v>23.97</v>
      </c>
      <c r="K22" s="8"/>
      <c r="L22" s="7"/>
      <c r="M22" s="7"/>
      <c r="N22" s="7"/>
      <c r="O22" s="7"/>
      <c r="P22" s="7" t="s">
        <v>490</v>
      </c>
      <c r="Q22" s="7" t="s">
        <v>668</v>
      </c>
      <c r="R22" s="7"/>
      <c r="S22" s="7" t="s">
        <v>669</v>
      </c>
      <c r="T22" s="7" t="s">
        <v>493</v>
      </c>
      <c r="U22" s="65">
        <v>3955.0</v>
      </c>
      <c r="V22" s="7"/>
      <c r="W22" s="7"/>
    </row>
    <row r="23">
      <c r="A23" s="45">
        <v>45908.96202546296</v>
      </c>
      <c r="B23" s="7" t="s">
        <v>592</v>
      </c>
      <c r="C23" s="7" t="s">
        <v>2075</v>
      </c>
      <c r="D23" s="74">
        <v>1.0</v>
      </c>
      <c r="E23" s="46"/>
      <c r="F23" s="47">
        <v>27.61</v>
      </c>
      <c r="G23" s="47">
        <v>0.0</v>
      </c>
      <c r="H23" s="7"/>
      <c r="I23" s="47">
        <v>1.1</v>
      </c>
      <c r="J23" s="140">
        <f t="shared" si="1"/>
        <v>26.51</v>
      </c>
      <c r="K23" s="8"/>
      <c r="L23" s="7"/>
      <c r="M23" s="7"/>
      <c r="N23" s="7"/>
      <c r="O23" s="7"/>
      <c r="P23" s="7" t="s">
        <v>490</v>
      </c>
      <c r="Q23" s="7" t="s">
        <v>593</v>
      </c>
      <c r="R23" s="7"/>
      <c r="S23" s="7" t="s">
        <v>594</v>
      </c>
      <c r="T23" s="7" t="s">
        <v>493</v>
      </c>
      <c r="U23" s="65">
        <v>3954.0</v>
      </c>
      <c r="V23" s="7"/>
      <c r="W23" s="7"/>
    </row>
    <row r="24">
      <c r="A24" s="45">
        <v>45908.82037037037</v>
      </c>
      <c r="B24" s="7" t="s">
        <v>727</v>
      </c>
      <c r="C24" s="7" t="s">
        <v>2075</v>
      </c>
      <c r="D24" s="74">
        <v>1.0</v>
      </c>
      <c r="E24" s="46"/>
      <c r="F24" s="47">
        <v>24.99</v>
      </c>
      <c r="G24" s="47">
        <v>0.0</v>
      </c>
      <c r="H24" s="7"/>
      <c r="I24" s="47">
        <v>1.02</v>
      </c>
      <c r="J24" s="140">
        <f t="shared" si="1"/>
        <v>23.97</v>
      </c>
      <c r="K24" s="8"/>
      <c r="L24" s="7"/>
      <c r="M24" s="7"/>
      <c r="N24" s="7"/>
      <c r="O24" s="7"/>
      <c r="P24" s="7" t="s">
        <v>490</v>
      </c>
      <c r="Q24" s="7" t="s">
        <v>728</v>
      </c>
      <c r="R24" s="7"/>
      <c r="S24" s="7" t="s">
        <v>729</v>
      </c>
      <c r="T24" s="7" t="s">
        <v>493</v>
      </c>
      <c r="U24" s="65">
        <v>3951.0</v>
      </c>
      <c r="V24" s="7"/>
      <c r="W24" s="7"/>
    </row>
    <row r="25">
      <c r="A25" s="45">
        <v>45908.810219907406</v>
      </c>
      <c r="B25" s="7" t="s">
        <v>1085</v>
      </c>
      <c r="C25" s="7" t="s">
        <v>2075</v>
      </c>
      <c r="D25" s="74">
        <v>1.0</v>
      </c>
      <c r="E25" s="46"/>
      <c r="F25" s="47">
        <v>24.99</v>
      </c>
      <c r="G25" s="47">
        <v>0.0</v>
      </c>
      <c r="H25" s="7"/>
      <c r="I25" s="47">
        <v>1.02</v>
      </c>
      <c r="J25" s="140">
        <f t="shared" si="1"/>
        <v>23.97</v>
      </c>
      <c r="K25" s="8"/>
      <c r="L25" s="7"/>
      <c r="M25" s="7"/>
      <c r="N25" s="7"/>
      <c r="O25" s="7"/>
      <c r="P25" s="7" t="s">
        <v>490</v>
      </c>
      <c r="Q25" s="7" t="s">
        <v>1086</v>
      </c>
      <c r="R25" s="7"/>
      <c r="S25" s="7" t="s">
        <v>1087</v>
      </c>
      <c r="T25" s="7" t="s">
        <v>493</v>
      </c>
      <c r="U25" s="65">
        <v>3950.0</v>
      </c>
      <c r="V25" s="7"/>
      <c r="W25" s="7"/>
    </row>
    <row r="26">
      <c r="A26" s="45">
        <v>45908.804502314815</v>
      </c>
      <c r="B26" s="7" t="s">
        <v>107</v>
      </c>
      <c r="C26" s="7" t="s">
        <v>2075</v>
      </c>
      <c r="D26" s="74">
        <v>1.0</v>
      </c>
      <c r="E26" s="46"/>
      <c r="F26" s="47">
        <v>24.99</v>
      </c>
      <c r="G26" s="47">
        <v>0.0</v>
      </c>
      <c r="H26" s="7"/>
      <c r="I26" s="47">
        <v>1.02</v>
      </c>
      <c r="J26" s="140">
        <f t="shared" si="1"/>
        <v>23.97</v>
      </c>
      <c r="K26" s="8"/>
      <c r="L26" s="7"/>
      <c r="M26" s="7"/>
      <c r="N26" s="7"/>
      <c r="O26" s="7"/>
      <c r="P26" s="7" t="s">
        <v>490</v>
      </c>
      <c r="Q26" s="7" t="s">
        <v>810</v>
      </c>
      <c r="R26" s="7"/>
      <c r="S26" s="7" t="s">
        <v>811</v>
      </c>
      <c r="T26" s="7" t="s">
        <v>493</v>
      </c>
      <c r="U26" s="65">
        <v>3949.0</v>
      </c>
      <c r="V26" s="7"/>
      <c r="W26" s="7"/>
    </row>
    <row r="27">
      <c r="A27" s="45">
        <v>45908.79304398148</v>
      </c>
      <c r="B27" s="7" t="s">
        <v>621</v>
      </c>
      <c r="C27" s="7" t="s">
        <v>2075</v>
      </c>
      <c r="D27" s="74">
        <v>1.0</v>
      </c>
      <c r="E27" s="46"/>
      <c r="F27" s="47">
        <v>24.99</v>
      </c>
      <c r="G27" s="47">
        <v>0.0</v>
      </c>
      <c r="H27" s="7"/>
      <c r="I27" s="47">
        <v>1.4</v>
      </c>
      <c r="J27" s="140">
        <f t="shared" si="1"/>
        <v>23.59</v>
      </c>
      <c r="K27" s="8"/>
      <c r="L27" s="7"/>
      <c r="M27" s="7"/>
      <c r="N27" s="7"/>
      <c r="O27" s="7"/>
      <c r="P27" s="7" t="s">
        <v>490</v>
      </c>
      <c r="Q27" s="7"/>
      <c r="R27" s="7"/>
      <c r="S27" s="7"/>
      <c r="T27" s="7" t="s">
        <v>622</v>
      </c>
      <c r="U27" s="65">
        <v>3948.0</v>
      </c>
      <c r="V27" s="7"/>
      <c r="W27" s="7"/>
    </row>
    <row r="28">
      <c r="A28" s="45">
        <v>45908.77116898148</v>
      </c>
      <c r="B28" s="7" t="s">
        <v>364</v>
      </c>
      <c r="C28" s="7" t="s">
        <v>2075</v>
      </c>
      <c r="D28" s="74">
        <v>1.0</v>
      </c>
      <c r="E28" s="46"/>
      <c r="F28" s="47">
        <v>24.99</v>
      </c>
      <c r="G28" s="47">
        <v>0.0</v>
      </c>
      <c r="H28" s="7"/>
      <c r="I28" s="47">
        <v>1.4</v>
      </c>
      <c r="J28" s="140">
        <f t="shared" si="1"/>
        <v>23.59</v>
      </c>
      <c r="K28" s="8"/>
      <c r="L28" s="7"/>
      <c r="M28" s="7"/>
      <c r="N28" s="7"/>
      <c r="O28" s="7"/>
      <c r="P28" s="7" t="s">
        <v>490</v>
      </c>
      <c r="Q28" s="7" t="s">
        <v>855</v>
      </c>
      <c r="R28" s="7" t="s">
        <v>855</v>
      </c>
      <c r="S28" s="7" t="s">
        <v>856</v>
      </c>
      <c r="T28" s="7" t="s">
        <v>545</v>
      </c>
      <c r="U28" s="65">
        <v>3947.0</v>
      </c>
      <c r="V28" s="7"/>
      <c r="W28" s="7"/>
    </row>
    <row r="29">
      <c r="A29" s="45">
        <v>45908.715775462966</v>
      </c>
      <c r="B29" s="7" t="s">
        <v>1747</v>
      </c>
      <c r="C29" s="7" t="s">
        <v>2075</v>
      </c>
      <c r="D29" s="74">
        <v>1.0</v>
      </c>
      <c r="E29" s="46"/>
      <c r="F29" s="47">
        <v>24.99</v>
      </c>
      <c r="G29" s="47">
        <v>0.0</v>
      </c>
      <c r="H29" s="7"/>
      <c r="I29" s="47">
        <v>1.02</v>
      </c>
      <c r="J29" s="140">
        <f t="shared" si="1"/>
        <v>23.97</v>
      </c>
      <c r="K29" s="8"/>
      <c r="L29" s="7"/>
      <c r="M29" s="7"/>
      <c r="N29" s="7"/>
      <c r="O29" s="7"/>
      <c r="P29" s="7" t="s">
        <v>490</v>
      </c>
      <c r="Q29" s="7" t="s">
        <v>2096</v>
      </c>
      <c r="R29" s="7"/>
      <c r="S29" s="7" t="s">
        <v>1749</v>
      </c>
      <c r="T29" s="7" t="s">
        <v>493</v>
      </c>
      <c r="U29" s="65">
        <v>3944.0</v>
      </c>
      <c r="V29" s="7"/>
      <c r="W29" s="7"/>
    </row>
    <row r="30">
      <c r="A30" s="45">
        <v>45908.05652777778</v>
      </c>
      <c r="B30" s="7" t="s">
        <v>436</v>
      </c>
      <c r="C30" s="7" t="s">
        <v>2075</v>
      </c>
      <c r="D30" s="74">
        <v>1.0</v>
      </c>
      <c r="E30" s="46"/>
      <c r="F30" s="47">
        <v>24.99</v>
      </c>
      <c r="G30" s="47">
        <v>0.0</v>
      </c>
      <c r="H30" s="7"/>
      <c r="I30" s="47">
        <v>1.02</v>
      </c>
      <c r="J30" s="140">
        <f t="shared" si="1"/>
        <v>23.97</v>
      </c>
      <c r="K30" s="8"/>
      <c r="L30" s="7"/>
      <c r="M30" s="7"/>
      <c r="N30" s="7"/>
      <c r="O30" s="7"/>
      <c r="P30" s="7" t="s">
        <v>490</v>
      </c>
      <c r="Q30" s="7" t="s">
        <v>1115</v>
      </c>
      <c r="R30" s="7"/>
      <c r="S30" s="7" t="s">
        <v>1116</v>
      </c>
      <c r="T30" s="7" t="s">
        <v>493</v>
      </c>
      <c r="U30" s="65">
        <v>3941.0</v>
      </c>
      <c r="V30" s="7"/>
      <c r="W30" s="7"/>
    </row>
    <row r="31">
      <c r="A31" s="45">
        <v>45907.13525462963</v>
      </c>
      <c r="B31" s="7" t="s">
        <v>1531</v>
      </c>
      <c r="C31" s="7" t="s">
        <v>2075</v>
      </c>
      <c r="D31" s="74">
        <v>1.0</v>
      </c>
      <c r="E31" s="46"/>
      <c r="F31" s="47">
        <v>24.99</v>
      </c>
      <c r="G31" s="47">
        <v>0.0</v>
      </c>
      <c r="H31" s="7"/>
      <c r="I31" s="47">
        <v>1.02</v>
      </c>
      <c r="J31" s="140">
        <f t="shared" si="1"/>
        <v>23.97</v>
      </c>
      <c r="K31" s="8"/>
      <c r="L31" s="7"/>
      <c r="M31" s="7"/>
      <c r="N31" s="7"/>
      <c r="O31" s="7"/>
      <c r="P31" s="7" t="s">
        <v>490</v>
      </c>
      <c r="Q31" s="7" t="s">
        <v>925</v>
      </c>
      <c r="R31" s="7"/>
      <c r="S31" s="7" t="s">
        <v>926</v>
      </c>
      <c r="T31" s="7" t="s">
        <v>493</v>
      </c>
      <c r="U31" s="65">
        <v>3939.0</v>
      </c>
      <c r="V31" s="7"/>
      <c r="W31" s="7"/>
    </row>
    <row r="32">
      <c r="A32" s="45">
        <v>45906.74024305555</v>
      </c>
      <c r="B32" s="7" t="s">
        <v>550</v>
      </c>
      <c r="C32" s="7" t="s">
        <v>2075</v>
      </c>
      <c r="D32" s="74">
        <v>1.0</v>
      </c>
      <c r="E32" s="46"/>
      <c r="F32" s="47">
        <v>24.99</v>
      </c>
      <c r="G32" s="47">
        <v>0.0</v>
      </c>
      <c r="H32" s="7"/>
      <c r="I32" s="47">
        <v>1.02</v>
      </c>
      <c r="J32" s="140">
        <f t="shared" si="1"/>
        <v>23.97</v>
      </c>
      <c r="K32" s="8"/>
      <c r="L32" s="7"/>
      <c r="M32" s="7"/>
      <c r="N32" s="7"/>
      <c r="O32" s="7"/>
      <c r="P32" s="7" t="s">
        <v>490</v>
      </c>
      <c r="Q32" s="7" t="s">
        <v>1535</v>
      </c>
      <c r="R32" s="7"/>
      <c r="S32" s="7" t="s">
        <v>552</v>
      </c>
      <c r="T32" s="7" t="s">
        <v>493</v>
      </c>
      <c r="U32" s="65">
        <v>3938.0</v>
      </c>
      <c r="V32" s="7"/>
      <c r="W32" s="7"/>
    </row>
    <row r="33">
      <c r="A33" s="45">
        <v>45906.0825</v>
      </c>
      <c r="B33" s="7" t="s">
        <v>152</v>
      </c>
      <c r="C33" s="7" t="s">
        <v>2075</v>
      </c>
      <c r="D33" s="74">
        <v>1.0</v>
      </c>
      <c r="E33" s="46"/>
      <c r="F33" s="47">
        <v>24.99</v>
      </c>
      <c r="G33" s="47">
        <v>0.0</v>
      </c>
      <c r="H33" s="7"/>
      <c r="I33" s="47">
        <v>1.02</v>
      </c>
      <c r="J33" s="140">
        <f t="shared" si="1"/>
        <v>23.97</v>
      </c>
      <c r="K33" s="8"/>
      <c r="L33" s="7"/>
      <c r="M33" s="7"/>
      <c r="N33" s="7"/>
      <c r="O33" s="7"/>
      <c r="P33" s="7" t="s">
        <v>490</v>
      </c>
      <c r="Q33" s="7" t="s">
        <v>568</v>
      </c>
      <c r="R33" s="7"/>
      <c r="S33" s="7" t="s">
        <v>569</v>
      </c>
      <c r="T33" s="7" t="s">
        <v>493</v>
      </c>
      <c r="U33" s="65">
        <v>3937.0</v>
      </c>
      <c r="V33" s="7"/>
      <c r="W33" s="7"/>
    </row>
    <row r="34">
      <c r="A34" s="45">
        <v>45906.068078703705</v>
      </c>
      <c r="B34" s="7" t="s">
        <v>559</v>
      </c>
      <c r="C34" s="7" t="s">
        <v>2075</v>
      </c>
      <c r="D34" s="74">
        <v>1.0</v>
      </c>
      <c r="E34" s="46"/>
      <c r="F34" s="47">
        <v>24.99</v>
      </c>
      <c r="G34" s="47">
        <v>0.0</v>
      </c>
      <c r="H34" s="7"/>
      <c r="I34" s="47">
        <v>1.4</v>
      </c>
      <c r="J34" s="140">
        <f t="shared" si="1"/>
        <v>23.59</v>
      </c>
      <c r="K34" s="8"/>
      <c r="L34" s="7"/>
      <c r="M34" s="7"/>
      <c r="N34" s="7"/>
      <c r="O34" s="7"/>
      <c r="P34" s="7" t="s">
        <v>490</v>
      </c>
      <c r="Q34" s="7" t="s">
        <v>1775</v>
      </c>
      <c r="R34" s="7"/>
      <c r="S34" s="7" t="s">
        <v>1776</v>
      </c>
      <c r="T34" s="7" t="s">
        <v>560</v>
      </c>
      <c r="U34" s="65">
        <v>3936.0</v>
      </c>
      <c r="V34" s="7"/>
      <c r="W34" s="7"/>
    </row>
    <row r="35">
      <c r="A35" s="45">
        <v>45906.06377314815</v>
      </c>
      <c r="B35" s="7" t="s">
        <v>2097</v>
      </c>
      <c r="C35" s="7" t="s">
        <v>2075</v>
      </c>
      <c r="D35" s="74">
        <v>1.0</v>
      </c>
      <c r="E35" s="46"/>
      <c r="F35" s="47">
        <v>36.14</v>
      </c>
      <c r="G35" s="47">
        <v>0.0</v>
      </c>
      <c r="H35" s="7"/>
      <c r="I35" s="47">
        <v>1.35</v>
      </c>
      <c r="J35" s="140">
        <f t="shared" si="1"/>
        <v>34.79</v>
      </c>
      <c r="K35" s="8"/>
      <c r="L35" s="7"/>
      <c r="M35" s="7"/>
      <c r="N35" s="7"/>
      <c r="O35" s="7"/>
      <c r="P35" s="7" t="s">
        <v>490</v>
      </c>
      <c r="Q35" s="7" t="s">
        <v>2098</v>
      </c>
      <c r="R35" s="7"/>
      <c r="S35" s="7" t="s">
        <v>1147</v>
      </c>
      <c r="T35" s="7" t="s">
        <v>493</v>
      </c>
      <c r="U35" s="65">
        <v>3935.0</v>
      </c>
      <c r="V35" s="7"/>
      <c r="W35" s="7"/>
    </row>
    <row r="36">
      <c r="A36" s="45">
        <v>45906.04950231482</v>
      </c>
      <c r="B36" s="7" t="s">
        <v>260</v>
      </c>
      <c r="C36" s="7" t="s">
        <v>2075</v>
      </c>
      <c r="D36" s="74">
        <v>1.0</v>
      </c>
      <c r="E36" s="46"/>
      <c r="F36" s="47">
        <v>24.99</v>
      </c>
      <c r="G36" s="47">
        <v>0.0</v>
      </c>
      <c r="H36" s="7"/>
      <c r="I36" s="47">
        <v>1.02</v>
      </c>
      <c r="J36" s="140">
        <f t="shared" si="1"/>
        <v>23.97</v>
      </c>
      <c r="K36" s="8"/>
      <c r="L36" s="7"/>
      <c r="M36" s="7"/>
      <c r="N36" s="7"/>
      <c r="O36" s="7"/>
      <c r="P36" s="7" t="s">
        <v>490</v>
      </c>
      <c r="Q36" s="7" t="s">
        <v>561</v>
      </c>
      <c r="R36" s="7" t="s">
        <v>562</v>
      </c>
      <c r="S36" s="7" t="s">
        <v>563</v>
      </c>
      <c r="T36" s="7" t="s">
        <v>493</v>
      </c>
      <c r="U36" s="65">
        <v>3934.0</v>
      </c>
      <c r="V36" s="7"/>
      <c r="W36" s="7"/>
    </row>
    <row r="37">
      <c r="A37" s="45">
        <v>45906.020844907405</v>
      </c>
      <c r="B37" s="7" t="s">
        <v>984</v>
      </c>
      <c r="C37" s="7" t="s">
        <v>2075</v>
      </c>
      <c r="D37" s="74">
        <v>1.0</v>
      </c>
      <c r="E37" s="46"/>
      <c r="F37" s="47">
        <v>24.99</v>
      </c>
      <c r="G37" s="47">
        <v>0.0</v>
      </c>
      <c r="H37" s="7"/>
      <c r="I37" s="47">
        <v>1.02</v>
      </c>
      <c r="J37" s="140">
        <f t="shared" si="1"/>
        <v>23.97</v>
      </c>
      <c r="K37" s="8"/>
      <c r="L37" s="7"/>
      <c r="M37" s="7"/>
      <c r="N37" s="7"/>
      <c r="O37" s="7"/>
      <c r="P37" s="7" t="s">
        <v>490</v>
      </c>
      <c r="Q37" s="7" t="s">
        <v>985</v>
      </c>
      <c r="R37" s="7"/>
      <c r="S37" s="7" t="s">
        <v>986</v>
      </c>
      <c r="T37" s="7" t="s">
        <v>493</v>
      </c>
      <c r="U37" s="65">
        <v>3933.0</v>
      </c>
      <c r="V37" s="7"/>
      <c r="W37" s="7"/>
    </row>
    <row r="38">
      <c r="A38" s="45">
        <v>45905.984143518515</v>
      </c>
      <c r="B38" s="7" t="s">
        <v>876</v>
      </c>
      <c r="C38" s="7" t="s">
        <v>2075</v>
      </c>
      <c r="D38" s="74">
        <v>1.0</v>
      </c>
      <c r="E38" s="46"/>
      <c r="F38" s="47">
        <v>24.99</v>
      </c>
      <c r="G38" s="47">
        <v>0.0</v>
      </c>
      <c r="H38" s="7"/>
      <c r="I38" s="47">
        <v>1.4</v>
      </c>
      <c r="J38" s="140">
        <f t="shared" si="1"/>
        <v>23.59</v>
      </c>
      <c r="K38" s="8"/>
      <c r="L38" s="7"/>
      <c r="M38" s="7"/>
      <c r="N38" s="7"/>
      <c r="O38" s="7"/>
      <c r="P38" s="7" t="s">
        <v>490</v>
      </c>
      <c r="Q38" s="7" t="s">
        <v>877</v>
      </c>
      <c r="R38" s="7"/>
      <c r="S38" s="7" t="s">
        <v>878</v>
      </c>
      <c r="T38" s="7" t="s">
        <v>525</v>
      </c>
      <c r="U38" s="65">
        <v>3932.0</v>
      </c>
      <c r="V38" s="7"/>
      <c r="W38" s="7"/>
    </row>
    <row r="39">
      <c r="A39" s="45">
        <v>45905.91012731481</v>
      </c>
      <c r="B39" s="7" t="s">
        <v>756</v>
      </c>
      <c r="C39" s="7" t="s">
        <v>2075</v>
      </c>
      <c r="D39" s="74">
        <v>1.0</v>
      </c>
      <c r="E39" s="46"/>
      <c r="F39" s="47">
        <v>24.99</v>
      </c>
      <c r="G39" s="47">
        <v>0.0</v>
      </c>
      <c r="H39" s="7"/>
      <c r="I39" s="47">
        <v>1.02</v>
      </c>
      <c r="J39" s="140">
        <f t="shared" si="1"/>
        <v>23.97</v>
      </c>
      <c r="K39" s="8"/>
      <c r="L39" s="7"/>
      <c r="M39" s="7"/>
      <c r="N39" s="7"/>
      <c r="O39" s="7"/>
      <c r="P39" s="7" t="s">
        <v>490</v>
      </c>
      <c r="Q39" s="7" t="s">
        <v>757</v>
      </c>
      <c r="R39" s="7"/>
      <c r="S39" s="7" t="s">
        <v>758</v>
      </c>
      <c r="T39" s="7" t="s">
        <v>493</v>
      </c>
      <c r="U39" s="65">
        <v>3930.0</v>
      </c>
      <c r="V39" s="7"/>
      <c r="W39" s="7"/>
    </row>
    <row r="40">
      <c r="A40" s="45">
        <v>45905.83008101852</v>
      </c>
      <c r="B40" s="7" t="s">
        <v>974</v>
      </c>
      <c r="C40" s="7" t="s">
        <v>2075</v>
      </c>
      <c r="D40" s="74">
        <v>1.0</v>
      </c>
      <c r="E40" s="46"/>
      <c r="F40" s="47">
        <v>24.99</v>
      </c>
      <c r="G40" s="47">
        <v>0.0</v>
      </c>
      <c r="H40" s="7"/>
      <c r="I40" s="47">
        <v>1.02</v>
      </c>
      <c r="J40" s="140">
        <f t="shared" si="1"/>
        <v>23.97</v>
      </c>
      <c r="K40" s="8"/>
      <c r="L40" s="7"/>
      <c r="M40" s="7"/>
      <c r="N40" s="7"/>
      <c r="O40" s="7"/>
      <c r="P40" s="7" t="s">
        <v>490</v>
      </c>
      <c r="Q40" s="7" t="s">
        <v>975</v>
      </c>
      <c r="R40" s="7"/>
      <c r="S40" s="7" t="s">
        <v>976</v>
      </c>
      <c r="T40" s="7" t="s">
        <v>493</v>
      </c>
      <c r="U40" s="65">
        <v>3929.0</v>
      </c>
      <c r="V40" s="7"/>
      <c r="W40" s="7"/>
    </row>
    <row r="41">
      <c r="A41" s="45">
        <v>45905.81456018519</v>
      </c>
      <c r="B41" s="7" t="s">
        <v>2099</v>
      </c>
      <c r="C41" s="7" t="s">
        <v>2075</v>
      </c>
      <c r="D41" s="74">
        <v>1.0</v>
      </c>
      <c r="E41" s="46"/>
      <c r="F41" s="47">
        <v>24.99</v>
      </c>
      <c r="G41" s="47">
        <v>0.0</v>
      </c>
      <c r="H41" s="7"/>
      <c r="I41" s="47">
        <v>1.02</v>
      </c>
      <c r="J41" s="140">
        <f t="shared" si="1"/>
        <v>23.97</v>
      </c>
      <c r="K41" s="8"/>
      <c r="L41" s="7"/>
      <c r="M41" s="7"/>
      <c r="N41" s="7"/>
      <c r="O41" s="7"/>
      <c r="P41" s="7" t="s">
        <v>490</v>
      </c>
      <c r="Q41" s="7" t="s">
        <v>2100</v>
      </c>
      <c r="R41" s="7"/>
      <c r="S41" s="7" t="s">
        <v>2101</v>
      </c>
      <c r="T41" s="7" t="s">
        <v>493</v>
      </c>
      <c r="U41" s="65">
        <v>3925.0</v>
      </c>
      <c r="V41" s="7"/>
      <c r="W41" s="7"/>
    </row>
    <row r="42">
      <c r="A42" s="45">
        <v>45905.74177083333</v>
      </c>
      <c r="B42" s="7" t="s">
        <v>305</v>
      </c>
      <c r="C42" s="7" t="s">
        <v>2075</v>
      </c>
      <c r="D42" s="74">
        <v>1.0</v>
      </c>
      <c r="E42" s="46"/>
      <c r="F42" s="47">
        <v>24.99</v>
      </c>
      <c r="G42" s="47">
        <v>0.0</v>
      </c>
      <c r="H42" s="7"/>
      <c r="I42" s="47">
        <v>1.4</v>
      </c>
      <c r="J42" s="140">
        <f t="shared" si="1"/>
        <v>23.59</v>
      </c>
      <c r="K42" s="8"/>
      <c r="L42" s="7"/>
      <c r="M42" s="7"/>
      <c r="N42" s="7"/>
      <c r="O42" s="7"/>
      <c r="P42" s="7" t="s">
        <v>490</v>
      </c>
      <c r="Q42" s="7" t="s">
        <v>1505</v>
      </c>
      <c r="R42" s="7" t="s">
        <v>1717</v>
      </c>
      <c r="S42" s="7" t="s">
        <v>1506</v>
      </c>
      <c r="T42" s="7" t="s">
        <v>1012</v>
      </c>
      <c r="U42" s="65">
        <v>3924.0</v>
      </c>
      <c r="V42" s="7"/>
      <c r="W42" s="7"/>
    </row>
    <row r="43">
      <c r="A43" s="45">
        <v>45905.13947916667</v>
      </c>
      <c r="B43" s="7" t="s">
        <v>869</v>
      </c>
      <c r="C43" s="7" t="s">
        <v>2075</v>
      </c>
      <c r="D43" s="74">
        <v>1.0</v>
      </c>
      <c r="E43" s="46"/>
      <c r="F43" s="47">
        <v>27.15</v>
      </c>
      <c r="G43" s="47">
        <v>0.0</v>
      </c>
      <c r="H43" s="7"/>
      <c r="I43" s="47">
        <v>1.09</v>
      </c>
      <c r="J43" s="140">
        <f t="shared" si="1"/>
        <v>26.06</v>
      </c>
      <c r="K43" s="8"/>
      <c r="L43" s="7"/>
      <c r="M43" s="7"/>
      <c r="N43" s="7"/>
      <c r="O43" s="7"/>
      <c r="P43" s="7" t="s">
        <v>490</v>
      </c>
      <c r="Q43" s="7" t="s">
        <v>870</v>
      </c>
      <c r="R43" s="7"/>
      <c r="S43" s="7" t="s">
        <v>871</v>
      </c>
      <c r="T43" s="7" t="s">
        <v>493</v>
      </c>
      <c r="U43" s="65">
        <v>3919.0</v>
      </c>
      <c r="V43" s="7"/>
      <c r="W43" s="7"/>
    </row>
    <row r="44">
      <c r="A44" s="45">
        <v>45904.854583333334</v>
      </c>
      <c r="B44" s="7" t="s">
        <v>752</v>
      </c>
      <c r="C44" s="7" t="s">
        <v>2075</v>
      </c>
      <c r="D44" s="74">
        <v>1.0</v>
      </c>
      <c r="E44" s="46"/>
      <c r="F44" s="47">
        <v>24.99</v>
      </c>
      <c r="G44" s="47">
        <v>0.0</v>
      </c>
      <c r="H44" s="7"/>
      <c r="I44" s="47">
        <v>1.4</v>
      </c>
      <c r="J44" s="140">
        <f t="shared" si="1"/>
        <v>23.59</v>
      </c>
      <c r="K44" s="8"/>
      <c r="L44" s="7"/>
      <c r="M44" s="7"/>
      <c r="N44" s="7"/>
      <c r="O44" s="7"/>
      <c r="P44" s="7" t="s">
        <v>490</v>
      </c>
      <c r="Q44" s="7" t="s">
        <v>2102</v>
      </c>
      <c r="R44" s="7"/>
      <c r="S44" s="7" t="s">
        <v>755</v>
      </c>
      <c r="T44" s="7" t="s">
        <v>545</v>
      </c>
      <c r="U44" s="65">
        <v>3918.0</v>
      </c>
      <c r="V44" s="7"/>
      <c r="W44" s="7"/>
    </row>
    <row r="45">
      <c r="A45" s="45">
        <v>45904.736979166664</v>
      </c>
      <c r="B45" s="7" t="s">
        <v>423</v>
      </c>
      <c r="C45" s="7" t="s">
        <v>2075</v>
      </c>
      <c r="D45" s="74">
        <v>1.0</v>
      </c>
      <c r="E45" s="46"/>
      <c r="F45" s="47">
        <v>24.99</v>
      </c>
      <c r="G45" s="47">
        <v>0.0</v>
      </c>
      <c r="H45" s="7"/>
      <c r="I45" s="47">
        <v>1.4</v>
      </c>
      <c r="J45" s="140">
        <f t="shared" si="1"/>
        <v>23.59</v>
      </c>
      <c r="K45" s="8"/>
      <c r="L45" s="7"/>
      <c r="M45" s="7"/>
      <c r="N45" s="7"/>
      <c r="O45" s="7"/>
      <c r="P45" s="7" t="s">
        <v>490</v>
      </c>
      <c r="Q45" s="7" t="s">
        <v>1445</v>
      </c>
      <c r="R45" s="7"/>
      <c r="S45" s="7" t="s">
        <v>541</v>
      </c>
      <c r="T45" s="7" t="s">
        <v>542</v>
      </c>
      <c r="U45" s="65">
        <v>3916.0</v>
      </c>
      <c r="V45" s="7"/>
      <c r="W45" s="7"/>
    </row>
    <row r="46">
      <c r="A46" s="45">
        <v>45904.5362962963</v>
      </c>
      <c r="B46" s="7" t="s">
        <v>1490</v>
      </c>
      <c r="C46" s="7" t="s">
        <v>2075</v>
      </c>
      <c r="D46" s="74">
        <v>1.0</v>
      </c>
      <c r="E46" s="46"/>
      <c r="F46" s="47">
        <v>24.99</v>
      </c>
      <c r="G46" s="47">
        <v>0.0</v>
      </c>
      <c r="H46" s="7"/>
      <c r="I46" s="47">
        <v>1.4</v>
      </c>
      <c r="J46" s="140">
        <f t="shared" si="1"/>
        <v>23.59</v>
      </c>
      <c r="K46" s="8"/>
      <c r="L46" s="7"/>
      <c r="M46" s="7"/>
      <c r="N46" s="7"/>
      <c r="O46" s="7"/>
      <c r="P46" s="7" t="s">
        <v>490</v>
      </c>
      <c r="Q46" s="7" t="s">
        <v>1491</v>
      </c>
      <c r="R46" s="7" t="s">
        <v>1492</v>
      </c>
      <c r="S46" s="7" t="s">
        <v>1493</v>
      </c>
      <c r="T46" s="7" t="s">
        <v>882</v>
      </c>
      <c r="U46" s="65">
        <v>3915.0</v>
      </c>
      <c r="V46" s="7"/>
      <c r="W46" s="7"/>
    </row>
    <row r="47">
      <c r="A47" s="45">
        <v>45904.50929398148</v>
      </c>
      <c r="B47" s="7" t="s">
        <v>786</v>
      </c>
      <c r="C47" s="7" t="s">
        <v>2075</v>
      </c>
      <c r="D47" s="74">
        <v>1.0</v>
      </c>
      <c r="E47" s="46"/>
      <c r="F47" s="47">
        <v>24.99</v>
      </c>
      <c r="G47" s="47">
        <v>0.0</v>
      </c>
      <c r="H47" s="7"/>
      <c r="I47" s="47">
        <v>1.4</v>
      </c>
      <c r="J47" s="140">
        <f t="shared" si="1"/>
        <v>23.59</v>
      </c>
      <c r="K47" s="8"/>
      <c r="L47" s="7"/>
      <c r="M47" s="7"/>
      <c r="N47" s="7"/>
      <c r="O47" s="7"/>
      <c r="P47" s="7" t="s">
        <v>490</v>
      </c>
      <c r="Q47" s="7" t="s">
        <v>787</v>
      </c>
      <c r="R47" s="7" t="s">
        <v>1753</v>
      </c>
      <c r="S47" s="7" t="s">
        <v>789</v>
      </c>
      <c r="T47" s="7" t="s">
        <v>617</v>
      </c>
      <c r="U47" s="65">
        <v>3912.0</v>
      </c>
      <c r="V47" s="7"/>
      <c r="W47" s="7"/>
    </row>
    <row r="48">
      <c r="A48" s="45">
        <v>45904.075532407405</v>
      </c>
      <c r="B48" s="7" t="s">
        <v>736</v>
      </c>
      <c r="C48" s="7" t="s">
        <v>2075</v>
      </c>
      <c r="D48" s="74">
        <v>1.0</v>
      </c>
      <c r="E48" s="46"/>
      <c r="F48" s="47">
        <v>24.99</v>
      </c>
      <c r="G48" s="47">
        <v>0.0</v>
      </c>
      <c r="H48" s="7"/>
      <c r="I48" s="47">
        <v>1.4</v>
      </c>
      <c r="J48" s="140">
        <f t="shared" si="1"/>
        <v>23.59</v>
      </c>
      <c r="K48" s="8"/>
      <c r="L48" s="7"/>
      <c r="M48" s="7"/>
      <c r="N48" s="7"/>
      <c r="O48" s="7"/>
      <c r="P48" s="7" t="s">
        <v>490</v>
      </c>
      <c r="Q48" s="7" t="s">
        <v>737</v>
      </c>
      <c r="R48" s="7"/>
      <c r="S48" s="7" t="s">
        <v>738</v>
      </c>
      <c r="T48" s="7" t="s">
        <v>51</v>
      </c>
      <c r="U48" s="65">
        <v>3911.0</v>
      </c>
      <c r="V48" s="7"/>
      <c r="W48" s="7"/>
    </row>
    <row r="49">
      <c r="A49" s="45">
        <v>45903.971666666665</v>
      </c>
      <c r="B49" s="7" t="s">
        <v>1159</v>
      </c>
      <c r="C49" s="67" t="s">
        <v>2077</v>
      </c>
      <c r="D49" s="74">
        <v>1.0</v>
      </c>
      <c r="E49" s="74">
        <v>1.0</v>
      </c>
      <c r="F49" s="47">
        <v>124.99</v>
      </c>
      <c r="G49" s="47">
        <v>0.0</v>
      </c>
      <c r="H49" s="7"/>
      <c r="I49" s="47">
        <v>5.8</v>
      </c>
      <c r="J49" s="140">
        <f t="shared" si="1"/>
        <v>119.19</v>
      </c>
      <c r="K49" s="8"/>
      <c r="L49" s="7"/>
      <c r="M49" s="7"/>
      <c r="N49" s="7"/>
      <c r="O49" s="7"/>
      <c r="P49" s="7" t="s">
        <v>490</v>
      </c>
      <c r="Q49" s="7" t="s">
        <v>1160</v>
      </c>
      <c r="R49" s="7"/>
      <c r="S49" s="7" t="s">
        <v>1161</v>
      </c>
      <c r="T49" s="7" t="s">
        <v>939</v>
      </c>
      <c r="U49" s="65">
        <v>3910.0</v>
      </c>
      <c r="V49" s="7"/>
      <c r="W49" s="7"/>
    </row>
    <row r="50">
      <c r="A50" s="45">
        <v>45903.757789351854</v>
      </c>
      <c r="B50" s="7" t="s">
        <v>337</v>
      </c>
      <c r="C50" s="7" t="s">
        <v>2075</v>
      </c>
      <c r="D50" s="74">
        <v>1.0</v>
      </c>
      <c r="E50" s="46"/>
      <c r="F50" s="47">
        <v>24.99</v>
      </c>
      <c r="G50" s="47">
        <v>0.0</v>
      </c>
      <c r="H50" s="7"/>
      <c r="I50" s="47">
        <v>1.02</v>
      </c>
      <c r="J50" s="140">
        <f t="shared" si="1"/>
        <v>23.97</v>
      </c>
      <c r="K50" s="8"/>
      <c r="L50" s="7"/>
      <c r="M50" s="7"/>
      <c r="N50" s="7"/>
      <c r="O50" s="7"/>
      <c r="P50" s="7" t="s">
        <v>490</v>
      </c>
      <c r="Q50" s="7" t="s">
        <v>1885</v>
      </c>
      <c r="R50" s="7"/>
      <c r="S50" s="7" t="s">
        <v>1147</v>
      </c>
      <c r="T50" s="7" t="s">
        <v>493</v>
      </c>
      <c r="U50" s="65">
        <v>3906.0</v>
      </c>
      <c r="V50" s="7"/>
      <c r="W50" s="7"/>
    </row>
    <row r="51">
      <c r="A51" s="45">
        <v>45903.61127314815</v>
      </c>
      <c r="B51" s="7" t="s">
        <v>2103</v>
      </c>
      <c r="C51" s="67" t="s">
        <v>2077</v>
      </c>
      <c r="D51" s="74">
        <v>1.0</v>
      </c>
      <c r="E51" s="74">
        <v>1.0</v>
      </c>
      <c r="F51" s="47">
        <v>159.59</v>
      </c>
      <c r="G51" s="47">
        <v>0.0</v>
      </c>
      <c r="H51" s="7"/>
      <c r="I51" s="47">
        <v>7.32</v>
      </c>
      <c r="J51" s="140">
        <f t="shared" si="1"/>
        <v>152.27</v>
      </c>
      <c r="K51" s="8"/>
      <c r="L51" s="7"/>
      <c r="M51" s="7"/>
      <c r="N51" s="7"/>
      <c r="O51" s="7"/>
      <c r="P51" s="7" t="s">
        <v>490</v>
      </c>
      <c r="Q51" s="7" t="s">
        <v>2104</v>
      </c>
      <c r="R51" s="7"/>
      <c r="S51" s="7" t="s">
        <v>2105</v>
      </c>
      <c r="T51" s="7" t="s">
        <v>555</v>
      </c>
      <c r="U51" s="65">
        <v>3902.0</v>
      </c>
      <c r="V51" s="7"/>
      <c r="W51" s="7"/>
    </row>
    <row r="52">
      <c r="A52" s="45">
        <v>45903.306122685186</v>
      </c>
      <c r="B52" s="7" t="s">
        <v>1614</v>
      </c>
      <c r="C52" s="7" t="s">
        <v>2075</v>
      </c>
      <c r="D52" s="74">
        <v>1.0</v>
      </c>
      <c r="E52" s="46"/>
      <c r="F52" s="47">
        <v>27.68</v>
      </c>
      <c r="G52" s="47">
        <v>0.0</v>
      </c>
      <c r="H52" s="7"/>
      <c r="I52" s="47">
        <v>1.1</v>
      </c>
      <c r="J52" s="140">
        <f t="shared" si="1"/>
        <v>26.58</v>
      </c>
      <c r="K52" s="8"/>
      <c r="L52" s="7"/>
      <c r="M52" s="7"/>
      <c r="N52" s="7"/>
      <c r="O52" s="7"/>
      <c r="P52" s="7" t="s">
        <v>490</v>
      </c>
      <c r="Q52" s="7" t="s">
        <v>1615</v>
      </c>
      <c r="R52" s="7"/>
      <c r="S52" s="7" t="s">
        <v>1616</v>
      </c>
      <c r="T52" s="7" t="s">
        <v>493</v>
      </c>
      <c r="U52" s="65">
        <v>3899.0</v>
      </c>
      <c r="V52" s="7"/>
      <c r="W52" s="7"/>
    </row>
    <row r="53">
      <c r="A53" s="45">
        <v>45903.281319444446</v>
      </c>
      <c r="B53" s="7" t="s">
        <v>827</v>
      </c>
      <c r="C53" s="7" t="s">
        <v>2075</v>
      </c>
      <c r="D53" s="74">
        <v>1.0</v>
      </c>
      <c r="E53" s="46"/>
      <c r="F53" s="47">
        <v>24.99</v>
      </c>
      <c r="G53" s="47">
        <v>0.0</v>
      </c>
      <c r="H53" s="7"/>
      <c r="I53" s="47">
        <v>1.4</v>
      </c>
      <c r="J53" s="140">
        <f t="shared" si="1"/>
        <v>23.59</v>
      </c>
      <c r="K53" s="8"/>
      <c r="L53" s="7"/>
      <c r="M53" s="7"/>
      <c r="N53" s="7"/>
      <c r="O53" s="7"/>
      <c r="P53" s="7" t="s">
        <v>490</v>
      </c>
      <c r="Q53" s="7" t="s">
        <v>828</v>
      </c>
      <c r="R53" s="7" t="s">
        <v>829</v>
      </c>
      <c r="S53" s="7" t="s">
        <v>830</v>
      </c>
      <c r="T53" s="7" t="s">
        <v>542</v>
      </c>
      <c r="U53" s="65">
        <v>3898.0</v>
      </c>
      <c r="V53" s="7"/>
      <c r="W53" s="7"/>
    </row>
    <row r="54">
      <c r="A54" s="45">
        <v>45902.92282407408</v>
      </c>
      <c r="B54" s="7" t="s">
        <v>1216</v>
      </c>
      <c r="C54" s="7" t="s">
        <v>2075</v>
      </c>
      <c r="D54" s="74">
        <v>1.0</v>
      </c>
      <c r="E54" s="46"/>
      <c r="F54" s="47">
        <v>24.99</v>
      </c>
      <c r="G54" s="47">
        <v>0.0</v>
      </c>
      <c r="H54" s="7"/>
      <c r="I54" s="47">
        <v>1.02</v>
      </c>
      <c r="J54" s="140">
        <f t="shared" si="1"/>
        <v>23.97</v>
      </c>
      <c r="K54" s="8"/>
      <c r="L54" s="7"/>
      <c r="M54" s="7"/>
      <c r="N54" s="7"/>
      <c r="O54" s="7"/>
      <c r="P54" s="7" t="s">
        <v>490</v>
      </c>
      <c r="Q54" s="7" t="s">
        <v>1217</v>
      </c>
      <c r="R54" s="7"/>
      <c r="S54" s="7" t="s">
        <v>2106</v>
      </c>
      <c r="T54" s="7" t="s">
        <v>493</v>
      </c>
      <c r="U54" s="65">
        <v>3897.0</v>
      </c>
      <c r="V54" s="7"/>
      <c r="W54" s="7"/>
    </row>
    <row r="55">
      <c r="A55" s="45">
        <v>45902.845671296294</v>
      </c>
      <c r="B55" s="7" t="s">
        <v>148</v>
      </c>
      <c r="C55" s="7" t="s">
        <v>2075</v>
      </c>
      <c r="D55" s="74">
        <v>1.0</v>
      </c>
      <c r="E55" s="46"/>
      <c r="F55" s="47">
        <v>24.99</v>
      </c>
      <c r="G55" s="47">
        <v>0.0</v>
      </c>
      <c r="H55" s="7"/>
      <c r="I55" s="47">
        <v>1.02</v>
      </c>
      <c r="J55" s="140">
        <f t="shared" si="1"/>
        <v>23.97</v>
      </c>
      <c r="K55" s="8"/>
      <c r="L55" s="7"/>
      <c r="M55" s="7"/>
      <c r="N55" s="7"/>
      <c r="O55" s="7"/>
      <c r="P55" s="7" t="s">
        <v>490</v>
      </c>
      <c r="Q55" s="7" t="s">
        <v>2107</v>
      </c>
      <c r="R55" s="7"/>
      <c r="S55" s="7" t="s">
        <v>1141</v>
      </c>
      <c r="T55" s="7" t="s">
        <v>493</v>
      </c>
      <c r="U55" s="65">
        <v>3894.0</v>
      </c>
      <c r="V55" s="7"/>
      <c r="W55" s="7"/>
    </row>
    <row r="56">
      <c r="A56" s="45">
        <v>45902.701469907406</v>
      </c>
      <c r="B56" s="7" t="s">
        <v>221</v>
      </c>
      <c r="C56" s="7" t="s">
        <v>2075</v>
      </c>
      <c r="D56" s="74">
        <v>1.0</v>
      </c>
      <c r="E56" s="46"/>
      <c r="F56" s="47">
        <v>24.99</v>
      </c>
      <c r="G56" s="47">
        <v>0.0</v>
      </c>
      <c r="H56" s="7"/>
      <c r="I56" s="47">
        <v>1.4</v>
      </c>
      <c r="J56" s="140">
        <f t="shared" si="1"/>
        <v>23.59</v>
      </c>
      <c r="K56" s="8"/>
      <c r="L56" s="7"/>
      <c r="M56" s="7"/>
      <c r="N56" s="7"/>
      <c r="O56" s="7"/>
      <c r="P56" s="7" t="s">
        <v>490</v>
      </c>
      <c r="Q56" s="7" t="s">
        <v>770</v>
      </c>
      <c r="R56" s="7"/>
      <c r="S56" s="7" t="s">
        <v>771</v>
      </c>
      <c r="T56" s="7" t="s">
        <v>545</v>
      </c>
      <c r="U56" s="65">
        <v>3892.0</v>
      </c>
      <c r="V56" s="7"/>
      <c r="W56" s="7"/>
    </row>
    <row r="57">
      <c r="A57" s="45">
        <v>45902.666817129626</v>
      </c>
      <c r="B57" s="7" t="s">
        <v>319</v>
      </c>
      <c r="C57" s="7" t="s">
        <v>2075</v>
      </c>
      <c r="D57" s="74">
        <v>1.0</v>
      </c>
      <c r="E57" s="46"/>
      <c r="F57" s="47">
        <v>24.99</v>
      </c>
      <c r="G57" s="47">
        <v>0.0</v>
      </c>
      <c r="H57" s="7"/>
      <c r="I57" s="47">
        <v>1.02</v>
      </c>
      <c r="J57" s="140">
        <f t="shared" si="1"/>
        <v>23.97</v>
      </c>
      <c r="K57" s="8"/>
      <c r="L57" s="7"/>
      <c r="M57" s="7"/>
      <c r="N57" s="7"/>
      <c r="O57" s="7"/>
      <c r="P57" s="7" t="s">
        <v>490</v>
      </c>
      <c r="Q57" s="7" t="s">
        <v>1248</v>
      </c>
      <c r="R57" s="7"/>
      <c r="S57" s="7" t="s">
        <v>1249</v>
      </c>
      <c r="T57" s="7" t="s">
        <v>493</v>
      </c>
      <c r="U57" s="65">
        <v>3891.0</v>
      </c>
      <c r="V57" s="7"/>
      <c r="W57" s="7"/>
    </row>
    <row r="58">
      <c r="A58" s="45">
        <v>45902.22145833333</v>
      </c>
      <c r="B58" s="7" t="s">
        <v>177</v>
      </c>
      <c r="C58" s="7" t="s">
        <v>2075</v>
      </c>
      <c r="D58" s="74">
        <v>1.0</v>
      </c>
      <c r="E58" s="46"/>
      <c r="F58" s="47">
        <v>24.99</v>
      </c>
      <c r="G58" s="47">
        <v>0.0</v>
      </c>
      <c r="H58" s="7"/>
      <c r="I58" s="47">
        <v>1.4</v>
      </c>
      <c r="J58" s="140">
        <f t="shared" si="1"/>
        <v>23.59</v>
      </c>
      <c r="K58" s="8"/>
      <c r="L58" s="7"/>
      <c r="M58" s="7"/>
      <c r="N58" s="7"/>
      <c r="O58" s="7"/>
      <c r="P58" s="7" t="s">
        <v>490</v>
      </c>
      <c r="Q58" s="7" t="s">
        <v>494</v>
      </c>
      <c r="R58" s="7" t="s">
        <v>1503</v>
      </c>
      <c r="S58" s="7" t="s">
        <v>1504</v>
      </c>
      <c r="T58" s="7" t="s">
        <v>497</v>
      </c>
      <c r="U58" s="65">
        <v>3888.0</v>
      </c>
      <c r="V58" s="7"/>
      <c r="W58" s="7"/>
    </row>
    <row r="59">
      <c r="A59" s="45">
        <v>45901.73180555556</v>
      </c>
      <c r="B59" s="7" t="s">
        <v>105</v>
      </c>
      <c r="C59" s="7" t="s">
        <v>2075</v>
      </c>
      <c r="D59" s="74">
        <v>1.0</v>
      </c>
      <c r="E59" s="46"/>
      <c r="F59" s="47">
        <v>24.99</v>
      </c>
      <c r="G59" s="47">
        <v>0.0</v>
      </c>
      <c r="H59" s="7"/>
      <c r="I59" s="47">
        <v>1.02</v>
      </c>
      <c r="J59" s="140">
        <f t="shared" si="1"/>
        <v>23.97</v>
      </c>
      <c r="K59" s="8"/>
      <c r="L59" s="7"/>
      <c r="M59" s="7"/>
      <c r="N59" s="7"/>
      <c r="O59" s="7"/>
      <c r="P59" s="7" t="s">
        <v>490</v>
      </c>
      <c r="Q59" s="7" t="s">
        <v>612</v>
      </c>
      <c r="R59" s="7"/>
      <c r="S59" s="7" t="s">
        <v>613</v>
      </c>
      <c r="T59" s="7" t="s">
        <v>493</v>
      </c>
      <c r="U59" s="65">
        <v>3887.0</v>
      </c>
      <c r="V59" s="7"/>
      <c r="W59" s="7"/>
    </row>
    <row r="60">
      <c r="A60" s="45">
        <v>45901.684699074074</v>
      </c>
      <c r="B60" s="7" t="s">
        <v>160</v>
      </c>
      <c r="C60" s="7" t="s">
        <v>2075</v>
      </c>
      <c r="D60" s="74">
        <v>1.0</v>
      </c>
      <c r="E60" s="46"/>
      <c r="F60" s="47">
        <v>24.99</v>
      </c>
      <c r="G60" s="47">
        <v>0.0</v>
      </c>
      <c r="H60" s="7"/>
      <c r="I60" s="47">
        <v>1.4</v>
      </c>
      <c r="J60" s="140">
        <f t="shared" si="1"/>
        <v>23.59</v>
      </c>
      <c r="K60" s="8"/>
      <c r="L60" s="7"/>
      <c r="M60" s="7"/>
      <c r="N60" s="7"/>
      <c r="O60" s="7"/>
      <c r="P60" s="7" t="s">
        <v>490</v>
      </c>
      <c r="Q60" s="7"/>
      <c r="R60" s="7"/>
      <c r="S60" s="7"/>
      <c r="T60" s="7" t="s">
        <v>542</v>
      </c>
      <c r="U60" s="65">
        <v>3886.0</v>
      </c>
      <c r="V60" s="7"/>
      <c r="W60" s="7"/>
    </row>
    <row r="61">
      <c r="A61" s="45">
        <v>45901.55940972222</v>
      </c>
      <c r="B61" s="7" t="s">
        <v>1280</v>
      </c>
      <c r="C61" s="7" t="s">
        <v>2075</v>
      </c>
      <c r="D61" s="74">
        <v>1.0</v>
      </c>
      <c r="E61" s="46"/>
      <c r="F61" s="47">
        <v>24.99</v>
      </c>
      <c r="G61" s="47">
        <v>0.0</v>
      </c>
      <c r="H61" s="7"/>
      <c r="I61" s="47">
        <v>1.02</v>
      </c>
      <c r="J61" s="140">
        <f t="shared" si="1"/>
        <v>23.97</v>
      </c>
      <c r="K61" s="8"/>
      <c r="L61" s="7"/>
      <c r="M61" s="7"/>
      <c r="N61" s="7"/>
      <c r="O61" s="7"/>
      <c r="P61" s="7" t="s">
        <v>490</v>
      </c>
      <c r="Q61" s="7" t="s">
        <v>1281</v>
      </c>
      <c r="R61" s="7" t="s">
        <v>1282</v>
      </c>
      <c r="S61" s="7" t="s">
        <v>1283</v>
      </c>
      <c r="T61" s="7" t="s">
        <v>493</v>
      </c>
      <c r="U61" s="65">
        <v>3885.0</v>
      </c>
      <c r="V61" s="7"/>
      <c r="W61" s="7"/>
    </row>
    <row r="62">
      <c r="A62" s="45">
        <v>45901.28811342592</v>
      </c>
      <c r="B62" s="7" t="s">
        <v>111</v>
      </c>
      <c r="C62" s="7" t="s">
        <v>2075</v>
      </c>
      <c r="D62" s="74">
        <v>1.0</v>
      </c>
      <c r="E62" s="46"/>
      <c r="F62" s="47">
        <v>27.68</v>
      </c>
      <c r="G62" s="47">
        <v>0.0</v>
      </c>
      <c r="H62" s="7"/>
      <c r="I62" s="47">
        <v>1.1</v>
      </c>
      <c r="J62" s="140">
        <f t="shared" si="1"/>
        <v>26.58</v>
      </c>
      <c r="K62" s="8"/>
      <c r="L62" s="7"/>
      <c r="M62" s="7"/>
      <c r="N62" s="7"/>
      <c r="O62" s="7"/>
      <c r="P62" s="7" t="s">
        <v>490</v>
      </c>
      <c r="Q62" s="7" t="s">
        <v>1553</v>
      </c>
      <c r="R62" s="7"/>
      <c r="S62" s="7" t="s">
        <v>1554</v>
      </c>
      <c r="T62" s="7" t="s">
        <v>493</v>
      </c>
      <c r="U62" s="65">
        <v>3884.0</v>
      </c>
      <c r="V62" s="7"/>
      <c r="W62" s="7"/>
    </row>
    <row r="63">
      <c r="A63" s="45">
        <v>45901.07798611111</v>
      </c>
      <c r="B63" s="7" t="s">
        <v>1584</v>
      </c>
      <c r="C63" s="7" t="s">
        <v>2075</v>
      </c>
      <c r="D63" s="74">
        <v>1.0</v>
      </c>
      <c r="E63" s="46"/>
      <c r="F63" s="47">
        <v>24.99</v>
      </c>
      <c r="G63" s="47">
        <v>0.0</v>
      </c>
      <c r="H63" s="7"/>
      <c r="I63" s="47">
        <v>1.4</v>
      </c>
      <c r="J63" s="140">
        <f t="shared" si="1"/>
        <v>23.59</v>
      </c>
      <c r="K63" s="8"/>
      <c r="L63" s="7"/>
      <c r="M63" s="7"/>
      <c r="N63" s="7"/>
      <c r="O63" s="7"/>
      <c r="P63" s="7" t="s">
        <v>490</v>
      </c>
      <c r="Q63" s="7" t="s">
        <v>896</v>
      </c>
      <c r="R63" s="7"/>
      <c r="S63" s="7" t="s">
        <v>1529</v>
      </c>
      <c r="T63" s="7" t="s">
        <v>542</v>
      </c>
      <c r="U63" s="65">
        <v>3883.0</v>
      </c>
      <c r="V63" s="7"/>
      <c r="W63" s="7"/>
    </row>
    <row r="64">
      <c r="A64" s="45">
        <v>45900.92710648148</v>
      </c>
      <c r="B64" s="7" t="s">
        <v>2108</v>
      </c>
      <c r="C64" s="7" t="s">
        <v>2075</v>
      </c>
      <c r="D64" s="74">
        <v>1.0</v>
      </c>
      <c r="E64" s="46"/>
      <c r="F64" s="47">
        <v>24.99</v>
      </c>
      <c r="G64" s="47">
        <v>0.0</v>
      </c>
      <c r="H64" s="7"/>
      <c r="I64" s="47">
        <v>1.02</v>
      </c>
      <c r="J64" s="140">
        <f t="shared" si="1"/>
        <v>23.97</v>
      </c>
      <c r="K64" s="8"/>
      <c r="L64" s="7"/>
      <c r="M64" s="7"/>
      <c r="N64" s="7"/>
      <c r="O64" s="7"/>
      <c r="P64" s="7" t="s">
        <v>490</v>
      </c>
      <c r="Q64" s="7" t="s">
        <v>1990</v>
      </c>
      <c r="R64" s="7"/>
      <c r="S64" s="7" t="s">
        <v>1991</v>
      </c>
      <c r="T64" s="7" t="s">
        <v>493</v>
      </c>
      <c r="U64" s="65">
        <v>3882.0</v>
      </c>
      <c r="V64" s="7"/>
      <c r="W64" s="7"/>
    </row>
    <row r="65">
      <c r="A65" s="45">
        <v>45900.90943287037</v>
      </c>
      <c r="B65" s="7" t="s">
        <v>223</v>
      </c>
      <c r="C65" s="7" t="s">
        <v>2075</v>
      </c>
      <c r="D65" s="74">
        <v>1.0</v>
      </c>
      <c r="E65" s="46"/>
      <c r="F65" s="47">
        <v>24.99</v>
      </c>
      <c r="G65" s="47">
        <v>0.0</v>
      </c>
      <c r="H65" s="7"/>
      <c r="I65" s="47">
        <v>1.02</v>
      </c>
      <c r="J65" s="140">
        <f t="shared" si="1"/>
        <v>23.97</v>
      </c>
      <c r="K65" s="8"/>
      <c r="L65" s="7"/>
      <c r="M65" s="7"/>
      <c r="N65" s="7"/>
      <c r="O65" s="7"/>
      <c r="P65" s="7" t="s">
        <v>490</v>
      </c>
      <c r="Q65" s="7" t="s">
        <v>940</v>
      </c>
      <c r="R65" s="7"/>
      <c r="S65" s="7" t="s">
        <v>941</v>
      </c>
      <c r="T65" s="7" t="s">
        <v>493</v>
      </c>
      <c r="U65" s="65">
        <v>3881.0</v>
      </c>
      <c r="V65" s="7"/>
      <c r="W65" s="7"/>
    </row>
    <row r="66">
      <c r="A66" s="45">
        <v>45900.76136574074</v>
      </c>
      <c r="B66" s="7" t="s">
        <v>317</v>
      </c>
      <c r="C66" s="7" t="s">
        <v>2075</v>
      </c>
      <c r="D66" s="74">
        <v>1.0</v>
      </c>
      <c r="E66" s="46"/>
      <c r="F66" s="47">
        <v>34.46</v>
      </c>
      <c r="G66" s="47">
        <v>0.0</v>
      </c>
      <c r="H66" s="7"/>
      <c r="I66" s="47">
        <v>1.3</v>
      </c>
      <c r="J66" s="140">
        <f t="shared" si="1"/>
        <v>33.16</v>
      </c>
      <c r="K66" s="8"/>
      <c r="L66" s="7"/>
      <c r="M66" s="7"/>
      <c r="N66" s="7"/>
      <c r="O66" s="7"/>
      <c r="P66" s="7" t="s">
        <v>490</v>
      </c>
      <c r="Q66" s="7" t="s">
        <v>2109</v>
      </c>
      <c r="R66" s="7"/>
      <c r="S66" s="7" t="s">
        <v>1147</v>
      </c>
      <c r="T66" s="7" t="s">
        <v>493</v>
      </c>
      <c r="U66" s="65">
        <v>3880.0</v>
      </c>
      <c r="V66" s="7"/>
      <c r="W66" s="7"/>
    </row>
    <row r="67">
      <c r="A67" s="45">
        <v>45900.650983796295</v>
      </c>
      <c r="B67" s="7" t="s">
        <v>2110</v>
      </c>
      <c r="C67" s="67" t="s">
        <v>2077</v>
      </c>
      <c r="D67" s="74">
        <v>1.0</v>
      </c>
      <c r="E67" s="74">
        <v>1.0</v>
      </c>
      <c r="F67" s="47">
        <v>162.55</v>
      </c>
      <c r="G67" s="47">
        <v>0.0</v>
      </c>
      <c r="H67" s="7"/>
      <c r="I67" s="47">
        <v>7.45</v>
      </c>
      <c r="J67" s="140">
        <f t="shared" si="1"/>
        <v>155.1</v>
      </c>
      <c r="K67" s="8"/>
      <c r="L67" s="7"/>
      <c r="M67" s="7"/>
      <c r="N67" s="7"/>
      <c r="O67" s="7"/>
      <c r="P67" s="7" t="s">
        <v>490</v>
      </c>
      <c r="Q67" s="7" t="s">
        <v>2111</v>
      </c>
      <c r="R67" s="7" t="s">
        <v>2112</v>
      </c>
      <c r="S67" s="7" t="s">
        <v>2113</v>
      </c>
      <c r="T67" s="7" t="s">
        <v>1824</v>
      </c>
      <c r="U67" s="65">
        <v>3879.0</v>
      </c>
      <c r="V67" s="7"/>
      <c r="W67" s="7"/>
    </row>
    <row r="68">
      <c r="A68" s="45">
        <v>45900.61949074074</v>
      </c>
      <c r="B68" s="7" t="s">
        <v>2114</v>
      </c>
      <c r="C68" s="7" t="s">
        <v>2075</v>
      </c>
      <c r="D68" s="74">
        <v>1.0</v>
      </c>
      <c r="E68" s="46"/>
      <c r="F68" s="47">
        <v>24.99</v>
      </c>
      <c r="G68" s="47">
        <v>0.0</v>
      </c>
      <c r="H68" s="7"/>
      <c r="I68" s="47">
        <v>1.4</v>
      </c>
      <c r="J68" s="140">
        <f t="shared" si="1"/>
        <v>23.59</v>
      </c>
      <c r="K68" s="8"/>
      <c r="L68" s="7"/>
      <c r="M68" s="7"/>
      <c r="N68" s="7"/>
      <c r="O68" s="7"/>
      <c r="P68" s="7" t="s">
        <v>490</v>
      </c>
      <c r="Q68" s="7" t="s">
        <v>1527</v>
      </c>
      <c r="R68" s="7"/>
      <c r="S68" s="7" t="s">
        <v>1529</v>
      </c>
      <c r="T68" s="7" t="s">
        <v>542</v>
      </c>
      <c r="U68" s="65">
        <v>3878.0</v>
      </c>
      <c r="V68" s="7"/>
      <c r="W68" s="7"/>
    </row>
    <row r="69">
      <c r="A69" s="45">
        <v>45900.60907407408</v>
      </c>
      <c r="B69" s="7" t="s">
        <v>273</v>
      </c>
      <c r="C69" s="7" t="s">
        <v>2075</v>
      </c>
      <c r="D69" s="74">
        <v>1.0</v>
      </c>
      <c r="E69" s="46"/>
      <c r="F69" s="47">
        <v>24.99</v>
      </c>
      <c r="G69" s="47">
        <v>0.0</v>
      </c>
      <c r="H69" s="7"/>
      <c r="I69" s="47">
        <v>1.02</v>
      </c>
      <c r="J69" s="140">
        <f t="shared" si="1"/>
        <v>23.97</v>
      </c>
      <c r="K69" s="8"/>
      <c r="L69" s="7"/>
      <c r="M69" s="7"/>
      <c r="N69" s="7"/>
      <c r="O69" s="7"/>
      <c r="P69" s="7" t="s">
        <v>490</v>
      </c>
      <c r="Q69" s="7" t="s">
        <v>646</v>
      </c>
      <c r="R69" s="7"/>
      <c r="S69" s="7" t="s">
        <v>647</v>
      </c>
      <c r="T69" s="7" t="s">
        <v>493</v>
      </c>
      <c r="U69" s="65">
        <v>3875.0</v>
      </c>
      <c r="V69" s="7"/>
      <c r="W69" s="7"/>
    </row>
    <row r="70">
      <c r="A70" s="45">
        <v>45900.46740740741</v>
      </c>
      <c r="B70" s="7" t="s">
        <v>2115</v>
      </c>
      <c r="C70" s="7" t="s">
        <v>2075</v>
      </c>
      <c r="D70" s="74">
        <v>1.0</v>
      </c>
      <c r="E70" s="46"/>
      <c r="F70" s="47">
        <v>24.99</v>
      </c>
      <c r="G70" s="47">
        <v>0.0</v>
      </c>
      <c r="H70" s="7"/>
      <c r="I70" s="47">
        <v>1.4</v>
      </c>
      <c r="J70" s="140">
        <f t="shared" si="1"/>
        <v>23.59</v>
      </c>
      <c r="K70" s="8"/>
      <c r="L70" s="7"/>
      <c r="M70" s="7"/>
      <c r="N70" s="7"/>
      <c r="O70" s="7"/>
      <c r="P70" s="7" t="s">
        <v>490</v>
      </c>
      <c r="Q70" s="7" t="s">
        <v>931</v>
      </c>
      <c r="R70" s="7"/>
      <c r="S70" s="7" t="s">
        <v>932</v>
      </c>
      <c r="T70" s="7" t="s">
        <v>525</v>
      </c>
      <c r="U70" s="65">
        <v>3872.0</v>
      </c>
      <c r="V70" s="7"/>
      <c r="W70" s="7"/>
    </row>
    <row r="71">
      <c r="A71" s="45">
        <v>45900.29782407408</v>
      </c>
      <c r="B71" s="7" t="s">
        <v>147</v>
      </c>
      <c r="C71" s="7" t="s">
        <v>2075</v>
      </c>
      <c r="D71" s="74">
        <v>1.0</v>
      </c>
      <c r="E71" s="46"/>
      <c r="F71" s="47">
        <v>24.99</v>
      </c>
      <c r="G71" s="47">
        <v>0.0</v>
      </c>
      <c r="H71" s="7"/>
      <c r="I71" s="47">
        <v>1.4</v>
      </c>
      <c r="J71" s="140">
        <f t="shared" si="1"/>
        <v>23.59</v>
      </c>
      <c r="K71" s="8"/>
      <c r="L71" s="7"/>
      <c r="M71" s="7"/>
      <c r="N71" s="7"/>
      <c r="O71" s="7"/>
      <c r="P71" s="7" t="s">
        <v>490</v>
      </c>
      <c r="Q71" s="7" t="s">
        <v>1389</v>
      </c>
      <c r="R71" s="7" t="s">
        <v>1390</v>
      </c>
      <c r="S71" s="7" t="s">
        <v>1391</v>
      </c>
      <c r="T71" s="7" t="s">
        <v>542</v>
      </c>
      <c r="U71" s="65">
        <v>3871.0</v>
      </c>
      <c r="V71" s="7"/>
      <c r="W71" s="7"/>
    </row>
    <row r="72">
      <c r="A72" s="45">
        <v>45900.219502314816</v>
      </c>
      <c r="B72" s="7" t="s">
        <v>2116</v>
      </c>
      <c r="C72" s="7" t="s">
        <v>2075</v>
      </c>
      <c r="D72" s="74">
        <v>1.0</v>
      </c>
      <c r="E72" s="46"/>
      <c r="F72" s="47">
        <v>34.46</v>
      </c>
      <c r="G72" s="47">
        <v>0.0</v>
      </c>
      <c r="H72" s="7"/>
      <c r="I72" s="47">
        <v>1.3</v>
      </c>
      <c r="J72" s="140">
        <f t="shared" si="1"/>
        <v>33.16</v>
      </c>
      <c r="K72" s="8"/>
      <c r="L72" s="7"/>
      <c r="M72" s="7"/>
      <c r="N72" s="7"/>
      <c r="O72" s="7"/>
      <c r="P72" s="7" t="s">
        <v>490</v>
      </c>
      <c r="Q72" s="7" t="s">
        <v>2117</v>
      </c>
      <c r="R72" s="7"/>
      <c r="S72" s="7" t="s">
        <v>2118</v>
      </c>
      <c r="T72" s="7" t="s">
        <v>493</v>
      </c>
      <c r="U72" s="65">
        <v>3869.0</v>
      </c>
      <c r="V72" s="7"/>
      <c r="W72" s="7"/>
    </row>
    <row r="73">
      <c r="A73" s="45">
        <v>45900.17864583333</v>
      </c>
      <c r="B73" s="7" t="s">
        <v>242</v>
      </c>
      <c r="C73" s="7" t="s">
        <v>2075</v>
      </c>
      <c r="D73" s="74">
        <v>1.0</v>
      </c>
      <c r="E73" s="46"/>
      <c r="F73" s="47">
        <v>24.99</v>
      </c>
      <c r="G73" s="47">
        <v>0.0</v>
      </c>
      <c r="H73" s="7"/>
      <c r="I73" s="47">
        <v>1.4</v>
      </c>
      <c r="J73" s="140">
        <f t="shared" si="1"/>
        <v>23.59</v>
      </c>
      <c r="K73" s="8"/>
      <c r="L73" s="7"/>
      <c r="M73" s="7"/>
      <c r="N73" s="7"/>
      <c r="O73" s="7"/>
      <c r="P73" s="7" t="s">
        <v>490</v>
      </c>
      <c r="Q73" s="7" t="s">
        <v>618</v>
      </c>
      <c r="R73" s="7" t="s">
        <v>619</v>
      </c>
      <c r="S73" s="7" t="s">
        <v>620</v>
      </c>
      <c r="T73" s="7" t="s">
        <v>545</v>
      </c>
      <c r="U73" s="65">
        <v>3868.0</v>
      </c>
      <c r="V73" s="7"/>
      <c r="W73" s="7"/>
    </row>
    <row r="74">
      <c r="A74" s="45">
        <v>45900.15174768519</v>
      </c>
      <c r="B74" s="7" t="s">
        <v>311</v>
      </c>
      <c r="C74" s="7" t="s">
        <v>2075</v>
      </c>
      <c r="D74" s="74">
        <v>1.0</v>
      </c>
      <c r="E74" s="46"/>
      <c r="F74" s="47">
        <v>24.99</v>
      </c>
      <c r="G74" s="47">
        <v>0.0</v>
      </c>
      <c r="H74" s="7"/>
      <c r="I74" s="47">
        <v>1.02</v>
      </c>
      <c r="J74" s="140">
        <f t="shared" si="1"/>
        <v>23.97</v>
      </c>
      <c r="K74" s="8"/>
      <c r="L74" s="7"/>
      <c r="M74" s="7"/>
      <c r="N74" s="7"/>
      <c r="O74" s="7"/>
      <c r="P74" s="7" t="s">
        <v>490</v>
      </c>
      <c r="Q74" s="7" t="s">
        <v>2119</v>
      </c>
      <c r="R74" s="7"/>
      <c r="S74" s="7" t="s">
        <v>626</v>
      </c>
      <c r="T74" s="7" t="s">
        <v>493</v>
      </c>
      <c r="U74" s="65">
        <v>3867.0</v>
      </c>
      <c r="V74" s="7"/>
      <c r="W74" s="7"/>
    </row>
    <row r="75">
      <c r="A75" s="45">
        <v>45900.13302083333</v>
      </c>
      <c r="B75" s="7" t="s">
        <v>2120</v>
      </c>
      <c r="C75" s="7" t="s">
        <v>2075</v>
      </c>
      <c r="D75" s="74">
        <v>1.0</v>
      </c>
      <c r="E75" s="46"/>
      <c r="F75" s="47">
        <v>55.26</v>
      </c>
      <c r="G75" s="47">
        <v>0.0</v>
      </c>
      <c r="H75" s="7"/>
      <c r="I75" s="47">
        <v>2.73</v>
      </c>
      <c r="J75" s="140">
        <f t="shared" si="1"/>
        <v>52.53</v>
      </c>
      <c r="K75" s="8"/>
      <c r="L75" s="7"/>
      <c r="M75" s="7"/>
      <c r="N75" s="7"/>
      <c r="O75" s="7"/>
      <c r="P75" s="7" t="s">
        <v>490</v>
      </c>
      <c r="Q75" s="7" t="s">
        <v>2121</v>
      </c>
      <c r="R75" s="7" t="s">
        <v>2122</v>
      </c>
      <c r="S75" s="7" t="s">
        <v>1601</v>
      </c>
      <c r="T75" s="7" t="s">
        <v>497</v>
      </c>
      <c r="U75" s="65">
        <v>3866.0</v>
      </c>
      <c r="V75" s="7"/>
      <c r="W75" s="7"/>
    </row>
    <row r="76">
      <c r="A76" s="45">
        <v>45900.03465277778</v>
      </c>
      <c r="B76" s="7" t="s">
        <v>914</v>
      </c>
      <c r="C76" s="7" t="s">
        <v>2075</v>
      </c>
      <c r="D76" s="74">
        <v>1.0</v>
      </c>
      <c r="E76" s="46"/>
      <c r="F76" s="47">
        <v>27.18</v>
      </c>
      <c r="G76" s="47">
        <v>0.0</v>
      </c>
      <c r="H76" s="7"/>
      <c r="I76" s="47">
        <v>1.09</v>
      </c>
      <c r="J76" s="140">
        <f t="shared" si="1"/>
        <v>26.09</v>
      </c>
      <c r="K76" s="8"/>
      <c r="L76" s="7"/>
      <c r="M76" s="7"/>
      <c r="N76" s="7"/>
      <c r="O76" s="7"/>
      <c r="P76" s="7" t="s">
        <v>490</v>
      </c>
      <c r="Q76" s="7" t="s">
        <v>915</v>
      </c>
      <c r="R76" s="7"/>
      <c r="S76" s="7" t="s">
        <v>916</v>
      </c>
      <c r="T76" s="7" t="s">
        <v>493</v>
      </c>
      <c r="U76" s="65">
        <v>3859.0</v>
      </c>
      <c r="V76" s="7"/>
      <c r="W76" s="7"/>
    </row>
    <row r="77">
      <c r="A77" s="45">
        <v>45899.843460648146</v>
      </c>
      <c r="B77" s="7" t="s">
        <v>204</v>
      </c>
      <c r="C77" s="7" t="s">
        <v>2075</v>
      </c>
      <c r="D77" s="74">
        <v>1.0</v>
      </c>
      <c r="E77" s="46"/>
      <c r="F77" s="47">
        <v>24.99</v>
      </c>
      <c r="G77" s="47">
        <v>0.0</v>
      </c>
      <c r="H77" s="7"/>
      <c r="I77" s="47">
        <v>1.4</v>
      </c>
      <c r="J77" s="140">
        <f t="shared" si="1"/>
        <v>23.59</v>
      </c>
      <c r="K77" s="8"/>
      <c r="L77" s="7"/>
      <c r="M77" s="7"/>
      <c r="N77" s="7"/>
      <c r="O77" s="7"/>
      <c r="P77" s="7" t="s">
        <v>490</v>
      </c>
      <c r="Q77" s="7" t="s">
        <v>1113</v>
      </c>
      <c r="R77" s="65">
        <v>46.0</v>
      </c>
      <c r="S77" s="7" t="s">
        <v>1114</v>
      </c>
      <c r="T77" s="7" t="s">
        <v>525</v>
      </c>
      <c r="U77" s="65">
        <v>3854.0</v>
      </c>
      <c r="V77" s="7"/>
      <c r="W77" s="7"/>
    </row>
    <row r="78">
      <c r="A78" s="45">
        <v>45899.75239583333</v>
      </c>
      <c r="B78" s="7" t="s">
        <v>1057</v>
      </c>
      <c r="C78" s="7" t="s">
        <v>2075</v>
      </c>
      <c r="D78" s="74">
        <v>1.0</v>
      </c>
      <c r="E78" s="46"/>
      <c r="F78" s="47">
        <v>24.99</v>
      </c>
      <c r="G78" s="47">
        <v>0.0</v>
      </c>
      <c r="H78" s="7"/>
      <c r="I78" s="47">
        <v>1.4</v>
      </c>
      <c r="J78" s="140">
        <f t="shared" si="1"/>
        <v>23.59</v>
      </c>
      <c r="K78" s="8"/>
      <c r="L78" s="7"/>
      <c r="M78" s="7"/>
      <c r="N78" s="7"/>
      <c r="O78" s="7"/>
      <c r="P78" s="7" t="s">
        <v>490</v>
      </c>
      <c r="Q78" s="7" t="s">
        <v>1058</v>
      </c>
      <c r="R78" s="7"/>
      <c r="S78" s="7" t="s">
        <v>1059</v>
      </c>
      <c r="T78" s="7" t="s">
        <v>545</v>
      </c>
      <c r="U78" s="65">
        <v>3853.0</v>
      </c>
      <c r="V78" s="7"/>
      <c r="W78" s="7"/>
    </row>
    <row r="79">
      <c r="A79" s="45">
        <v>45899.74422453704</v>
      </c>
      <c r="B79" s="7" t="s">
        <v>780</v>
      </c>
      <c r="C79" s="7" t="s">
        <v>2075</v>
      </c>
      <c r="D79" s="74">
        <v>1.0</v>
      </c>
      <c r="E79" s="46"/>
      <c r="F79" s="47">
        <v>24.99</v>
      </c>
      <c r="G79" s="47">
        <v>0.0</v>
      </c>
      <c r="H79" s="7"/>
      <c r="I79" s="47">
        <v>1.4</v>
      </c>
      <c r="J79" s="140">
        <f t="shared" si="1"/>
        <v>23.59</v>
      </c>
      <c r="K79" s="8"/>
      <c r="L79" s="7"/>
      <c r="M79" s="7"/>
      <c r="N79" s="7"/>
      <c r="O79" s="7"/>
      <c r="P79" s="7" t="s">
        <v>490</v>
      </c>
      <c r="Q79" s="7" t="s">
        <v>781</v>
      </c>
      <c r="R79" s="7"/>
      <c r="S79" s="7" t="s">
        <v>782</v>
      </c>
      <c r="T79" s="7" t="s">
        <v>525</v>
      </c>
      <c r="U79" s="65">
        <v>3852.0</v>
      </c>
      <c r="V79" s="7"/>
      <c r="W79" s="7"/>
    </row>
    <row r="80">
      <c r="A80" s="45">
        <v>45899.720497685186</v>
      </c>
      <c r="B80" s="7" t="s">
        <v>1663</v>
      </c>
      <c r="C80" s="7" t="s">
        <v>2075</v>
      </c>
      <c r="D80" s="74">
        <v>1.0</v>
      </c>
      <c r="E80" s="46"/>
      <c r="F80" s="47">
        <v>24.99</v>
      </c>
      <c r="G80" s="47">
        <v>0.0</v>
      </c>
      <c r="H80" s="7"/>
      <c r="I80" s="47">
        <v>1.4</v>
      </c>
      <c r="J80" s="140">
        <f t="shared" si="1"/>
        <v>23.59</v>
      </c>
      <c r="K80" s="8"/>
      <c r="L80" s="7"/>
      <c r="M80" s="7"/>
      <c r="N80" s="7"/>
      <c r="O80" s="7"/>
      <c r="P80" s="7" t="s">
        <v>490</v>
      </c>
      <c r="Q80" s="7" t="s">
        <v>1322</v>
      </c>
      <c r="R80" s="7"/>
      <c r="S80" s="7" t="s">
        <v>1664</v>
      </c>
      <c r="T80" s="7" t="s">
        <v>542</v>
      </c>
      <c r="U80" s="65">
        <v>3851.0</v>
      </c>
      <c r="V80" s="7"/>
      <c r="W80" s="7"/>
    </row>
    <row r="81">
      <c r="A81" s="45">
        <v>45899.7016087963</v>
      </c>
      <c r="B81" s="7" t="s">
        <v>1500</v>
      </c>
      <c r="C81" s="7" t="s">
        <v>2075</v>
      </c>
      <c r="D81" s="74">
        <v>1.0</v>
      </c>
      <c r="E81" s="46"/>
      <c r="F81" s="47">
        <v>24.99</v>
      </c>
      <c r="G81" s="47">
        <v>0.0</v>
      </c>
      <c r="H81" s="7"/>
      <c r="I81" s="47">
        <v>1.02</v>
      </c>
      <c r="J81" s="140">
        <f t="shared" si="1"/>
        <v>23.97</v>
      </c>
      <c r="K81" s="8"/>
      <c r="L81" s="7"/>
      <c r="M81" s="7"/>
      <c r="N81" s="7"/>
      <c r="O81" s="7"/>
      <c r="P81" s="7" t="s">
        <v>490</v>
      </c>
      <c r="Q81" s="7"/>
      <c r="R81" s="7"/>
      <c r="S81" s="7"/>
      <c r="T81" s="7" t="s">
        <v>493</v>
      </c>
      <c r="U81" s="65">
        <v>3850.0</v>
      </c>
      <c r="V81" s="7"/>
      <c r="W81" s="7"/>
    </row>
    <row r="82">
      <c r="A82" s="45">
        <v>45899.6975</v>
      </c>
      <c r="B82" s="7" t="s">
        <v>1733</v>
      </c>
      <c r="C82" s="7" t="s">
        <v>2075</v>
      </c>
      <c r="D82" s="74">
        <v>1.0</v>
      </c>
      <c r="E82" s="46"/>
      <c r="F82" s="47">
        <v>24.99</v>
      </c>
      <c r="G82" s="47">
        <v>0.0</v>
      </c>
      <c r="H82" s="7"/>
      <c r="I82" s="47">
        <v>1.02</v>
      </c>
      <c r="J82" s="140">
        <f t="shared" si="1"/>
        <v>23.97</v>
      </c>
      <c r="K82" s="8"/>
      <c r="L82" s="7"/>
      <c r="M82" s="7"/>
      <c r="N82" s="7"/>
      <c r="O82" s="7"/>
      <c r="P82" s="7" t="s">
        <v>490</v>
      </c>
      <c r="Q82" s="7" t="s">
        <v>657</v>
      </c>
      <c r="R82" s="7"/>
      <c r="S82" s="7" t="s">
        <v>658</v>
      </c>
      <c r="T82" s="7" t="s">
        <v>493</v>
      </c>
      <c r="U82" s="65">
        <v>3849.0</v>
      </c>
      <c r="V82" s="7"/>
      <c r="W82" s="7"/>
    </row>
    <row r="83">
      <c r="A83" s="45">
        <v>45899.626921296294</v>
      </c>
      <c r="B83" s="7" t="s">
        <v>415</v>
      </c>
      <c r="C83" s="7" t="s">
        <v>2075</v>
      </c>
      <c r="D83" s="74">
        <v>1.0</v>
      </c>
      <c r="E83" s="46"/>
      <c r="F83" s="47">
        <v>24.99</v>
      </c>
      <c r="G83" s="47">
        <v>0.0</v>
      </c>
      <c r="H83" s="7"/>
      <c r="I83" s="47">
        <v>1.02</v>
      </c>
      <c r="J83" s="140">
        <f t="shared" si="1"/>
        <v>23.97</v>
      </c>
      <c r="K83" s="8"/>
      <c r="L83" s="7"/>
      <c r="M83" s="7"/>
      <c r="N83" s="7"/>
      <c r="O83" s="7"/>
      <c r="P83" s="7" t="s">
        <v>490</v>
      </c>
      <c r="Q83" s="7" t="s">
        <v>1060</v>
      </c>
      <c r="R83" s="7"/>
      <c r="S83" s="7" t="s">
        <v>1061</v>
      </c>
      <c r="T83" s="7" t="s">
        <v>493</v>
      </c>
      <c r="U83" s="65">
        <v>3847.0</v>
      </c>
      <c r="V83" s="7"/>
      <c r="W83" s="7"/>
    </row>
    <row r="84">
      <c r="A84" s="45">
        <v>45899.606203703705</v>
      </c>
      <c r="B84" s="7" t="s">
        <v>1980</v>
      </c>
      <c r="C84" s="7" t="s">
        <v>2075</v>
      </c>
      <c r="D84" s="74">
        <v>1.0</v>
      </c>
      <c r="E84" s="46"/>
      <c r="F84" s="47">
        <v>24.99</v>
      </c>
      <c r="G84" s="47">
        <v>0.0</v>
      </c>
      <c r="H84" s="7"/>
      <c r="I84" s="47">
        <v>1.4</v>
      </c>
      <c r="J84" s="140">
        <f t="shared" si="1"/>
        <v>23.59</v>
      </c>
      <c r="K84" s="8"/>
      <c r="L84" s="7"/>
      <c r="M84" s="7"/>
      <c r="N84" s="7"/>
      <c r="O84" s="7"/>
      <c r="P84" s="7" t="s">
        <v>490</v>
      </c>
      <c r="Q84" s="7" t="s">
        <v>2123</v>
      </c>
      <c r="R84" s="7"/>
      <c r="S84" s="7" t="s">
        <v>1982</v>
      </c>
      <c r="T84" s="7" t="s">
        <v>1420</v>
      </c>
      <c r="U84" s="65">
        <v>3842.0</v>
      </c>
      <c r="V84" s="7"/>
      <c r="W84" s="7"/>
    </row>
    <row r="85">
      <c r="A85" s="45">
        <v>45899.592523148145</v>
      </c>
      <c r="B85" s="7" t="s">
        <v>1742</v>
      </c>
      <c r="C85" s="7" t="s">
        <v>2075</v>
      </c>
      <c r="D85" s="74">
        <v>1.0</v>
      </c>
      <c r="E85" s="46"/>
      <c r="F85" s="47">
        <v>24.99</v>
      </c>
      <c r="G85" s="47">
        <v>0.0</v>
      </c>
      <c r="H85" s="7"/>
      <c r="I85" s="47">
        <v>1.02</v>
      </c>
      <c r="J85" s="140">
        <f t="shared" si="1"/>
        <v>23.97</v>
      </c>
      <c r="K85" s="8"/>
      <c r="L85" s="7"/>
      <c r="M85" s="7"/>
      <c r="N85" s="7"/>
      <c r="O85" s="7"/>
      <c r="P85" s="7" t="s">
        <v>490</v>
      </c>
      <c r="Q85" s="7" t="s">
        <v>731</v>
      </c>
      <c r="R85" s="7"/>
      <c r="S85" s="7" t="s">
        <v>732</v>
      </c>
      <c r="T85" s="7" t="s">
        <v>493</v>
      </c>
      <c r="U85" s="65">
        <v>3841.0</v>
      </c>
      <c r="V85" s="7"/>
      <c r="W85" s="7"/>
    </row>
    <row r="86">
      <c r="A86" s="45">
        <v>45899.57084490741</v>
      </c>
      <c r="B86" s="7" t="s">
        <v>1669</v>
      </c>
      <c r="C86" s="7" t="s">
        <v>2075</v>
      </c>
      <c r="D86" s="74">
        <v>1.0</v>
      </c>
      <c r="E86" s="46"/>
      <c r="F86" s="47">
        <v>24.99</v>
      </c>
      <c r="G86" s="47">
        <v>0.0</v>
      </c>
      <c r="H86" s="7"/>
      <c r="I86" s="47">
        <v>1.4</v>
      </c>
      <c r="J86" s="140">
        <f t="shared" si="1"/>
        <v>23.59</v>
      </c>
      <c r="K86" s="8"/>
      <c r="L86" s="7"/>
      <c r="M86" s="7"/>
      <c r="N86" s="7"/>
      <c r="O86" s="7"/>
      <c r="P86" s="7" t="s">
        <v>490</v>
      </c>
      <c r="Q86" s="7" t="s">
        <v>1782</v>
      </c>
      <c r="R86" s="7" t="s">
        <v>707</v>
      </c>
      <c r="S86" s="7" t="s">
        <v>1783</v>
      </c>
      <c r="T86" s="7" t="s">
        <v>521</v>
      </c>
      <c r="U86" s="65">
        <v>3840.0</v>
      </c>
      <c r="V86" s="7"/>
      <c r="W86" s="7"/>
    </row>
    <row r="87">
      <c r="A87" s="45">
        <v>45899.537986111114</v>
      </c>
      <c r="B87" s="7" t="s">
        <v>216</v>
      </c>
      <c r="C87" s="67" t="s">
        <v>2077</v>
      </c>
      <c r="D87" s="74">
        <v>1.0</v>
      </c>
      <c r="E87" s="74">
        <v>1.0</v>
      </c>
      <c r="F87" s="47">
        <v>124.99</v>
      </c>
      <c r="G87" s="47">
        <v>0.0</v>
      </c>
      <c r="H87" s="7"/>
      <c r="I87" s="47">
        <v>5.8</v>
      </c>
      <c r="J87" s="140">
        <f t="shared" si="1"/>
        <v>119.19</v>
      </c>
      <c r="K87" s="8"/>
      <c r="L87" s="7"/>
      <c r="M87" s="7"/>
      <c r="N87" s="7"/>
      <c r="O87" s="7"/>
      <c r="P87" s="7" t="s">
        <v>490</v>
      </c>
      <c r="Q87" s="7" t="s">
        <v>1995</v>
      </c>
      <c r="R87" s="7"/>
      <c r="S87" s="7" t="s">
        <v>1525</v>
      </c>
      <c r="T87" s="7" t="s">
        <v>525</v>
      </c>
      <c r="U87" s="65">
        <v>3839.0</v>
      </c>
      <c r="V87" s="7"/>
      <c r="W87" s="7"/>
    </row>
    <row r="88">
      <c r="A88" s="45">
        <v>45899.35019675926</v>
      </c>
      <c r="B88" s="7" t="s">
        <v>403</v>
      </c>
      <c r="C88" s="7" t="s">
        <v>2075</v>
      </c>
      <c r="D88" s="74">
        <v>1.0</v>
      </c>
      <c r="E88" s="46"/>
      <c r="F88" s="47">
        <v>24.99</v>
      </c>
      <c r="G88" s="47">
        <v>0.0</v>
      </c>
      <c r="H88" s="7"/>
      <c r="I88" s="47">
        <v>1.02</v>
      </c>
      <c r="J88" s="140">
        <f t="shared" si="1"/>
        <v>23.97</v>
      </c>
      <c r="K88" s="8"/>
      <c r="L88" s="7"/>
      <c r="M88" s="7"/>
      <c r="N88" s="7"/>
      <c r="O88" s="7"/>
      <c r="P88" s="7" t="s">
        <v>490</v>
      </c>
      <c r="Q88" s="7" t="s">
        <v>602</v>
      </c>
      <c r="R88" s="7"/>
      <c r="S88" s="7" t="s">
        <v>603</v>
      </c>
      <c r="T88" s="7" t="s">
        <v>493</v>
      </c>
      <c r="U88" s="65">
        <v>3837.0</v>
      </c>
      <c r="V88" s="7"/>
      <c r="W88" s="7"/>
    </row>
    <row r="89">
      <c r="A89" s="45">
        <v>45899.29072916666</v>
      </c>
      <c r="B89" s="7" t="s">
        <v>688</v>
      </c>
      <c r="C89" s="67" t="s">
        <v>2077</v>
      </c>
      <c r="D89" s="74">
        <v>1.0</v>
      </c>
      <c r="E89" s="74">
        <v>1.0</v>
      </c>
      <c r="F89" s="47">
        <v>137.18</v>
      </c>
      <c r="G89" s="47">
        <v>0.0</v>
      </c>
      <c r="H89" s="7"/>
      <c r="I89" s="47">
        <v>4.28</v>
      </c>
      <c r="J89" s="140">
        <f t="shared" si="1"/>
        <v>132.9</v>
      </c>
      <c r="K89" s="8"/>
      <c r="L89" s="7"/>
      <c r="M89" s="7"/>
      <c r="N89" s="7"/>
      <c r="O89" s="7"/>
      <c r="P89" s="7" t="s">
        <v>490</v>
      </c>
      <c r="Q89" s="7" t="s">
        <v>689</v>
      </c>
      <c r="R89" s="7" t="s">
        <v>689</v>
      </c>
      <c r="S89" s="7" t="s">
        <v>1992</v>
      </c>
      <c r="T89" s="7" t="s">
        <v>493</v>
      </c>
      <c r="U89" s="65">
        <v>3835.0</v>
      </c>
      <c r="V89" s="7"/>
      <c r="W89" s="7"/>
    </row>
    <row r="90">
      <c r="A90" s="45">
        <v>45899.28780092593</v>
      </c>
      <c r="B90" s="7" t="s">
        <v>1234</v>
      </c>
      <c r="C90" s="7" t="s">
        <v>2075</v>
      </c>
      <c r="D90" s="74">
        <v>1.0</v>
      </c>
      <c r="E90" s="46"/>
      <c r="F90" s="47">
        <v>24.99</v>
      </c>
      <c r="G90" s="47">
        <v>0.0</v>
      </c>
      <c r="H90" s="7"/>
      <c r="I90" s="47">
        <v>1.02</v>
      </c>
      <c r="J90" s="140">
        <f t="shared" si="1"/>
        <v>23.97</v>
      </c>
      <c r="K90" s="8"/>
      <c r="L90" s="7"/>
      <c r="M90" s="7"/>
      <c r="N90" s="7"/>
      <c r="O90" s="7"/>
      <c r="P90" s="7" t="s">
        <v>490</v>
      </c>
      <c r="Q90" s="7" t="s">
        <v>1235</v>
      </c>
      <c r="R90" s="7"/>
      <c r="S90" s="7" t="s">
        <v>1236</v>
      </c>
      <c r="T90" s="7" t="s">
        <v>493</v>
      </c>
      <c r="U90" s="65">
        <v>3834.0</v>
      </c>
      <c r="V90" s="7"/>
      <c r="W90" s="7"/>
    </row>
    <row r="91">
      <c r="A91" s="45">
        <v>45899.28335648148</v>
      </c>
      <c r="B91" s="7" t="s">
        <v>1511</v>
      </c>
      <c r="C91" s="7" t="s">
        <v>2075</v>
      </c>
      <c r="D91" s="74">
        <v>1.0</v>
      </c>
      <c r="E91" s="46"/>
      <c r="F91" s="47">
        <v>24.99</v>
      </c>
      <c r="G91" s="47">
        <v>0.0</v>
      </c>
      <c r="H91" s="7"/>
      <c r="I91" s="47">
        <v>1.4</v>
      </c>
      <c r="J91" s="140">
        <f t="shared" si="1"/>
        <v>23.59</v>
      </c>
      <c r="K91" s="8"/>
      <c r="L91" s="7"/>
      <c r="M91" s="7"/>
      <c r="N91" s="7"/>
      <c r="O91" s="7"/>
      <c r="P91" s="7" t="s">
        <v>490</v>
      </c>
      <c r="Q91" s="7" t="s">
        <v>681</v>
      </c>
      <c r="R91" s="7" t="s">
        <v>682</v>
      </c>
      <c r="S91" s="7" t="s">
        <v>683</v>
      </c>
      <c r="T91" s="7" t="s">
        <v>684</v>
      </c>
      <c r="U91" s="65">
        <v>3833.0</v>
      </c>
      <c r="V91" s="7"/>
      <c r="W91" s="7"/>
    </row>
    <row r="92">
      <c r="A92" s="45">
        <v>45899.26335648148</v>
      </c>
      <c r="B92" s="7" t="s">
        <v>1107</v>
      </c>
      <c r="C92" s="67" t="s">
        <v>2077</v>
      </c>
      <c r="D92" s="74">
        <v>1.0</v>
      </c>
      <c r="E92" s="74">
        <v>1.0</v>
      </c>
      <c r="F92" s="47">
        <v>124.99</v>
      </c>
      <c r="G92" s="47">
        <v>0.0</v>
      </c>
      <c r="H92" s="7"/>
      <c r="I92" s="47">
        <v>3.92</v>
      </c>
      <c r="J92" s="140">
        <f t="shared" si="1"/>
        <v>121.07</v>
      </c>
      <c r="K92" s="8"/>
      <c r="L92" s="7"/>
      <c r="M92" s="7"/>
      <c r="N92" s="7"/>
      <c r="O92" s="7"/>
      <c r="P92" s="7" t="s">
        <v>490</v>
      </c>
      <c r="Q92" s="7" t="s">
        <v>1108</v>
      </c>
      <c r="R92" s="7"/>
      <c r="S92" s="7" t="s">
        <v>1109</v>
      </c>
      <c r="T92" s="7" t="s">
        <v>493</v>
      </c>
      <c r="U92" s="65">
        <v>3832.0</v>
      </c>
      <c r="V92" s="7"/>
      <c r="W92" s="7"/>
    </row>
    <row r="93">
      <c r="A93" s="45">
        <v>45899.224814814814</v>
      </c>
      <c r="B93" s="7" t="s">
        <v>576</v>
      </c>
      <c r="C93" s="7" t="s">
        <v>2124</v>
      </c>
      <c r="D93" s="74">
        <v>2.0</v>
      </c>
      <c r="E93" s="46"/>
      <c r="F93" s="47">
        <v>49.98</v>
      </c>
      <c r="G93" s="47">
        <v>0.0</v>
      </c>
      <c r="H93" s="7"/>
      <c r="I93" s="47">
        <v>2.5</v>
      </c>
      <c r="J93" s="140">
        <f t="shared" si="1"/>
        <v>47.48</v>
      </c>
      <c r="K93" s="8"/>
      <c r="L93" s="7"/>
      <c r="M93" s="7"/>
      <c r="N93" s="7"/>
      <c r="O93" s="7"/>
      <c r="P93" s="7" t="s">
        <v>490</v>
      </c>
      <c r="Q93" s="7" t="s">
        <v>578</v>
      </c>
      <c r="R93" s="7" t="s">
        <v>579</v>
      </c>
      <c r="S93" s="7" t="s">
        <v>580</v>
      </c>
      <c r="T93" s="7" t="s">
        <v>581</v>
      </c>
      <c r="U93" s="65">
        <v>3830.0</v>
      </c>
      <c r="V93" s="7"/>
      <c r="W93" s="7"/>
    </row>
    <row r="94">
      <c r="A94" s="45">
        <v>45899.224490740744</v>
      </c>
      <c r="B94" s="7" t="s">
        <v>1627</v>
      </c>
      <c r="C94" s="7" t="s">
        <v>2075</v>
      </c>
      <c r="D94" s="74">
        <v>1.0</v>
      </c>
      <c r="E94" s="46"/>
      <c r="F94" s="47">
        <v>24.99</v>
      </c>
      <c r="G94" s="47">
        <v>0.0</v>
      </c>
      <c r="H94" s="7"/>
      <c r="I94" s="47">
        <v>1.4</v>
      </c>
      <c r="J94" s="140">
        <f t="shared" si="1"/>
        <v>23.59</v>
      </c>
      <c r="K94" s="8"/>
      <c r="L94" s="7"/>
      <c r="M94" s="7"/>
      <c r="N94" s="7"/>
      <c r="O94" s="7"/>
      <c r="P94" s="7" t="s">
        <v>490</v>
      </c>
      <c r="Q94" s="7" t="s">
        <v>936</v>
      </c>
      <c r="R94" s="7" t="s">
        <v>2039</v>
      </c>
      <c r="S94" s="7" t="s">
        <v>938</v>
      </c>
      <c r="T94" s="7" t="s">
        <v>939</v>
      </c>
      <c r="U94" s="65">
        <v>3831.0</v>
      </c>
      <c r="V94" s="7"/>
      <c r="W94" s="7"/>
    </row>
    <row r="95">
      <c r="A95" s="45">
        <v>45899.20695601852</v>
      </c>
      <c r="B95" s="7" t="s">
        <v>911</v>
      </c>
      <c r="C95" s="7" t="s">
        <v>2075</v>
      </c>
      <c r="D95" s="74">
        <v>1.0</v>
      </c>
      <c r="E95" s="46"/>
      <c r="F95" s="47">
        <v>26.49</v>
      </c>
      <c r="G95" s="47">
        <v>0.0</v>
      </c>
      <c r="H95" s="7"/>
      <c r="I95" s="47">
        <v>1.07</v>
      </c>
      <c r="J95" s="140">
        <f t="shared" si="1"/>
        <v>25.42</v>
      </c>
      <c r="K95" s="8"/>
      <c r="L95" s="7"/>
      <c r="M95" s="7"/>
      <c r="N95" s="7"/>
      <c r="O95" s="7"/>
      <c r="P95" s="7" t="s">
        <v>490</v>
      </c>
      <c r="Q95" s="7" t="s">
        <v>912</v>
      </c>
      <c r="R95" s="7"/>
      <c r="S95" s="7" t="s">
        <v>913</v>
      </c>
      <c r="T95" s="7" t="s">
        <v>493</v>
      </c>
      <c r="U95" s="65">
        <v>3825.0</v>
      </c>
      <c r="V95" s="7"/>
      <c r="W95" s="7"/>
    </row>
    <row r="96">
      <c r="A96" s="45">
        <v>45899.20092592593</v>
      </c>
      <c r="B96" s="7" t="s">
        <v>214</v>
      </c>
      <c r="C96" s="7" t="s">
        <v>2075</v>
      </c>
      <c r="D96" s="74">
        <v>1.0</v>
      </c>
      <c r="E96" s="46"/>
      <c r="F96" s="47">
        <v>36.4</v>
      </c>
      <c r="G96" s="47">
        <v>0.0</v>
      </c>
      <c r="H96" s="7"/>
      <c r="I96" s="47">
        <v>1.36</v>
      </c>
      <c r="J96" s="140">
        <f t="shared" si="1"/>
        <v>35.04</v>
      </c>
      <c r="K96" s="8"/>
      <c r="L96" s="7"/>
      <c r="M96" s="7"/>
      <c r="N96" s="7"/>
      <c r="O96" s="7"/>
      <c r="P96" s="7" t="s">
        <v>490</v>
      </c>
      <c r="Q96" s="7" t="s">
        <v>2125</v>
      </c>
      <c r="R96" s="7"/>
      <c r="S96" s="7" t="s">
        <v>2126</v>
      </c>
      <c r="T96" s="7" t="s">
        <v>493</v>
      </c>
      <c r="U96" s="65">
        <v>3822.0</v>
      </c>
      <c r="V96" s="7"/>
      <c r="W96" s="7"/>
    </row>
    <row r="97">
      <c r="A97" s="45">
        <v>45899.198067129626</v>
      </c>
      <c r="B97" s="7" t="s">
        <v>251</v>
      </c>
      <c r="C97" s="7" t="s">
        <v>2075</v>
      </c>
      <c r="D97" s="74">
        <v>1.0</v>
      </c>
      <c r="E97" s="46"/>
      <c r="F97" s="47">
        <v>24.99</v>
      </c>
      <c r="G97" s="47">
        <v>0.0</v>
      </c>
      <c r="H97" s="7"/>
      <c r="I97" s="47">
        <v>1.4</v>
      </c>
      <c r="J97" s="140">
        <f t="shared" si="1"/>
        <v>23.59</v>
      </c>
      <c r="K97" s="8"/>
      <c r="L97" s="7"/>
      <c r="M97" s="7"/>
      <c r="N97" s="7"/>
      <c r="O97" s="7"/>
      <c r="P97" s="7" t="s">
        <v>490</v>
      </c>
      <c r="Q97" s="7" t="s">
        <v>1592</v>
      </c>
      <c r="R97" s="7" t="s">
        <v>1593</v>
      </c>
      <c r="S97" s="7" t="s">
        <v>572</v>
      </c>
      <c r="T97" s="7" t="s">
        <v>510</v>
      </c>
      <c r="U97" s="65">
        <v>3824.0</v>
      </c>
      <c r="V97" s="7"/>
      <c r="W97" s="7"/>
    </row>
    <row r="98">
      <c r="A98" s="45">
        <v>45899.17601851852</v>
      </c>
      <c r="B98" s="7" t="s">
        <v>270</v>
      </c>
      <c r="C98" s="7" t="s">
        <v>2075</v>
      </c>
      <c r="D98" s="74">
        <v>1.0</v>
      </c>
      <c r="E98" s="46"/>
      <c r="F98" s="47">
        <v>27.43</v>
      </c>
      <c r="G98" s="47">
        <v>0.0</v>
      </c>
      <c r="H98" s="7"/>
      <c r="I98" s="47">
        <v>1.1</v>
      </c>
      <c r="J98" s="140">
        <f t="shared" si="1"/>
        <v>26.33</v>
      </c>
      <c r="K98" s="8"/>
      <c r="L98" s="7"/>
      <c r="M98" s="7"/>
      <c r="N98" s="7"/>
      <c r="O98" s="7"/>
      <c r="P98" s="7" t="s">
        <v>490</v>
      </c>
      <c r="Q98" s="7" t="s">
        <v>1569</v>
      </c>
      <c r="R98" s="7"/>
      <c r="S98" s="7" t="s">
        <v>1570</v>
      </c>
      <c r="T98" s="7" t="s">
        <v>493</v>
      </c>
      <c r="U98" s="65">
        <v>3821.0</v>
      </c>
      <c r="V98" s="7"/>
      <c r="W98" s="7"/>
    </row>
    <row r="99">
      <c r="A99" s="45">
        <v>45899.172106481485</v>
      </c>
      <c r="B99" s="7" t="s">
        <v>1495</v>
      </c>
      <c r="C99" s="7" t="s">
        <v>2075</v>
      </c>
      <c r="D99" s="74">
        <v>1.0</v>
      </c>
      <c r="E99" s="46"/>
      <c r="F99" s="47">
        <v>24.99</v>
      </c>
      <c r="G99" s="47">
        <v>0.0</v>
      </c>
      <c r="H99" s="7"/>
      <c r="I99" s="47">
        <v>1.02</v>
      </c>
      <c r="J99" s="140">
        <f t="shared" si="1"/>
        <v>23.97</v>
      </c>
      <c r="K99" s="8"/>
      <c r="L99" s="7"/>
      <c r="M99" s="7"/>
      <c r="N99" s="7"/>
      <c r="O99" s="7"/>
      <c r="P99" s="7" t="s">
        <v>490</v>
      </c>
      <c r="Q99" s="7" t="s">
        <v>1496</v>
      </c>
      <c r="R99" s="7"/>
      <c r="S99" s="7" t="s">
        <v>1497</v>
      </c>
      <c r="T99" s="7" t="s">
        <v>493</v>
      </c>
      <c r="U99" s="65">
        <v>3820.0</v>
      </c>
      <c r="V99" s="7"/>
      <c r="W99" s="7"/>
    </row>
    <row r="100">
      <c r="A100" s="45">
        <v>45899.151342592595</v>
      </c>
      <c r="B100" s="7" t="s">
        <v>2127</v>
      </c>
      <c r="C100" s="7" t="s">
        <v>2075</v>
      </c>
      <c r="D100" s="74">
        <v>1.0</v>
      </c>
      <c r="E100" s="46"/>
      <c r="F100" s="47">
        <v>34.46</v>
      </c>
      <c r="G100" s="47">
        <v>0.0</v>
      </c>
      <c r="H100" s="7"/>
      <c r="I100" s="47">
        <v>1.3</v>
      </c>
      <c r="J100" s="140">
        <f t="shared" si="1"/>
        <v>33.16</v>
      </c>
      <c r="K100" s="8"/>
      <c r="L100" s="7"/>
      <c r="M100" s="7"/>
      <c r="N100" s="7"/>
      <c r="O100" s="7"/>
      <c r="P100" s="7" t="s">
        <v>490</v>
      </c>
      <c r="Q100" s="7" t="s">
        <v>2128</v>
      </c>
      <c r="R100" s="7"/>
      <c r="S100" s="7" t="s">
        <v>2129</v>
      </c>
      <c r="T100" s="7" t="s">
        <v>493</v>
      </c>
      <c r="U100" s="65">
        <v>3819.0</v>
      </c>
      <c r="V100" s="7"/>
      <c r="W100" s="7"/>
    </row>
    <row r="101">
      <c r="A101" s="45">
        <v>45899.140185185184</v>
      </c>
      <c r="B101" s="7" t="s">
        <v>379</v>
      </c>
      <c r="C101" s="7" t="s">
        <v>2075</v>
      </c>
      <c r="D101" s="74">
        <v>1.0</v>
      </c>
      <c r="E101" s="46"/>
      <c r="F101" s="47">
        <v>36.53</v>
      </c>
      <c r="G101" s="47">
        <v>0.0</v>
      </c>
      <c r="H101" s="7"/>
      <c r="I101" s="47">
        <v>1.36</v>
      </c>
      <c r="J101" s="140">
        <f t="shared" si="1"/>
        <v>35.17</v>
      </c>
      <c r="K101" s="8"/>
      <c r="L101" s="7"/>
      <c r="M101" s="7"/>
      <c r="N101" s="7"/>
      <c r="O101" s="7"/>
      <c r="P101" s="7" t="s">
        <v>490</v>
      </c>
      <c r="Q101" s="7" t="s">
        <v>2130</v>
      </c>
      <c r="R101" s="7" t="s">
        <v>2131</v>
      </c>
      <c r="S101" s="7" t="s">
        <v>2132</v>
      </c>
      <c r="T101" s="7" t="s">
        <v>493</v>
      </c>
      <c r="U101" s="65">
        <v>3818.0</v>
      </c>
      <c r="V101" s="7"/>
      <c r="W101" s="7"/>
    </row>
    <row r="102">
      <c r="A102" s="45">
        <v>45899.13820601852</v>
      </c>
      <c r="B102" s="7" t="s">
        <v>389</v>
      </c>
      <c r="C102" s="7" t="s">
        <v>2075</v>
      </c>
      <c r="D102" s="74">
        <v>1.0</v>
      </c>
      <c r="E102" s="46"/>
      <c r="F102" s="47">
        <v>24.99</v>
      </c>
      <c r="G102" s="47">
        <v>0.0</v>
      </c>
      <c r="H102" s="7"/>
      <c r="I102" s="47">
        <v>1.4</v>
      </c>
      <c r="J102" s="140">
        <f t="shared" si="1"/>
        <v>23.59</v>
      </c>
      <c r="K102" s="8"/>
      <c r="L102" s="7"/>
      <c r="M102" s="7"/>
      <c r="N102" s="7"/>
      <c r="O102" s="7"/>
      <c r="P102" s="7" t="s">
        <v>490</v>
      </c>
      <c r="Q102" s="7" t="s">
        <v>959</v>
      </c>
      <c r="R102" s="7"/>
      <c r="S102" s="7" t="s">
        <v>960</v>
      </c>
      <c r="T102" s="7" t="s">
        <v>525</v>
      </c>
      <c r="U102" s="65">
        <v>3817.0</v>
      </c>
      <c r="V102" s="7"/>
      <c r="W102" s="7"/>
    </row>
    <row r="103">
      <c r="A103" s="45">
        <v>45899.136828703704</v>
      </c>
      <c r="B103" s="7" t="s">
        <v>233</v>
      </c>
      <c r="C103" s="7" t="s">
        <v>2075</v>
      </c>
      <c r="D103" s="74">
        <v>1.0</v>
      </c>
      <c r="E103" s="46"/>
      <c r="F103" s="47">
        <v>24.99</v>
      </c>
      <c r="G103" s="47">
        <v>0.0</v>
      </c>
      <c r="H103" s="7"/>
      <c r="I103" s="47">
        <v>1.02</v>
      </c>
      <c r="J103" s="140">
        <f t="shared" si="1"/>
        <v>23.97</v>
      </c>
      <c r="K103" s="8"/>
      <c r="L103" s="7"/>
      <c r="M103" s="7"/>
      <c r="N103" s="7"/>
      <c r="O103" s="7"/>
      <c r="P103" s="7" t="s">
        <v>490</v>
      </c>
      <c r="Q103" s="7" t="s">
        <v>795</v>
      </c>
      <c r="R103" s="7"/>
      <c r="S103" s="7" t="s">
        <v>796</v>
      </c>
      <c r="T103" s="7" t="s">
        <v>493</v>
      </c>
      <c r="U103" s="65">
        <v>3816.0</v>
      </c>
      <c r="V103" s="7"/>
      <c r="W103" s="7"/>
    </row>
    <row r="104">
      <c r="A104" s="45">
        <v>45899.13165509259</v>
      </c>
      <c r="B104" s="7" t="s">
        <v>1820</v>
      </c>
      <c r="C104" s="67" t="s">
        <v>2077</v>
      </c>
      <c r="D104" s="74">
        <v>1.0</v>
      </c>
      <c r="E104" s="74">
        <v>1.0</v>
      </c>
      <c r="F104" s="47">
        <v>138.23</v>
      </c>
      <c r="G104" s="47">
        <v>0.0</v>
      </c>
      <c r="H104" s="7"/>
      <c r="I104" s="47">
        <v>4.31</v>
      </c>
      <c r="J104" s="140">
        <f t="shared" si="1"/>
        <v>133.92</v>
      </c>
      <c r="K104" s="8"/>
      <c r="L104" s="7"/>
      <c r="M104" s="7"/>
      <c r="N104" s="7"/>
      <c r="O104" s="7"/>
      <c r="P104" s="7" t="s">
        <v>490</v>
      </c>
      <c r="Q104" s="7" t="s">
        <v>1606</v>
      </c>
      <c r="R104" s="7"/>
      <c r="S104" s="7" t="s">
        <v>1607</v>
      </c>
      <c r="T104" s="7" t="s">
        <v>493</v>
      </c>
      <c r="U104" s="65">
        <v>3815.0</v>
      </c>
      <c r="V104" s="7"/>
      <c r="W104" s="7"/>
    </row>
    <row r="105">
      <c r="A105" s="45">
        <v>45899.10791666667</v>
      </c>
      <c r="B105" s="7" t="s">
        <v>47</v>
      </c>
      <c r="C105" s="67" t="s">
        <v>2077</v>
      </c>
      <c r="D105" s="74">
        <v>1.0</v>
      </c>
      <c r="E105" s="74">
        <v>1.0</v>
      </c>
      <c r="F105" s="47">
        <v>124.99</v>
      </c>
      <c r="G105" s="47">
        <v>0.0</v>
      </c>
      <c r="H105" s="7"/>
      <c r="I105" s="47">
        <v>20.8</v>
      </c>
      <c r="J105" s="140">
        <f t="shared" si="1"/>
        <v>104.19</v>
      </c>
      <c r="K105" s="47">
        <v>124.99</v>
      </c>
      <c r="L105" s="45">
        <v>45975.0391087963</v>
      </c>
      <c r="M105" s="45">
        <v>45990.99998842592</v>
      </c>
      <c r="N105" s="7" t="s">
        <v>52</v>
      </c>
      <c r="O105" s="7" t="s">
        <v>53</v>
      </c>
      <c r="P105" s="7" t="s">
        <v>490</v>
      </c>
      <c r="Q105" s="7" t="s">
        <v>48</v>
      </c>
      <c r="R105" s="7"/>
      <c r="S105" s="7" t="s">
        <v>49</v>
      </c>
      <c r="T105" s="7" t="s">
        <v>51</v>
      </c>
      <c r="U105" s="65">
        <v>3812.0</v>
      </c>
      <c r="V105" s="7"/>
      <c r="W105" s="7"/>
    </row>
    <row r="106">
      <c r="A106" s="45">
        <v>45899.08186342593</v>
      </c>
      <c r="B106" s="7" t="s">
        <v>2133</v>
      </c>
      <c r="C106" s="7" t="s">
        <v>2134</v>
      </c>
      <c r="D106" s="74">
        <v>3.0</v>
      </c>
      <c r="E106" s="46"/>
      <c r="F106" s="47">
        <v>74.97</v>
      </c>
      <c r="G106" s="47">
        <v>0.0</v>
      </c>
      <c r="H106" s="7"/>
      <c r="I106" s="47">
        <v>3.6</v>
      </c>
      <c r="J106" s="140">
        <f t="shared" si="1"/>
        <v>71.37</v>
      </c>
      <c r="K106" s="8"/>
      <c r="L106" s="7"/>
      <c r="M106" s="7"/>
      <c r="N106" s="7"/>
      <c r="O106" s="7"/>
      <c r="P106" s="7" t="s">
        <v>490</v>
      </c>
      <c r="Q106" s="7" t="s">
        <v>880</v>
      </c>
      <c r="R106" s="7" t="s">
        <v>881</v>
      </c>
      <c r="S106" s="7" t="s">
        <v>850</v>
      </c>
      <c r="T106" s="7" t="s">
        <v>882</v>
      </c>
      <c r="U106" s="65">
        <v>3809.0</v>
      </c>
      <c r="V106" s="7"/>
      <c r="W106" s="7"/>
    </row>
    <row r="107">
      <c r="A107" s="45">
        <v>45899.06159722222</v>
      </c>
      <c r="B107" s="7" t="s">
        <v>1919</v>
      </c>
      <c r="C107" s="7" t="s">
        <v>2075</v>
      </c>
      <c r="D107" s="74">
        <v>1.0</v>
      </c>
      <c r="E107" s="46"/>
      <c r="F107" s="47">
        <v>37.56</v>
      </c>
      <c r="G107" s="47">
        <v>0.0</v>
      </c>
      <c r="H107" s="7"/>
      <c r="I107" s="47">
        <v>1.39</v>
      </c>
      <c r="J107" s="140">
        <f t="shared" si="1"/>
        <v>36.17</v>
      </c>
      <c r="K107" s="8"/>
      <c r="L107" s="7"/>
      <c r="M107" s="7"/>
      <c r="N107" s="7"/>
      <c r="O107" s="7"/>
      <c r="P107" s="7" t="s">
        <v>490</v>
      </c>
      <c r="Q107" s="7" t="s">
        <v>1920</v>
      </c>
      <c r="R107" s="7"/>
      <c r="S107" s="7" t="s">
        <v>1921</v>
      </c>
      <c r="T107" s="7" t="s">
        <v>493</v>
      </c>
      <c r="U107" s="65">
        <v>3806.0</v>
      </c>
      <c r="V107" s="7"/>
      <c r="W107" s="7"/>
    </row>
    <row r="108">
      <c r="A108" s="45">
        <v>45899.061585648145</v>
      </c>
      <c r="B108" s="7" t="s">
        <v>353</v>
      </c>
      <c r="C108" s="7" t="s">
        <v>2075</v>
      </c>
      <c r="D108" s="74">
        <v>1.0</v>
      </c>
      <c r="E108" s="46"/>
      <c r="F108" s="47">
        <v>24.99</v>
      </c>
      <c r="G108" s="47">
        <v>0.0</v>
      </c>
      <c r="H108" s="7"/>
      <c r="I108" s="47">
        <v>1.4</v>
      </c>
      <c r="J108" s="140">
        <f t="shared" si="1"/>
        <v>23.59</v>
      </c>
      <c r="K108" s="8"/>
      <c r="L108" s="7"/>
      <c r="M108" s="7"/>
      <c r="N108" s="7"/>
      <c r="O108" s="7"/>
      <c r="P108" s="7" t="s">
        <v>490</v>
      </c>
      <c r="Q108" s="7" t="s">
        <v>1621</v>
      </c>
      <c r="R108" s="7"/>
      <c r="S108" s="7" t="s">
        <v>1264</v>
      </c>
      <c r="T108" s="7" t="s">
        <v>545</v>
      </c>
      <c r="U108" s="65">
        <v>3807.0</v>
      </c>
      <c r="V108" s="7"/>
      <c r="W108" s="7"/>
    </row>
    <row r="109">
      <c r="A109" s="45">
        <v>45899.04399305556</v>
      </c>
      <c r="B109" s="7" t="s">
        <v>243</v>
      </c>
      <c r="C109" s="7" t="s">
        <v>2075</v>
      </c>
      <c r="D109" s="74">
        <v>1.0</v>
      </c>
      <c r="E109" s="46"/>
      <c r="F109" s="47">
        <v>24.99</v>
      </c>
      <c r="G109" s="47">
        <v>0.0</v>
      </c>
      <c r="H109" s="7"/>
      <c r="I109" s="47">
        <v>1.02</v>
      </c>
      <c r="J109" s="140">
        <f t="shared" si="1"/>
        <v>23.97</v>
      </c>
      <c r="K109" s="8"/>
      <c r="L109" s="7"/>
      <c r="M109" s="7"/>
      <c r="N109" s="7"/>
      <c r="O109" s="7"/>
      <c r="P109" s="7" t="s">
        <v>490</v>
      </c>
      <c r="Q109" s="7" t="s">
        <v>739</v>
      </c>
      <c r="R109" s="7"/>
      <c r="S109" s="7" t="s">
        <v>740</v>
      </c>
      <c r="T109" s="7" t="s">
        <v>493</v>
      </c>
      <c r="U109" s="65">
        <v>3802.0</v>
      </c>
      <c r="V109" s="7"/>
      <c r="W109" s="7"/>
    </row>
    <row r="110">
      <c r="A110" s="45">
        <v>45899.01574074074</v>
      </c>
      <c r="B110" s="7" t="s">
        <v>893</v>
      </c>
      <c r="C110" s="7" t="s">
        <v>2075</v>
      </c>
      <c r="D110" s="74">
        <v>1.0</v>
      </c>
      <c r="E110" s="46"/>
      <c r="F110" s="47">
        <v>24.99</v>
      </c>
      <c r="G110" s="47">
        <v>0.0</v>
      </c>
      <c r="H110" s="7"/>
      <c r="I110" s="47">
        <v>1.02</v>
      </c>
      <c r="J110" s="140">
        <f t="shared" si="1"/>
        <v>23.97</v>
      </c>
      <c r="K110" s="8"/>
      <c r="L110" s="7"/>
      <c r="M110" s="7"/>
      <c r="N110" s="7"/>
      <c r="O110" s="7"/>
      <c r="P110" s="7" t="s">
        <v>490</v>
      </c>
      <c r="Q110" s="7" t="s">
        <v>894</v>
      </c>
      <c r="R110" s="7"/>
      <c r="S110" s="7" t="s">
        <v>895</v>
      </c>
      <c r="T110" s="7" t="s">
        <v>493</v>
      </c>
      <c r="U110" s="65">
        <v>3801.0</v>
      </c>
      <c r="V110" s="7"/>
      <c r="W110" s="7"/>
    </row>
    <row r="111">
      <c r="A111" s="45">
        <v>45898.995104166665</v>
      </c>
      <c r="B111" s="7" t="s">
        <v>377</v>
      </c>
      <c r="C111" s="7" t="s">
        <v>2075</v>
      </c>
      <c r="D111" s="74">
        <v>1.0</v>
      </c>
      <c r="E111" s="46"/>
      <c r="F111" s="47">
        <v>24.99</v>
      </c>
      <c r="G111" s="47">
        <v>0.0</v>
      </c>
      <c r="H111" s="7"/>
      <c r="I111" s="47">
        <v>1.02</v>
      </c>
      <c r="J111" s="140">
        <f t="shared" si="1"/>
        <v>23.97</v>
      </c>
      <c r="K111" s="8"/>
      <c r="L111" s="7"/>
      <c r="M111" s="7"/>
      <c r="N111" s="7"/>
      <c r="O111" s="7"/>
      <c r="P111" s="7" t="s">
        <v>490</v>
      </c>
      <c r="Q111" s="7"/>
      <c r="R111" s="7"/>
      <c r="S111" s="7"/>
      <c r="T111" s="7" t="s">
        <v>493</v>
      </c>
      <c r="U111" s="65">
        <v>3799.0</v>
      </c>
      <c r="V111" s="7"/>
      <c r="W111" s="7"/>
    </row>
    <row r="112">
      <c r="A112" s="45">
        <v>45898.988530092596</v>
      </c>
      <c r="B112" s="7" t="s">
        <v>286</v>
      </c>
      <c r="C112" s="7" t="s">
        <v>2075</v>
      </c>
      <c r="D112" s="74">
        <v>1.0</v>
      </c>
      <c r="E112" s="46"/>
      <c r="F112" s="47">
        <v>24.99</v>
      </c>
      <c r="G112" s="47">
        <v>0.0</v>
      </c>
      <c r="H112" s="7"/>
      <c r="I112" s="47">
        <v>1.02</v>
      </c>
      <c r="J112" s="140">
        <f t="shared" si="1"/>
        <v>23.97</v>
      </c>
      <c r="K112" s="8"/>
      <c r="L112" s="7"/>
      <c r="M112" s="7"/>
      <c r="N112" s="7"/>
      <c r="O112" s="7"/>
      <c r="P112" s="7" t="s">
        <v>490</v>
      </c>
      <c r="Q112" s="7" t="s">
        <v>1357</v>
      </c>
      <c r="R112" s="7"/>
      <c r="S112" s="7" t="s">
        <v>1358</v>
      </c>
      <c r="T112" s="7" t="s">
        <v>493</v>
      </c>
      <c r="U112" s="65">
        <v>3797.0</v>
      </c>
      <c r="V112" s="7"/>
      <c r="W112" s="7"/>
    </row>
    <row r="113">
      <c r="A113" s="45">
        <v>45898.98006944444</v>
      </c>
      <c r="B113" s="7" t="s">
        <v>189</v>
      </c>
      <c r="C113" s="7" t="s">
        <v>2075</v>
      </c>
      <c r="D113" s="74">
        <v>1.0</v>
      </c>
      <c r="E113" s="46"/>
      <c r="F113" s="47">
        <v>26.49</v>
      </c>
      <c r="G113" s="47">
        <v>0.0</v>
      </c>
      <c r="H113" s="7"/>
      <c r="I113" s="47">
        <v>1.07</v>
      </c>
      <c r="J113" s="140">
        <f t="shared" si="1"/>
        <v>25.42</v>
      </c>
      <c r="K113" s="8"/>
      <c r="L113" s="7"/>
      <c r="M113" s="7"/>
      <c r="N113" s="7"/>
      <c r="O113" s="7"/>
      <c r="P113" s="7" t="s">
        <v>490</v>
      </c>
      <c r="Q113" s="7" t="s">
        <v>491</v>
      </c>
      <c r="R113" s="7"/>
      <c r="S113" s="7" t="s">
        <v>492</v>
      </c>
      <c r="T113" s="7" t="s">
        <v>493</v>
      </c>
      <c r="U113" s="65">
        <v>3796.0</v>
      </c>
      <c r="V113" s="7"/>
      <c r="W113" s="7"/>
    </row>
    <row r="114">
      <c r="A114" s="45">
        <v>45898.974340277775</v>
      </c>
      <c r="B114" s="7" t="s">
        <v>406</v>
      </c>
      <c r="C114" s="7" t="s">
        <v>2075</v>
      </c>
      <c r="D114" s="74">
        <v>1.0</v>
      </c>
      <c r="E114" s="46"/>
      <c r="F114" s="47">
        <v>24.99</v>
      </c>
      <c r="G114" s="47">
        <v>0.0</v>
      </c>
      <c r="H114" s="7"/>
      <c r="I114" s="47">
        <v>1.4</v>
      </c>
      <c r="J114" s="140">
        <f t="shared" si="1"/>
        <v>23.59</v>
      </c>
      <c r="K114" s="8"/>
      <c r="L114" s="7"/>
      <c r="M114" s="7"/>
      <c r="N114" s="7"/>
      <c r="O114" s="7"/>
      <c r="P114" s="7" t="s">
        <v>490</v>
      </c>
      <c r="Q114" s="7" t="s">
        <v>1555</v>
      </c>
      <c r="R114" s="7"/>
      <c r="S114" s="7" t="s">
        <v>1556</v>
      </c>
      <c r="T114" s="7" t="s">
        <v>545</v>
      </c>
      <c r="U114" s="65">
        <v>3794.0</v>
      </c>
      <c r="V114" s="7"/>
      <c r="W114" s="7"/>
    </row>
    <row r="115">
      <c r="A115" s="45">
        <v>45898.9734375</v>
      </c>
      <c r="B115" s="7" t="s">
        <v>64</v>
      </c>
      <c r="C115" s="7" t="s">
        <v>2075</v>
      </c>
      <c r="D115" s="74">
        <v>1.0</v>
      </c>
      <c r="E115" s="46"/>
      <c r="F115" s="47">
        <v>24.99</v>
      </c>
      <c r="G115" s="47">
        <v>0.0</v>
      </c>
      <c r="H115" s="7"/>
      <c r="I115" s="47">
        <v>16.02</v>
      </c>
      <c r="J115" s="140">
        <f t="shared" si="1"/>
        <v>8.97</v>
      </c>
      <c r="K115" s="47">
        <v>24.99</v>
      </c>
      <c r="L115" s="45">
        <v>45973.12939814815</v>
      </c>
      <c r="M115" s="45">
        <v>45988.99998842592</v>
      </c>
      <c r="N115" s="7" t="s">
        <v>52</v>
      </c>
      <c r="O115" s="7" t="s">
        <v>62</v>
      </c>
      <c r="P115" s="7" t="s">
        <v>490</v>
      </c>
      <c r="Q115" s="7" t="s">
        <v>990</v>
      </c>
      <c r="R115" s="7" t="s">
        <v>991</v>
      </c>
      <c r="S115" s="7" t="s">
        <v>992</v>
      </c>
      <c r="T115" s="7" t="s">
        <v>493</v>
      </c>
      <c r="U115" s="65">
        <v>3795.0</v>
      </c>
      <c r="V115" s="7"/>
      <c r="W115" s="7"/>
    </row>
    <row r="116">
      <c r="A116" s="45">
        <v>45898.9640625</v>
      </c>
      <c r="B116" s="7" t="s">
        <v>987</v>
      </c>
      <c r="C116" s="67" t="s">
        <v>2077</v>
      </c>
      <c r="D116" s="74">
        <v>1.0</v>
      </c>
      <c r="E116" s="74">
        <v>1.0</v>
      </c>
      <c r="F116" s="47">
        <v>137.78</v>
      </c>
      <c r="G116" s="47">
        <v>0.0</v>
      </c>
      <c r="H116" s="7"/>
      <c r="I116" s="47">
        <v>4.3</v>
      </c>
      <c r="J116" s="140">
        <f t="shared" si="1"/>
        <v>133.48</v>
      </c>
      <c r="K116" s="8"/>
      <c r="L116" s="7"/>
      <c r="M116" s="7"/>
      <c r="N116" s="7"/>
      <c r="O116" s="7"/>
      <c r="P116" s="7" t="s">
        <v>490</v>
      </c>
      <c r="Q116" s="7" t="s">
        <v>988</v>
      </c>
      <c r="R116" s="7"/>
      <c r="S116" s="7" t="s">
        <v>989</v>
      </c>
      <c r="T116" s="7" t="s">
        <v>493</v>
      </c>
      <c r="U116" s="65">
        <v>3793.0</v>
      </c>
      <c r="V116" s="7"/>
      <c r="W116" s="7"/>
    </row>
    <row r="117">
      <c r="A117" s="45">
        <v>45898.953356481485</v>
      </c>
      <c r="B117" s="7" t="s">
        <v>304</v>
      </c>
      <c r="C117" s="7" t="s">
        <v>2075</v>
      </c>
      <c r="D117" s="74">
        <v>1.0</v>
      </c>
      <c r="E117" s="46"/>
      <c r="F117" s="47">
        <v>24.99</v>
      </c>
      <c r="G117" s="47">
        <v>0.0</v>
      </c>
      <c r="H117" s="7"/>
      <c r="I117" s="47">
        <v>1.02</v>
      </c>
      <c r="J117" s="140">
        <f t="shared" si="1"/>
        <v>23.97</v>
      </c>
      <c r="K117" s="8"/>
      <c r="L117" s="7"/>
      <c r="M117" s="7"/>
      <c r="N117" s="7"/>
      <c r="O117" s="7"/>
      <c r="P117" s="7" t="s">
        <v>490</v>
      </c>
      <c r="Q117" s="7"/>
      <c r="R117" s="7"/>
      <c r="S117" s="7"/>
      <c r="T117" s="7" t="s">
        <v>493</v>
      </c>
      <c r="U117" s="65">
        <v>3791.0</v>
      </c>
      <c r="V117" s="7"/>
      <c r="W117" s="7"/>
    </row>
    <row r="118">
      <c r="A118" s="45">
        <v>45898.94412037037</v>
      </c>
      <c r="B118" s="7" t="s">
        <v>347</v>
      </c>
      <c r="C118" s="7" t="s">
        <v>2075</v>
      </c>
      <c r="D118" s="74">
        <v>1.0</v>
      </c>
      <c r="E118" s="46"/>
      <c r="F118" s="47">
        <v>24.99</v>
      </c>
      <c r="G118" s="47">
        <v>0.0</v>
      </c>
      <c r="H118" s="7"/>
      <c r="I118" s="47">
        <v>1.02</v>
      </c>
      <c r="J118" s="140">
        <f t="shared" si="1"/>
        <v>23.97</v>
      </c>
      <c r="K118" s="8"/>
      <c r="L118" s="7"/>
      <c r="M118" s="7"/>
      <c r="N118" s="7"/>
      <c r="O118" s="7"/>
      <c r="P118" s="7" t="s">
        <v>490</v>
      </c>
      <c r="Q118" s="7" t="s">
        <v>933</v>
      </c>
      <c r="R118" s="7"/>
      <c r="S118" s="7" t="s">
        <v>934</v>
      </c>
      <c r="T118" s="7" t="s">
        <v>493</v>
      </c>
      <c r="U118" s="65">
        <v>3790.0</v>
      </c>
      <c r="V118" s="7"/>
      <c r="W118" s="7"/>
    </row>
    <row r="119">
      <c r="A119" s="45">
        <v>45898.93583333334</v>
      </c>
      <c r="B119" s="7" t="s">
        <v>343</v>
      </c>
      <c r="C119" s="7" t="s">
        <v>2075</v>
      </c>
      <c r="D119" s="74">
        <v>1.0</v>
      </c>
      <c r="E119" s="46"/>
      <c r="F119" s="47">
        <v>24.99</v>
      </c>
      <c r="G119" s="47">
        <v>0.0</v>
      </c>
      <c r="H119" s="7"/>
      <c r="I119" s="47">
        <v>1.4</v>
      </c>
      <c r="J119" s="140">
        <f t="shared" si="1"/>
        <v>23.59</v>
      </c>
      <c r="K119" s="8"/>
      <c r="L119" s="7"/>
      <c r="M119" s="7"/>
      <c r="N119" s="7"/>
      <c r="O119" s="7"/>
      <c r="P119" s="7" t="s">
        <v>490</v>
      </c>
      <c r="Q119" s="7" t="s">
        <v>1655</v>
      </c>
      <c r="R119" s="65">
        <v>35.0</v>
      </c>
      <c r="S119" s="7" t="s">
        <v>1065</v>
      </c>
      <c r="T119" s="7" t="s">
        <v>525</v>
      </c>
      <c r="U119" s="65">
        <v>3788.0</v>
      </c>
      <c r="V119" s="7"/>
      <c r="W119" s="7"/>
    </row>
    <row r="120">
      <c r="A120" s="45">
        <v>45898.934699074074</v>
      </c>
      <c r="B120" s="7" t="s">
        <v>166</v>
      </c>
      <c r="C120" s="7" t="s">
        <v>2075</v>
      </c>
      <c r="D120" s="74">
        <v>1.0</v>
      </c>
      <c r="E120" s="46"/>
      <c r="F120" s="47">
        <v>24.99</v>
      </c>
      <c r="G120" s="47">
        <v>0.0</v>
      </c>
      <c r="H120" s="7"/>
      <c r="I120" s="47">
        <v>1.4</v>
      </c>
      <c r="J120" s="140">
        <f t="shared" si="1"/>
        <v>23.59</v>
      </c>
      <c r="K120" s="8"/>
      <c r="L120" s="7"/>
      <c r="M120" s="7"/>
      <c r="N120" s="7"/>
      <c r="O120" s="7"/>
      <c r="P120" s="7" t="s">
        <v>490</v>
      </c>
      <c r="Q120" s="7" t="s">
        <v>766</v>
      </c>
      <c r="R120" s="7"/>
      <c r="S120" s="7" t="s">
        <v>767</v>
      </c>
      <c r="T120" s="7" t="s">
        <v>521</v>
      </c>
      <c r="U120" s="65">
        <v>3787.0</v>
      </c>
      <c r="V120" s="7"/>
      <c r="W120" s="7"/>
    </row>
    <row r="121">
      <c r="A121" s="45">
        <v>45898.93037037037</v>
      </c>
      <c r="B121" s="7" t="s">
        <v>977</v>
      </c>
      <c r="C121" s="7" t="s">
        <v>2075</v>
      </c>
      <c r="D121" s="74">
        <v>1.0</v>
      </c>
      <c r="E121" s="46"/>
      <c r="F121" s="47">
        <v>24.99</v>
      </c>
      <c r="G121" s="47">
        <v>0.0</v>
      </c>
      <c r="H121" s="7"/>
      <c r="I121" s="47">
        <v>1.02</v>
      </c>
      <c r="J121" s="140">
        <f t="shared" si="1"/>
        <v>23.97</v>
      </c>
      <c r="K121" s="8"/>
      <c r="L121" s="7"/>
      <c r="M121" s="7"/>
      <c r="N121" s="7"/>
      <c r="O121" s="7"/>
      <c r="P121" s="7" t="s">
        <v>490</v>
      </c>
      <c r="Q121" s="7" t="s">
        <v>978</v>
      </c>
      <c r="R121" s="7" t="s">
        <v>979</v>
      </c>
      <c r="S121" s="7" t="s">
        <v>980</v>
      </c>
      <c r="T121" s="7" t="s">
        <v>493</v>
      </c>
      <c r="U121" s="65">
        <v>3783.0</v>
      </c>
      <c r="V121" s="7"/>
      <c r="W121" s="7"/>
    </row>
    <row r="122">
      <c r="A122" s="45">
        <v>45898.92806712963</v>
      </c>
      <c r="B122" s="7" t="s">
        <v>1798</v>
      </c>
      <c r="C122" s="67" t="s">
        <v>2077</v>
      </c>
      <c r="D122" s="74">
        <v>1.0</v>
      </c>
      <c r="E122" s="74">
        <v>1.0</v>
      </c>
      <c r="F122" s="47">
        <v>124.99</v>
      </c>
      <c r="G122" s="47">
        <v>0.0</v>
      </c>
      <c r="H122" s="7"/>
      <c r="I122" s="47">
        <v>5.8</v>
      </c>
      <c r="J122" s="140">
        <f t="shared" si="1"/>
        <v>119.19</v>
      </c>
      <c r="K122" s="8"/>
      <c r="L122" s="7"/>
      <c r="M122" s="7"/>
      <c r="N122" s="7"/>
      <c r="O122" s="7"/>
      <c r="P122" s="7" t="s">
        <v>490</v>
      </c>
      <c r="Q122" s="7" t="s">
        <v>1799</v>
      </c>
      <c r="R122" s="7"/>
      <c r="S122" s="7"/>
      <c r="T122" s="7" t="s">
        <v>973</v>
      </c>
      <c r="U122" s="65">
        <v>3781.0</v>
      </c>
      <c r="V122" s="7"/>
      <c r="W122" s="7"/>
    </row>
    <row r="123">
      <c r="A123" s="45">
        <v>45898.92710648148</v>
      </c>
      <c r="B123" s="7" t="s">
        <v>335</v>
      </c>
      <c r="C123" s="7" t="s">
        <v>2075</v>
      </c>
      <c r="D123" s="74">
        <v>1.0</v>
      </c>
      <c r="E123" s="46"/>
      <c r="F123" s="47">
        <v>24.99</v>
      </c>
      <c r="G123" s="47">
        <v>0.0</v>
      </c>
      <c r="H123" s="7"/>
      <c r="I123" s="47">
        <v>1.02</v>
      </c>
      <c r="J123" s="140">
        <f t="shared" si="1"/>
        <v>23.97</v>
      </c>
      <c r="K123" s="8"/>
      <c r="L123" s="7"/>
      <c r="M123" s="7"/>
      <c r="N123" s="7"/>
      <c r="O123" s="7"/>
      <c r="P123" s="7" t="s">
        <v>490</v>
      </c>
      <c r="Q123" s="7" t="s">
        <v>1589</v>
      </c>
      <c r="R123" s="7" t="s">
        <v>1590</v>
      </c>
      <c r="S123" s="7" t="s">
        <v>947</v>
      </c>
      <c r="T123" s="7" t="s">
        <v>493</v>
      </c>
      <c r="U123" s="65">
        <v>3782.0</v>
      </c>
      <c r="V123" s="7"/>
      <c r="W123" s="7"/>
    </row>
    <row r="124">
      <c r="A124" s="45">
        <v>45898.915613425925</v>
      </c>
      <c r="B124" s="7" t="s">
        <v>1628</v>
      </c>
      <c r="C124" s="7" t="s">
        <v>2075</v>
      </c>
      <c r="D124" s="74">
        <v>1.0</v>
      </c>
      <c r="E124" s="46"/>
      <c r="F124" s="47">
        <v>24.99</v>
      </c>
      <c r="G124" s="47">
        <v>0.0</v>
      </c>
      <c r="H124" s="7"/>
      <c r="I124" s="47">
        <v>1.4</v>
      </c>
      <c r="J124" s="140">
        <f t="shared" si="1"/>
        <v>23.59</v>
      </c>
      <c r="K124" s="8"/>
      <c r="L124" s="7"/>
      <c r="M124" s="7"/>
      <c r="N124" s="7"/>
      <c r="O124" s="7"/>
      <c r="P124" s="7" t="s">
        <v>490</v>
      </c>
      <c r="Q124" s="7" t="s">
        <v>1629</v>
      </c>
      <c r="R124" s="7" t="s">
        <v>606</v>
      </c>
      <c r="S124" s="7" t="s">
        <v>607</v>
      </c>
      <c r="T124" s="7" t="s">
        <v>542</v>
      </c>
      <c r="U124" s="65">
        <v>3780.0</v>
      </c>
      <c r="V124" s="7"/>
      <c r="W124" s="7"/>
    </row>
    <row r="125">
      <c r="A125" s="45">
        <v>45898.91359953704</v>
      </c>
      <c r="B125" s="7" t="s">
        <v>192</v>
      </c>
      <c r="C125" s="7" t="s">
        <v>2075</v>
      </c>
      <c r="D125" s="74">
        <v>1.0</v>
      </c>
      <c r="E125" s="46"/>
      <c r="F125" s="47">
        <v>24.99</v>
      </c>
      <c r="G125" s="47">
        <v>0.0</v>
      </c>
      <c r="H125" s="7"/>
      <c r="I125" s="47">
        <v>1.4</v>
      </c>
      <c r="J125" s="140">
        <f t="shared" si="1"/>
        <v>23.59</v>
      </c>
      <c r="K125" s="8"/>
      <c r="L125" s="7"/>
      <c r="M125" s="7"/>
      <c r="N125" s="7"/>
      <c r="O125" s="7"/>
      <c r="P125" s="7" t="s">
        <v>490</v>
      </c>
      <c r="Q125" s="7" t="s">
        <v>1364</v>
      </c>
      <c r="R125" s="7"/>
      <c r="S125" s="7" t="s">
        <v>1365</v>
      </c>
      <c r="T125" s="7" t="s">
        <v>525</v>
      </c>
      <c r="U125" s="65">
        <v>3779.0</v>
      </c>
      <c r="V125" s="7"/>
      <c r="W125" s="7"/>
    </row>
    <row r="126">
      <c r="A126" s="45">
        <v>45898.91295138889</v>
      </c>
      <c r="B126" s="7" t="s">
        <v>293</v>
      </c>
      <c r="C126" s="7" t="s">
        <v>2075</v>
      </c>
      <c r="D126" s="74">
        <v>1.0</v>
      </c>
      <c r="E126" s="46"/>
      <c r="F126" s="47">
        <v>24.99</v>
      </c>
      <c r="G126" s="47">
        <v>0.0</v>
      </c>
      <c r="H126" s="7"/>
      <c r="I126" s="47">
        <v>1.4</v>
      </c>
      <c r="J126" s="140">
        <f t="shared" si="1"/>
        <v>23.59</v>
      </c>
      <c r="K126" s="8"/>
      <c r="L126" s="7"/>
      <c r="M126" s="7"/>
      <c r="N126" s="7"/>
      <c r="O126" s="7"/>
      <c r="P126" s="7" t="s">
        <v>490</v>
      </c>
      <c r="Q126" s="7" t="s">
        <v>1579</v>
      </c>
      <c r="R126" s="7" t="s">
        <v>1580</v>
      </c>
      <c r="S126" s="7" t="s">
        <v>2135</v>
      </c>
      <c r="T126" s="7" t="s">
        <v>542</v>
      </c>
      <c r="U126" s="65">
        <v>3778.0</v>
      </c>
      <c r="V126" s="7"/>
      <c r="W126" s="7"/>
    </row>
    <row r="127">
      <c r="A127" s="45">
        <v>45898.91054398148</v>
      </c>
      <c r="B127" s="7" t="s">
        <v>1044</v>
      </c>
      <c r="C127" s="67" t="s">
        <v>2077</v>
      </c>
      <c r="D127" s="74">
        <v>1.0</v>
      </c>
      <c r="E127" s="74">
        <v>1.0</v>
      </c>
      <c r="F127" s="47">
        <v>124.99</v>
      </c>
      <c r="G127" s="47">
        <v>0.0</v>
      </c>
      <c r="H127" s="7"/>
      <c r="I127" s="47">
        <v>5.8</v>
      </c>
      <c r="J127" s="140">
        <f t="shared" si="1"/>
        <v>119.19</v>
      </c>
      <c r="K127" s="8"/>
      <c r="L127" s="7"/>
      <c r="M127" s="7"/>
      <c r="N127" s="7"/>
      <c r="O127" s="7"/>
      <c r="P127" s="7" t="s">
        <v>490</v>
      </c>
      <c r="Q127" s="7" t="s">
        <v>1585</v>
      </c>
      <c r="R127" s="7" t="s">
        <v>2136</v>
      </c>
      <c r="S127" s="7" t="s">
        <v>580</v>
      </c>
      <c r="T127" s="7" t="s">
        <v>581</v>
      </c>
      <c r="U127" s="65">
        <v>3777.0</v>
      </c>
      <c r="V127" s="7"/>
      <c r="W127" s="7"/>
    </row>
    <row r="128">
      <c r="A128" s="45">
        <v>45898.905335648145</v>
      </c>
      <c r="B128" s="7" t="s">
        <v>908</v>
      </c>
      <c r="C128" s="7" t="s">
        <v>2075</v>
      </c>
      <c r="D128" s="74">
        <v>1.0</v>
      </c>
      <c r="E128" s="46"/>
      <c r="F128" s="47">
        <v>24.99</v>
      </c>
      <c r="G128" s="47">
        <v>0.0</v>
      </c>
      <c r="H128" s="7"/>
      <c r="I128" s="47">
        <v>1.4</v>
      </c>
      <c r="J128" s="140">
        <f t="shared" si="1"/>
        <v>23.59</v>
      </c>
      <c r="K128" s="8"/>
      <c r="L128" s="7"/>
      <c r="M128" s="7"/>
      <c r="N128" s="7"/>
      <c r="O128" s="7"/>
      <c r="P128" s="7" t="s">
        <v>490</v>
      </c>
      <c r="Q128" s="7" t="s">
        <v>909</v>
      </c>
      <c r="R128" s="7"/>
      <c r="S128" s="7" t="s">
        <v>910</v>
      </c>
      <c r="T128" s="7" t="s">
        <v>545</v>
      </c>
      <c r="U128" s="65">
        <v>3776.0</v>
      </c>
      <c r="V128" s="7"/>
      <c r="W128" s="7"/>
    </row>
    <row r="129">
      <c r="A129" s="45">
        <v>45898.901875</v>
      </c>
      <c r="B129" s="7" t="s">
        <v>161</v>
      </c>
      <c r="C129" s="7" t="s">
        <v>2075</v>
      </c>
      <c r="D129" s="74">
        <v>1.0</v>
      </c>
      <c r="E129" s="46"/>
      <c r="F129" s="47">
        <v>24.99</v>
      </c>
      <c r="G129" s="47">
        <v>0.0</v>
      </c>
      <c r="H129" s="7"/>
      <c r="I129" s="47">
        <v>1.02</v>
      </c>
      <c r="J129" s="140">
        <f t="shared" si="1"/>
        <v>23.97</v>
      </c>
      <c r="K129" s="8"/>
      <c r="L129" s="7"/>
      <c r="M129" s="7"/>
      <c r="N129" s="7"/>
      <c r="O129" s="7"/>
      <c r="P129" s="7" t="s">
        <v>490</v>
      </c>
      <c r="Q129" s="7" t="s">
        <v>776</v>
      </c>
      <c r="R129" s="7"/>
      <c r="S129" s="7" t="s">
        <v>777</v>
      </c>
      <c r="T129" s="7" t="s">
        <v>493</v>
      </c>
      <c r="U129" s="65">
        <v>3775.0</v>
      </c>
      <c r="V129" s="7"/>
      <c r="W129" s="7"/>
    </row>
    <row r="130">
      <c r="A130" s="45">
        <v>45898.89958333333</v>
      </c>
      <c r="B130" s="7" t="s">
        <v>2137</v>
      </c>
      <c r="C130" s="7" t="s">
        <v>2075</v>
      </c>
      <c r="D130" s="74">
        <v>1.0</v>
      </c>
      <c r="E130" s="46"/>
      <c r="F130" s="47">
        <v>24.99</v>
      </c>
      <c r="G130" s="47">
        <v>0.0</v>
      </c>
      <c r="H130" s="7"/>
      <c r="I130" s="47">
        <v>1.4</v>
      </c>
      <c r="J130" s="140">
        <f t="shared" si="1"/>
        <v>23.59</v>
      </c>
      <c r="K130" s="8"/>
      <c r="L130" s="7"/>
      <c r="M130" s="7"/>
      <c r="N130" s="7"/>
      <c r="O130" s="7"/>
      <c r="P130" s="7" t="s">
        <v>490</v>
      </c>
      <c r="Q130" s="7" t="s">
        <v>553</v>
      </c>
      <c r="R130" s="7"/>
      <c r="S130" s="7" t="s">
        <v>554</v>
      </c>
      <c r="T130" s="7" t="s">
        <v>555</v>
      </c>
      <c r="U130" s="65">
        <v>3774.0</v>
      </c>
      <c r="V130" s="7"/>
      <c r="W130" s="7"/>
    </row>
    <row r="131">
      <c r="A131" s="45">
        <v>45898.89028935185</v>
      </c>
      <c r="B131" s="7" t="s">
        <v>2138</v>
      </c>
      <c r="C131" s="7" t="s">
        <v>2075</v>
      </c>
      <c r="D131" s="74">
        <v>1.0</v>
      </c>
      <c r="E131" s="46"/>
      <c r="F131" s="47">
        <v>34.46</v>
      </c>
      <c r="G131" s="47">
        <v>0.0</v>
      </c>
      <c r="H131" s="7"/>
      <c r="I131" s="47">
        <v>1.3</v>
      </c>
      <c r="J131" s="140">
        <f t="shared" si="1"/>
        <v>33.16</v>
      </c>
      <c r="K131" s="8"/>
      <c r="L131" s="7"/>
      <c r="M131" s="7"/>
      <c r="N131" s="7"/>
      <c r="O131" s="7"/>
      <c r="P131" s="7" t="s">
        <v>490</v>
      </c>
      <c r="Q131" s="7" t="s">
        <v>2139</v>
      </c>
      <c r="R131" s="7"/>
      <c r="S131" s="7" t="s">
        <v>2140</v>
      </c>
      <c r="T131" s="7" t="s">
        <v>493</v>
      </c>
      <c r="U131" s="65">
        <v>3773.0</v>
      </c>
      <c r="V131" s="7"/>
      <c r="W131" s="7"/>
    </row>
    <row r="132">
      <c r="A132" s="45">
        <v>45898.88486111111</v>
      </c>
      <c r="B132" s="7" t="s">
        <v>1267</v>
      </c>
      <c r="C132" s="67" t="s">
        <v>2077</v>
      </c>
      <c r="D132" s="74">
        <v>1.0</v>
      </c>
      <c r="E132" s="74">
        <v>1.0</v>
      </c>
      <c r="F132" s="47">
        <v>132.49</v>
      </c>
      <c r="G132" s="47">
        <v>0.0</v>
      </c>
      <c r="H132" s="7"/>
      <c r="I132" s="47">
        <v>4.14</v>
      </c>
      <c r="J132" s="140">
        <f t="shared" si="1"/>
        <v>128.35</v>
      </c>
      <c r="K132" s="8"/>
      <c r="L132" s="7"/>
      <c r="M132" s="7"/>
      <c r="N132" s="7"/>
      <c r="O132" s="7"/>
      <c r="P132" s="7" t="s">
        <v>490</v>
      </c>
      <c r="Q132" s="7" t="s">
        <v>1268</v>
      </c>
      <c r="R132" s="7"/>
      <c r="S132" s="7" t="s">
        <v>1049</v>
      </c>
      <c r="T132" s="7" t="s">
        <v>493</v>
      </c>
      <c r="U132" s="65">
        <v>3772.0</v>
      </c>
      <c r="V132" s="7"/>
      <c r="W132" s="7"/>
    </row>
    <row r="133">
      <c r="A133" s="45">
        <v>45898.87574074074</v>
      </c>
      <c r="B133" s="7" t="s">
        <v>1721</v>
      </c>
      <c r="C133" s="7" t="s">
        <v>2075</v>
      </c>
      <c r="D133" s="74">
        <v>1.0</v>
      </c>
      <c r="E133" s="46"/>
      <c r="F133" s="47">
        <v>24.99</v>
      </c>
      <c r="G133" s="47">
        <v>0.0</v>
      </c>
      <c r="H133" s="7"/>
      <c r="I133" s="47">
        <v>1.4</v>
      </c>
      <c r="J133" s="140">
        <f t="shared" si="1"/>
        <v>23.59</v>
      </c>
      <c r="K133" s="8"/>
      <c r="L133" s="7"/>
      <c r="M133" s="7"/>
      <c r="N133" s="7"/>
      <c r="O133" s="7"/>
      <c r="P133" s="7" t="s">
        <v>490</v>
      </c>
      <c r="Q133" s="7" t="s">
        <v>1722</v>
      </c>
      <c r="R133" s="7"/>
      <c r="S133" s="7" t="s">
        <v>1723</v>
      </c>
      <c r="T133" s="7" t="s">
        <v>545</v>
      </c>
      <c r="U133" s="65">
        <v>3771.0</v>
      </c>
      <c r="V133" s="7"/>
      <c r="W133" s="7"/>
    </row>
    <row r="134">
      <c r="A134" s="45">
        <v>45898.8746875</v>
      </c>
      <c r="B134" s="7" t="s">
        <v>1750</v>
      </c>
      <c r="C134" s="7" t="s">
        <v>2075</v>
      </c>
      <c r="D134" s="74">
        <v>1.0</v>
      </c>
      <c r="E134" s="46"/>
      <c r="F134" s="47">
        <v>26.8</v>
      </c>
      <c r="G134" s="47">
        <v>0.0</v>
      </c>
      <c r="H134" s="7"/>
      <c r="I134" s="47">
        <v>1.08</v>
      </c>
      <c r="J134" s="140">
        <f t="shared" si="1"/>
        <v>25.72</v>
      </c>
      <c r="K134" s="8"/>
      <c r="L134" s="7"/>
      <c r="M134" s="7"/>
      <c r="N134" s="7"/>
      <c r="O134" s="7"/>
      <c r="P134" s="7" t="s">
        <v>490</v>
      </c>
      <c r="Q134" s="7" t="s">
        <v>2141</v>
      </c>
      <c r="R134" s="7"/>
      <c r="S134" s="7" t="s">
        <v>2142</v>
      </c>
      <c r="T134" s="7" t="s">
        <v>493</v>
      </c>
      <c r="U134" s="65">
        <v>3770.0</v>
      </c>
      <c r="V134" s="7"/>
      <c r="W134" s="7"/>
    </row>
    <row r="135">
      <c r="A135" s="45">
        <v>45898.87162037037</v>
      </c>
      <c r="B135" s="7" t="s">
        <v>2143</v>
      </c>
      <c r="C135" s="7" t="s">
        <v>2075</v>
      </c>
      <c r="D135" s="74">
        <v>1.0</v>
      </c>
      <c r="E135" s="46"/>
      <c r="F135" s="47">
        <v>34.46</v>
      </c>
      <c r="G135" s="47">
        <v>0.0</v>
      </c>
      <c r="H135" s="7"/>
      <c r="I135" s="47">
        <v>1.3</v>
      </c>
      <c r="J135" s="140">
        <f t="shared" si="1"/>
        <v>33.16</v>
      </c>
      <c r="K135" s="8"/>
      <c r="L135" s="7"/>
      <c r="M135" s="7"/>
      <c r="N135" s="7"/>
      <c r="O135" s="7"/>
      <c r="P135" s="7" t="s">
        <v>490</v>
      </c>
      <c r="Q135" s="7" t="s">
        <v>2144</v>
      </c>
      <c r="R135" s="7"/>
      <c r="S135" s="7" t="s">
        <v>2145</v>
      </c>
      <c r="T135" s="7" t="s">
        <v>493</v>
      </c>
      <c r="U135" s="65">
        <v>3769.0</v>
      </c>
      <c r="V135" s="7"/>
      <c r="W135" s="7"/>
    </row>
    <row r="136">
      <c r="A136" s="45">
        <v>45898.86900462963</v>
      </c>
      <c r="B136" s="7" t="s">
        <v>1207</v>
      </c>
      <c r="C136" s="7" t="s">
        <v>2075</v>
      </c>
      <c r="D136" s="74">
        <v>1.0</v>
      </c>
      <c r="E136" s="46"/>
      <c r="F136" s="47">
        <v>24.99</v>
      </c>
      <c r="G136" s="47">
        <v>0.0</v>
      </c>
      <c r="H136" s="7"/>
      <c r="I136" s="47">
        <v>1.02</v>
      </c>
      <c r="J136" s="140">
        <f t="shared" si="1"/>
        <v>23.97</v>
      </c>
      <c r="K136" s="8"/>
      <c r="L136" s="7"/>
      <c r="M136" s="7"/>
      <c r="N136" s="7"/>
      <c r="O136" s="7"/>
      <c r="P136" s="7" t="s">
        <v>490</v>
      </c>
      <c r="Q136" s="7" t="s">
        <v>1208</v>
      </c>
      <c r="R136" s="7"/>
      <c r="S136" s="7" t="s">
        <v>1209</v>
      </c>
      <c r="T136" s="7" t="s">
        <v>493</v>
      </c>
      <c r="U136" s="65">
        <v>3768.0</v>
      </c>
      <c r="V136" s="7"/>
      <c r="W136" s="7"/>
    </row>
    <row r="137">
      <c r="A137" s="45">
        <v>45898.8637962963</v>
      </c>
      <c r="B137" s="7" t="s">
        <v>816</v>
      </c>
      <c r="C137" s="7" t="s">
        <v>2075</v>
      </c>
      <c r="D137" s="74">
        <v>1.0</v>
      </c>
      <c r="E137" s="46"/>
      <c r="F137" s="47">
        <v>24.99</v>
      </c>
      <c r="G137" s="47">
        <v>0.0</v>
      </c>
      <c r="H137" s="7"/>
      <c r="I137" s="47">
        <v>1.02</v>
      </c>
      <c r="J137" s="140">
        <f t="shared" si="1"/>
        <v>23.97</v>
      </c>
      <c r="K137" s="8"/>
      <c r="L137" s="7"/>
      <c r="M137" s="7"/>
      <c r="N137" s="7"/>
      <c r="O137" s="7"/>
      <c r="P137" s="7" t="s">
        <v>490</v>
      </c>
      <c r="Q137" s="7" t="s">
        <v>817</v>
      </c>
      <c r="R137" s="7"/>
      <c r="S137" s="7" t="s">
        <v>2146</v>
      </c>
      <c r="T137" s="7" t="s">
        <v>493</v>
      </c>
      <c r="U137" s="65">
        <v>3767.0</v>
      </c>
      <c r="V137" s="7"/>
      <c r="W137" s="7"/>
    </row>
    <row r="138">
      <c r="A138" s="45">
        <v>45898.856620370374</v>
      </c>
      <c r="B138" s="7" t="s">
        <v>178</v>
      </c>
      <c r="C138" s="7" t="s">
        <v>2075</v>
      </c>
      <c r="D138" s="74">
        <v>1.0</v>
      </c>
      <c r="E138" s="46"/>
      <c r="F138" s="47">
        <v>24.99</v>
      </c>
      <c r="G138" s="47">
        <v>0.0</v>
      </c>
      <c r="H138" s="7"/>
      <c r="I138" s="47">
        <v>1.02</v>
      </c>
      <c r="J138" s="140">
        <f t="shared" si="1"/>
        <v>23.97</v>
      </c>
      <c r="K138" s="8"/>
      <c r="L138" s="7"/>
      <c r="M138" s="7"/>
      <c r="N138" s="7"/>
      <c r="O138" s="7"/>
      <c r="P138" s="7" t="s">
        <v>490</v>
      </c>
      <c r="Q138" s="7" t="s">
        <v>700</v>
      </c>
      <c r="R138" s="7"/>
      <c r="S138" s="7" t="s">
        <v>701</v>
      </c>
      <c r="T138" s="7" t="s">
        <v>493</v>
      </c>
      <c r="U138" s="65">
        <v>3766.0</v>
      </c>
      <c r="V138" s="7"/>
      <c r="W138" s="7"/>
    </row>
    <row r="139">
      <c r="A139" s="45">
        <v>45898.85607638889</v>
      </c>
      <c r="B139" s="7" t="s">
        <v>236</v>
      </c>
      <c r="C139" s="67" t="s">
        <v>2077</v>
      </c>
      <c r="D139" s="74">
        <v>1.0</v>
      </c>
      <c r="E139" s="74">
        <v>1.0</v>
      </c>
      <c r="F139" s="47">
        <v>124.99</v>
      </c>
      <c r="G139" s="47">
        <v>0.0</v>
      </c>
      <c r="H139" s="7"/>
      <c r="I139" s="47">
        <v>3.92</v>
      </c>
      <c r="J139" s="140">
        <f t="shared" si="1"/>
        <v>121.07</v>
      </c>
      <c r="K139" s="8"/>
      <c r="L139" s="7"/>
      <c r="M139" s="7"/>
      <c r="N139" s="7"/>
      <c r="O139" s="7"/>
      <c r="P139" s="7" t="s">
        <v>490</v>
      </c>
      <c r="Q139" s="7" t="s">
        <v>1635</v>
      </c>
      <c r="R139" s="7"/>
      <c r="S139" s="7" t="s">
        <v>1636</v>
      </c>
      <c r="T139" s="7" t="s">
        <v>493</v>
      </c>
      <c r="U139" s="65">
        <v>3765.0</v>
      </c>
      <c r="V139" s="7"/>
      <c r="W139" s="7"/>
    </row>
    <row r="140">
      <c r="A140" s="45">
        <v>45898.85254629629</v>
      </c>
      <c r="B140" s="7" t="s">
        <v>1549</v>
      </c>
      <c r="C140" s="7" t="s">
        <v>2075</v>
      </c>
      <c r="D140" s="74">
        <v>1.0</v>
      </c>
      <c r="E140" s="46"/>
      <c r="F140" s="47">
        <v>24.99</v>
      </c>
      <c r="G140" s="47">
        <v>0.0</v>
      </c>
      <c r="H140" s="7"/>
      <c r="I140" s="47">
        <v>1.4</v>
      </c>
      <c r="J140" s="140">
        <f t="shared" si="1"/>
        <v>23.59</v>
      </c>
      <c r="K140" s="8"/>
      <c r="L140" s="7"/>
      <c r="M140" s="7"/>
      <c r="N140" s="7"/>
      <c r="O140" s="7"/>
      <c r="P140" s="7" t="s">
        <v>490</v>
      </c>
      <c r="Q140" s="7" t="s">
        <v>1550</v>
      </c>
      <c r="R140" s="7"/>
      <c r="S140" s="7" t="s">
        <v>1551</v>
      </c>
      <c r="T140" s="7" t="s">
        <v>939</v>
      </c>
      <c r="U140" s="65">
        <v>3763.0</v>
      </c>
      <c r="V140" s="7"/>
      <c r="W140" s="7"/>
    </row>
    <row r="141">
      <c r="A141" s="45">
        <v>45898.85052083333</v>
      </c>
      <c r="B141" s="7" t="s">
        <v>1250</v>
      </c>
      <c r="C141" s="7" t="s">
        <v>2075</v>
      </c>
      <c r="D141" s="74">
        <v>1.0</v>
      </c>
      <c r="E141" s="46"/>
      <c r="F141" s="47">
        <v>24.99</v>
      </c>
      <c r="G141" s="47">
        <v>0.0</v>
      </c>
      <c r="H141" s="7"/>
      <c r="I141" s="47">
        <v>1.4</v>
      </c>
      <c r="J141" s="140">
        <f t="shared" si="1"/>
        <v>23.59</v>
      </c>
      <c r="K141" s="8"/>
      <c r="L141" s="7"/>
      <c r="M141" s="7"/>
      <c r="N141" s="7"/>
      <c r="O141" s="7"/>
      <c r="P141" s="7" t="s">
        <v>490</v>
      </c>
      <c r="Q141" s="7" t="s">
        <v>1622</v>
      </c>
      <c r="R141" s="7"/>
      <c r="S141" s="7" t="s">
        <v>1252</v>
      </c>
      <c r="T141" s="7" t="s">
        <v>525</v>
      </c>
      <c r="U141" s="65">
        <v>3762.0</v>
      </c>
      <c r="V141" s="7"/>
      <c r="W141" s="7"/>
    </row>
    <row r="142">
      <c r="A142" s="45">
        <v>45898.84042824074</v>
      </c>
      <c r="B142" s="7" t="s">
        <v>133</v>
      </c>
      <c r="C142" s="7" t="s">
        <v>2075</v>
      </c>
      <c r="D142" s="74">
        <v>1.0</v>
      </c>
      <c r="E142" s="46"/>
      <c r="F142" s="47">
        <v>24.99</v>
      </c>
      <c r="G142" s="47">
        <v>0.0</v>
      </c>
      <c r="H142" s="7"/>
      <c r="I142" s="47">
        <v>1.02</v>
      </c>
      <c r="J142" s="140">
        <f t="shared" si="1"/>
        <v>23.97</v>
      </c>
      <c r="K142" s="8"/>
      <c r="L142" s="7"/>
      <c r="M142" s="7"/>
      <c r="N142" s="7"/>
      <c r="O142" s="7"/>
      <c r="P142" s="7" t="s">
        <v>490</v>
      </c>
      <c r="Q142" s="7" t="s">
        <v>843</v>
      </c>
      <c r="R142" s="7"/>
      <c r="S142" s="7" t="s">
        <v>844</v>
      </c>
      <c r="T142" s="7" t="s">
        <v>493</v>
      </c>
      <c r="U142" s="65">
        <v>3761.0</v>
      </c>
      <c r="V142" s="7"/>
      <c r="W142" s="7"/>
    </row>
    <row r="143">
      <c r="A143" s="45">
        <v>45898.83777777778</v>
      </c>
      <c r="B143" s="7" t="s">
        <v>1222</v>
      </c>
      <c r="C143" s="7" t="s">
        <v>2075</v>
      </c>
      <c r="D143" s="74">
        <v>1.0</v>
      </c>
      <c r="E143" s="46"/>
      <c r="F143" s="47">
        <v>24.99</v>
      </c>
      <c r="G143" s="47">
        <v>0.0</v>
      </c>
      <c r="H143" s="7"/>
      <c r="I143" s="47">
        <v>1.4</v>
      </c>
      <c r="J143" s="140">
        <f t="shared" si="1"/>
        <v>23.59</v>
      </c>
      <c r="K143" s="8"/>
      <c r="L143" s="7"/>
      <c r="M143" s="7"/>
      <c r="N143" s="7"/>
      <c r="O143" s="7"/>
      <c r="P143" s="7" t="s">
        <v>490</v>
      </c>
      <c r="Q143" s="7" t="s">
        <v>1223</v>
      </c>
      <c r="R143" s="7"/>
      <c r="S143" s="7" t="s">
        <v>1224</v>
      </c>
      <c r="T143" s="7" t="s">
        <v>823</v>
      </c>
      <c r="U143" s="65">
        <v>3760.0</v>
      </c>
      <c r="V143" s="7"/>
      <c r="W143" s="7"/>
    </row>
    <row r="144">
      <c r="A144" s="45">
        <v>45898.83122685185</v>
      </c>
      <c r="B144" s="7" t="s">
        <v>2147</v>
      </c>
      <c r="C144" s="7" t="s">
        <v>2075</v>
      </c>
      <c r="D144" s="74">
        <v>1.0</v>
      </c>
      <c r="E144" s="46"/>
      <c r="F144" s="47">
        <v>24.99</v>
      </c>
      <c r="G144" s="47">
        <v>0.0</v>
      </c>
      <c r="H144" s="7"/>
      <c r="I144" s="47">
        <v>1.02</v>
      </c>
      <c r="J144" s="140">
        <f t="shared" si="1"/>
        <v>23.97</v>
      </c>
      <c r="K144" s="8"/>
      <c r="L144" s="7"/>
      <c r="M144" s="7"/>
      <c r="N144" s="7"/>
      <c r="O144" s="7"/>
      <c r="P144" s="7" t="s">
        <v>490</v>
      </c>
      <c r="Q144" s="7" t="s">
        <v>1517</v>
      </c>
      <c r="R144" s="7" t="s">
        <v>1518</v>
      </c>
      <c r="S144" s="7" t="s">
        <v>1519</v>
      </c>
      <c r="T144" s="7" t="s">
        <v>493</v>
      </c>
      <c r="U144" s="65">
        <v>3756.0</v>
      </c>
      <c r="V144" s="7"/>
      <c r="W144" s="7"/>
    </row>
    <row r="145">
      <c r="A145" s="45">
        <v>45898.829930555556</v>
      </c>
      <c r="B145" s="7" t="s">
        <v>244</v>
      </c>
      <c r="C145" s="67" t="s">
        <v>2077</v>
      </c>
      <c r="D145" s="74">
        <v>1.0</v>
      </c>
      <c r="E145" s="74">
        <v>1.0</v>
      </c>
      <c r="F145" s="47">
        <v>138.23</v>
      </c>
      <c r="G145" s="47">
        <v>0.0</v>
      </c>
      <c r="H145" s="7"/>
      <c r="I145" s="47">
        <v>4.31</v>
      </c>
      <c r="J145" s="140">
        <f t="shared" si="1"/>
        <v>133.92</v>
      </c>
      <c r="K145" s="8"/>
      <c r="L145" s="7"/>
      <c r="M145" s="7"/>
      <c r="N145" s="7"/>
      <c r="O145" s="7"/>
      <c r="P145" s="7" t="s">
        <v>490</v>
      </c>
      <c r="Q145" s="7" t="s">
        <v>2148</v>
      </c>
      <c r="R145" s="7"/>
      <c r="S145" s="7" t="s">
        <v>1152</v>
      </c>
      <c r="T145" s="7" t="s">
        <v>493</v>
      </c>
      <c r="U145" s="65">
        <v>3758.0</v>
      </c>
      <c r="V145" s="7"/>
      <c r="W145" s="7"/>
    </row>
    <row r="146">
      <c r="A146" s="45">
        <v>45898.82913194445</v>
      </c>
      <c r="B146" s="7" t="s">
        <v>1327</v>
      </c>
      <c r="C146" s="7" t="s">
        <v>2075</v>
      </c>
      <c r="D146" s="74">
        <v>1.0</v>
      </c>
      <c r="E146" s="46"/>
      <c r="F146" s="47">
        <v>24.99</v>
      </c>
      <c r="G146" s="47">
        <v>0.0</v>
      </c>
      <c r="H146" s="7"/>
      <c r="I146" s="47">
        <v>1.4</v>
      </c>
      <c r="J146" s="140">
        <f t="shared" si="1"/>
        <v>23.59</v>
      </c>
      <c r="K146" s="8"/>
      <c r="L146" s="7"/>
      <c r="M146" s="7"/>
      <c r="N146" s="7"/>
      <c r="O146" s="7"/>
      <c r="P146" s="7" t="s">
        <v>490</v>
      </c>
      <c r="Q146" s="7" t="s">
        <v>1328</v>
      </c>
      <c r="R146" s="7"/>
      <c r="S146" s="7" t="s">
        <v>1330</v>
      </c>
      <c r="T146" s="7" t="s">
        <v>555</v>
      </c>
      <c r="U146" s="65">
        <v>3757.0</v>
      </c>
      <c r="V146" s="7"/>
      <c r="W146" s="7"/>
    </row>
    <row r="147">
      <c r="A147" s="45">
        <v>45898.82638888889</v>
      </c>
      <c r="B147" s="7" t="s">
        <v>2056</v>
      </c>
      <c r="C147" s="7" t="s">
        <v>2075</v>
      </c>
      <c r="D147" s="74">
        <v>1.0</v>
      </c>
      <c r="E147" s="46"/>
      <c r="F147" s="47">
        <v>26.49</v>
      </c>
      <c r="G147" s="47">
        <v>0.0</v>
      </c>
      <c r="H147" s="7"/>
      <c r="I147" s="47">
        <v>1.07</v>
      </c>
      <c r="J147" s="140">
        <f t="shared" si="1"/>
        <v>25.42</v>
      </c>
      <c r="K147" s="8"/>
      <c r="L147" s="7"/>
      <c r="M147" s="7"/>
      <c r="N147" s="7"/>
      <c r="O147" s="7"/>
      <c r="P147" s="7" t="s">
        <v>490</v>
      </c>
      <c r="Q147" s="7" t="s">
        <v>1404</v>
      </c>
      <c r="R147" s="7"/>
      <c r="S147" s="7" t="s">
        <v>1405</v>
      </c>
      <c r="T147" s="7" t="s">
        <v>493</v>
      </c>
      <c r="U147" s="65">
        <v>3755.0</v>
      </c>
      <c r="V147" s="7"/>
      <c r="W147" s="7"/>
    </row>
    <row r="148">
      <c r="A148" s="45">
        <v>45898.82340277778</v>
      </c>
      <c r="B148" s="7" t="s">
        <v>140</v>
      </c>
      <c r="C148" s="7" t="s">
        <v>2075</v>
      </c>
      <c r="D148" s="74">
        <v>1.0</v>
      </c>
      <c r="E148" s="46"/>
      <c r="F148" s="47">
        <v>24.99</v>
      </c>
      <c r="G148" s="47">
        <v>0.0</v>
      </c>
      <c r="H148" s="7"/>
      <c r="I148" s="47">
        <v>1.02</v>
      </c>
      <c r="J148" s="140">
        <f t="shared" si="1"/>
        <v>23.97</v>
      </c>
      <c r="K148" s="8"/>
      <c r="L148" s="7"/>
      <c r="M148" s="7"/>
      <c r="N148" s="7"/>
      <c r="O148" s="7"/>
      <c r="P148" s="7" t="s">
        <v>490</v>
      </c>
      <c r="Q148" s="7" t="s">
        <v>1006</v>
      </c>
      <c r="R148" s="7"/>
      <c r="S148" s="7" t="s">
        <v>1007</v>
      </c>
      <c r="T148" s="7" t="s">
        <v>493</v>
      </c>
      <c r="U148" s="65">
        <v>3754.0</v>
      </c>
      <c r="V148" s="7"/>
      <c r="W148" s="7"/>
    </row>
    <row r="149">
      <c r="A149" s="45">
        <v>45898.82209490741</v>
      </c>
      <c r="B149" s="7" t="s">
        <v>1394</v>
      </c>
      <c r="C149" s="67" t="s">
        <v>2077</v>
      </c>
      <c r="D149" s="74">
        <v>1.0</v>
      </c>
      <c r="E149" s="74">
        <v>1.0</v>
      </c>
      <c r="F149" s="47">
        <v>124.99</v>
      </c>
      <c r="G149" s="47">
        <v>0.0</v>
      </c>
      <c r="H149" s="7"/>
      <c r="I149" s="47">
        <v>5.8</v>
      </c>
      <c r="J149" s="140">
        <f t="shared" si="1"/>
        <v>119.19</v>
      </c>
      <c r="K149" s="8"/>
      <c r="L149" s="7"/>
      <c r="M149" s="7"/>
      <c r="N149" s="7"/>
      <c r="O149" s="7"/>
      <c r="P149" s="7" t="s">
        <v>490</v>
      </c>
      <c r="Q149" s="7" t="s">
        <v>1395</v>
      </c>
      <c r="R149" s="7"/>
      <c r="S149" s="7" t="s">
        <v>1396</v>
      </c>
      <c r="T149" s="7" t="s">
        <v>542</v>
      </c>
      <c r="U149" s="65">
        <v>3753.0</v>
      </c>
      <c r="V149" s="7"/>
      <c r="W149" s="7"/>
    </row>
    <row r="150">
      <c r="A150" s="45">
        <v>45898.80189814815</v>
      </c>
      <c r="B150" s="7" t="s">
        <v>2149</v>
      </c>
      <c r="C150" s="67" t="s">
        <v>2077</v>
      </c>
      <c r="D150" s="74">
        <v>1.0</v>
      </c>
      <c r="E150" s="74">
        <v>1.0</v>
      </c>
      <c r="F150" s="47">
        <v>124.99</v>
      </c>
      <c r="G150" s="47">
        <v>0.0</v>
      </c>
      <c r="H150" s="7"/>
      <c r="I150" s="47">
        <v>5.8</v>
      </c>
      <c r="J150" s="140">
        <f t="shared" si="1"/>
        <v>119.19</v>
      </c>
      <c r="K150" s="8"/>
      <c r="L150" s="7"/>
      <c r="M150" s="7"/>
      <c r="N150" s="7"/>
      <c r="O150" s="7"/>
      <c r="P150" s="7" t="s">
        <v>490</v>
      </c>
      <c r="Q150" s="7" t="s">
        <v>1276</v>
      </c>
      <c r="R150" s="65">
        <v>2511.0</v>
      </c>
      <c r="S150" s="7" t="s">
        <v>1277</v>
      </c>
      <c r="T150" s="7" t="s">
        <v>51</v>
      </c>
      <c r="U150" s="65">
        <v>3747.0</v>
      </c>
      <c r="V150" s="7"/>
      <c r="W150" s="7"/>
    </row>
    <row r="151">
      <c r="A151" s="45">
        <v>45898.80027777778</v>
      </c>
      <c r="B151" s="7" t="s">
        <v>717</v>
      </c>
      <c r="C151" s="7" t="s">
        <v>2075</v>
      </c>
      <c r="D151" s="74">
        <v>1.0</v>
      </c>
      <c r="E151" s="46"/>
      <c r="F151" s="47">
        <v>24.99</v>
      </c>
      <c r="G151" s="47">
        <v>0.0</v>
      </c>
      <c r="H151" s="7"/>
      <c r="I151" s="47">
        <v>1.02</v>
      </c>
      <c r="J151" s="140">
        <f t="shared" si="1"/>
        <v>23.97</v>
      </c>
      <c r="K151" s="8"/>
      <c r="L151" s="7"/>
      <c r="M151" s="7"/>
      <c r="N151" s="7"/>
      <c r="O151" s="7"/>
      <c r="P151" s="7" t="s">
        <v>490</v>
      </c>
      <c r="Q151" s="7" t="s">
        <v>718</v>
      </c>
      <c r="R151" s="7"/>
      <c r="S151" s="7" t="s">
        <v>719</v>
      </c>
      <c r="T151" s="7" t="s">
        <v>493</v>
      </c>
      <c r="U151" s="65">
        <v>3748.0</v>
      </c>
      <c r="V151" s="7"/>
      <c r="W151" s="7"/>
    </row>
    <row r="152">
      <c r="A152" s="45">
        <v>45898.799675925926</v>
      </c>
      <c r="B152" s="7" t="s">
        <v>279</v>
      </c>
      <c r="C152" s="7" t="s">
        <v>2075</v>
      </c>
      <c r="D152" s="74">
        <v>1.0</v>
      </c>
      <c r="E152" s="46"/>
      <c r="F152" s="47">
        <v>24.99</v>
      </c>
      <c r="G152" s="47">
        <v>0.0</v>
      </c>
      <c r="H152" s="7"/>
      <c r="I152" s="47">
        <v>1.02</v>
      </c>
      <c r="J152" s="140">
        <f t="shared" si="1"/>
        <v>23.97</v>
      </c>
      <c r="K152" s="8"/>
      <c r="L152" s="7"/>
      <c r="M152" s="7"/>
      <c r="N152" s="7"/>
      <c r="O152" s="7"/>
      <c r="P152" s="7" t="s">
        <v>490</v>
      </c>
      <c r="Q152" s="7"/>
      <c r="R152" s="7"/>
      <c r="S152" s="7"/>
      <c r="T152" s="7" t="s">
        <v>493</v>
      </c>
      <c r="U152" s="65">
        <v>3746.0</v>
      </c>
      <c r="V152" s="7"/>
      <c r="W152" s="7"/>
    </row>
    <row r="153">
      <c r="A153" s="45">
        <v>45898.79857638889</v>
      </c>
      <c r="B153" s="7" t="s">
        <v>804</v>
      </c>
      <c r="C153" s="7" t="s">
        <v>2075</v>
      </c>
      <c r="D153" s="74">
        <v>1.0</v>
      </c>
      <c r="E153" s="46"/>
      <c r="F153" s="47">
        <v>24.99</v>
      </c>
      <c r="G153" s="47">
        <v>0.0</v>
      </c>
      <c r="H153" s="7"/>
      <c r="I153" s="47">
        <v>1.02</v>
      </c>
      <c r="J153" s="140">
        <f t="shared" si="1"/>
        <v>23.97</v>
      </c>
      <c r="K153" s="8"/>
      <c r="L153" s="7"/>
      <c r="M153" s="7"/>
      <c r="N153" s="7"/>
      <c r="O153" s="7"/>
      <c r="P153" s="7" t="s">
        <v>490</v>
      </c>
      <c r="Q153" s="7" t="s">
        <v>805</v>
      </c>
      <c r="R153" s="7"/>
      <c r="S153" s="7" t="s">
        <v>806</v>
      </c>
      <c r="T153" s="7" t="s">
        <v>493</v>
      </c>
      <c r="U153" s="65">
        <v>3745.0</v>
      </c>
      <c r="V153" s="7"/>
      <c r="W153" s="7"/>
    </row>
    <row r="154">
      <c r="A154" s="45">
        <v>45898.79783564815</v>
      </c>
      <c r="B154" s="7" t="s">
        <v>110</v>
      </c>
      <c r="C154" s="7" t="s">
        <v>2075</v>
      </c>
      <c r="D154" s="74">
        <v>1.0</v>
      </c>
      <c r="E154" s="46"/>
      <c r="F154" s="47">
        <v>24.99</v>
      </c>
      <c r="G154" s="47">
        <v>0.0</v>
      </c>
      <c r="H154" s="7"/>
      <c r="I154" s="47">
        <v>1.4</v>
      </c>
      <c r="J154" s="140">
        <f t="shared" si="1"/>
        <v>23.59</v>
      </c>
      <c r="K154" s="8"/>
      <c r="L154" s="7"/>
      <c r="M154" s="7"/>
      <c r="N154" s="7"/>
      <c r="O154" s="7"/>
      <c r="P154" s="7" t="s">
        <v>490</v>
      </c>
      <c r="Q154" s="7" t="s">
        <v>1143</v>
      </c>
      <c r="R154" s="65">
        <v>36.0</v>
      </c>
      <c r="S154" s="7" t="s">
        <v>1144</v>
      </c>
      <c r="T154" s="7" t="s">
        <v>966</v>
      </c>
      <c r="U154" s="65">
        <v>3744.0</v>
      </c>
      <c r="V154" s="7"/>
      <c r="W154" s="7"/>
    </row>
    <row r="155">
      <c r="A155" s="45">
        <v>45898.7915625</v>
      </c>
      <c r="B155" s="7" t="s">
        <v>2150</v>
      </c>
      <c r="C155" s="67" t="s">
        <v>2077</v>
      </c>
      <c r="D155" s="74">
        <v>1.0</v>
      </c>
      <c r="E155" s="74">
        <v>1.0</v>
      </c>
      <c r="F155" s="47">
        <v>134.46</v>
      </c>
      <c r="G155" s="47">
        <v>0.0</v>
      </c>
      <c r="H155" s="7"/>
      <c r="I155" s="47">
        <v>4.2</v>
      </c>
      <c r="J155" s="140">
        <f t="shared" si="1"/>
        <v>130.26</v>
      </c>
      <c r="K155" s="8"/>
      <c r="L155" s="7"/>
      <c r="M155" s="7"/>
      <c r="N155" s="7"/>
      <c r="O155" s="7"/>
      <c r="P155" s="7" t="s">
        <v>490</v>
      </c>
      <c r="Q155" s="7" t="s">
        <v>2151</v>
      </c>
      <c r="R155" s="7"/>
      <c r="S155" s="7" t="s">
        <v>2152</v>
      </c>
      <c r="T155" s="7" t="s">
        <v>493</v>
      </c>
      <c r="U155" s="65">
        <v>3743.0</v>
      </c>
      <c r="V155" s="7"/>
      <c r="W155" s="7"/>
    </row>
    <row r="156">
      <c r="A156" s="45">
        <v>45898.784155092595</v>
      </c>
      <c r="B156" s="7" t="s">
        <v>208</v>
      </c>
      <c r="C156" s="7" t="s">
        <v>2075</v>
      </c>
      <c r="D156" s="74">
        <v>1.0</v>
      </c>
      <c r="E156" s="46"/>
      <c r="F156" s="47">
        <v>24.99</v>
      </c>
      <c r="G156" s="47">
        <v>0.0</v>
      </c>
      <c r="H156" s="7"/>
      <c r="I156" s="47">
        <v>1.02</v>
      </c>
      <c r="J156" s="140">
        <f t="shared" si="1"/>
        <v>23.97</v>
      </c>
      <c r="K156" s="8"/>
      <c r="L156" s="7"/>
      <c r="M156" s="7"/>
      <c r="N156" s="7"/>
      <c r="O156" s="7"/>
      <c r="P156" s="7" t="s">
        <v>490</v>
      </c>
      <c r="Q156" s="7" t="s">
        <v>2153</v>
      </c>
      <c r="R156" s="7"/>
      <c r="S156" s="7" t="s">
        <v>2154</v>
      </c>
      <c r="T156" s="7" t="s">
        <v>493</v>
      </c>
      <c r="U156" s="65">
        <v>3741.0</v>
      </c>
      <c r="V156" s="7"/>
      <c r="W156" s="7"/>
    </row>
    <row r="157">
      <c r="A157" s="45">
        <v>45898.78372685185</v>
      </c>
      <c r="B157" s="7" t="s">
        <v>831</v>
      </c>
      <c r="C157" s="7" t="s">
        <v>2075</v>
      </c>
      <c r="D157" s="74">
        <v>1.0</v>
      </c>
      <c r="E157" s="46"/>
      <c r="F157" s="47">
        <v>24.99</v>
      </c>
      <c r="G157" s="47">
        <v>0.0</v>
      </c>
      <c r="H157" s="7"/>
      <c r="I157" s="47">
        <v>1.02</v>
      </c>
      <c r="J157" s="140">
        <f t="shared" si="1"/>
        <v>23.97</v>
      </c>
      <c r="K157" s="8"/>
      <c r="L157" s="7"/>
      <c r="M157" s="7"/>
      <c r="N157" s="7"/>
      <c r="O157" s="7"/>
      <c r="P157" s="7" t="s">
        <v>490</v>
      </c>
      <c r="Q157" s="7" t="s">
        <v>832</v>
      </c>
      <c r="R157" s="7" t="s">
        <v>2155</v>
      </c>
      <c r="S157" s="7" t="s">
        <v>834</v>
      </c>
      <c r="T157" s="7" t="s">
        <v>493</v>
      </c>
      <c r="U157" s="65">
        <v>3742.0</v>
      </c>
      <c r="V157" s="7"/>
      <c r="W157" s="7"/>
    </row>
    <row r="158">
      <c r="A158" s="45">
        <v>45898.77743055556</v>
      </c>
      <c r="B158" s="7" t="s">
        <v>150</v>
      </c>
      <c r="C158" s="7" t="s">
        <v>2075</v>
      </c>
      <c r="D158" s="74">
        <v>1.0</v>
      </c>
      <c r="E158" s="46"/>
      <c r="F158" s="47">
        <v>24.99</v>
      </c>
      <c r="G158" s="47">
        <v>0.0</v>
      </c>
      <c r="H158" s="7"/>
      <c r="I158" s="47">
        <v>1.02</v>
      </c>
      <c r="J158" s="140">
        <f t="shared" si="1"/>
        <v>23.97</v>
      </c>
      <c r="K158" s="8"/>
      <c r="L158" s="7"/>
      <c r="M158" s="7"/>
      <c r="N158" s="7"/>
      <c r="O158" s="7"/>
      <c r="P158" s="7" t="s">
        <v>490</v>
      </c>
      <c r="Q158" s="7" t="s">
        <v>768</v>
      </c>
      <c r="R158" s="7"/>
      <c r="S158" s="7" t="s">
        <v>769</v>
      </c>
      <c r="T158" s="7" t="s">
        <v>493</v>
      </c>
      <c r="U158" s="65">
        <v>3740.0</v>
      </c>
      <c r="V158" s="7"/>
      <c r="W158" s="7"/>
    </row>
    <row r="159">
      <c r="A159" s="45">
        <v>45898.77670138889</v>
      </c>
      <c r="B159" s="7" t="s">
        <v>2048</v>
      </c>
      <c r="C159" s="67" t="s">
        <v>2077</v>
      </c>
      <c r="D159" s="74">
        <v>1.0</v>
      </c>
      <c r="E159" s="74">
        <v>1.0</v>
      </c>
      <c r="F159" s="47">
        <v>177.97</v>
      </c>
      <c r="G159" s="47">
        <v>0.0</v>
      </c>
      <c r="H159" s="7"/>
      <c r="I159" s="47">
        <v>8.13</v>
      </c>
      <c r="J159" s="140">
        <f t="shared" si="1"/>
        <v>169.84</v>
      </c>
      <c r="K159" s="8"/>
      <c r="L159" s="7"/>
      <c r="M159" s="7"/>
      <c r="N159" s="7"/>
      <c r="O159" s="7"/>
      <c r="P159" s="7" t="s">
        <v>490</v>
      </c>
      <c r="Q159" s="7" t="s">
        <v>1806</v>
      </c>
      <c r="R159" s="7" t="s">
        <v>2156</v>
      </c>
      <c r="S159" s="7" t="s">
        <v>875</v>
      </c>
      <c r="T159" s="7" t="s">
        <v>555</v>
      </c>
      <c r="U159" s="65">
        <v>3736.0</v>
      </c>
      <c r="V159" s="7"/>
      <c r="W159" s="7"/>
    </row>
    <row r="160">
      <c r="A160" s="45">
        <v>45898.776550925926</v>
      </c>
      <c r="B160" s="7" t="s">
        <v>348</v>
      </c>
      <c r="C160" s="7" t="s">
        <v>2075</v>
      </c>
      <c r="D160" s="74">
        <v>1.0</v>
      </c>
      <c r="E160" s="46"/>
      <c r="F160" s="47">
        <v>34.46</v>
      </c>
      <c r="G160" s="47">
        <v>0.0</v>
      </c>
      <c r="H160" s="7"/>
      <c r="I160" s="47">
        <v>1.3</v>
      </c>
      <c r="J160" s="140">
        <f t="shared" si="1"/>
        <v>33.16</v>
      </c>
      <c r="K160" s="8"/>
      <c r="L160" s="7"/>
      <c r="M160" s="7"/>
      <c r="N160" s="7"/>
      <c r="O160" s="7"/>
      <c r="P160" s="7" t="s">
        <v>490</v>
      </c>
      <c r="Q160" s="7" t="s">
        <v>2157</v>
      </c>
      <c r="R160" s="7"/>
      <c r="S160" s="7" t="s">
        <v>1147</v>
      </c>
      <c r="T160" s="7" t="s">
        <v>493</v>
      </c>
      <c r="U160" s="65">
        <v>3739.0</v>
      </c>
      <c r="V160" s="7"/>
      <c r="W160" s="7"/>
    </row>
    <row r="161">
      <c r="A161" s="45">
        <v>45898.775300925925</v>
      </c>
      <c r="B161" s="7" t="s">
        <v>1784</v>
      </c>
      <c r="C161" s="7" t="s">
        <v>2075</v>
      </c>
      <c r="D161" s="74">
        <v>1.0</v>
      </c>
      <c r="E161" s="46"/>
      <c r="F161" s="47">
        <v>27.43</v>
      </c>
      <c r="G161" s="47">
        <v>0.0</v>
      </c>
      <c r="H161" s="7"/>
      <c r="I161" s="47">
        <v>1.1</v>
      </c>
      <c r="J161" s="140">
        <f t="shared" si="1"/>
        <v>26.33</v>
      </c>
      <c r="K161" s="8"/>
      <c r="L161" s="7"/>
      <c r="M161" s="7"/>
      <c r="N161" s="7"/>
      <c r="O161" s="7"/>
      <c r="P161" s="7" t="s">
        <v>490</v>
      </c>
      <c r="Q161" s="7" t="s">
        <v>1785</v>
      </c>
      <c r="R161" s="7" t="s">
        <v>1786</v>
      </c>
      <c r="S161" s="7" t="s">
        <v>1787</v>
      </c>
      <c r="T161" s="7" t="s">
        <v>493</v>
      </c>
      <c r="U161" s="65">
        <v>3737.0</v>
      </c>
      <c r="V161" s="7"/>
      <c r="W161" s="7"/>
    </row>
    <row r="162">
      <c r="A162" s="45">
        <v>45898.77452546296</v>
      </c>
      <c r="B162" s="7" t="s">
        <v>462</v>
      </c>
      <c r="C162" s="7" t="s">
        <v>2075</v>
      </c>
      <c r="D162" s="74">
        <v>1.0</v>
      </c>
      <c r="E162" s="46"/>
      <c r="F162" s="47">
        <v>26.93</v>
      </c>
      <c r="G162" s="47">
        <v>0.0</v>
      </c>
      <c r="H162" s="7"/>
      <c r="I162" s="47">
        <v>1.08</v>
      </c>
      <c r="J162" s="140">
        <f t="shared" si="1"/>
        <v>25.85</v>
      </c>
      <c r="K162" s="8"/>
      <c r="L162" s="7"/>
      <c r="M162" s="7"/>
      <c r="N162" s="7"/>
      <c r="O162" s="7"/>
      <c r="P162" s="7" t="s">
        <v>490</v>
      </c>
      <c r="Q162" s="7" t="s">
        <v>1392</v>
      </c>
      <c r="R162" s="7"/>
      <c r="S162" s="7" t="s">
        <v>1393</v>
      </c>
      <c r="T162" s="7" t="s">
        <v>493</v>
      </c>
      <c r="U162" s="65">
        <v>3738.0</v>
      </c>
      <c r="V162" s="7"/>
      <c r="W162" s="7"/>
    </row>
    <row r="163">
      <c r="A163" s="45">
        <v>45898.76836805556</v>
      </c>
      <c r="B163" s="7" t="s">
        <v>502</v>
      </c>
      <c r="C163" s="67" t="s">
        <v>2077</v>
      </c>
      <c r="D163" s="74">
        <v>1.0</v>
      </c>
      <c r="E163" s="74">
        <v>1.0</v>
      </c>
      <c r="F163" s="47">
        <v>124.99</v>
      </c>
      <c r="G163" s="47">
        <v>0.0</v>
      </c>
      <c r="H163" s="7"/>
      <c r="I163" s="47">
        <v>3.92</v>
      </c>
      <c r="J163" s="140">
        <f t="shared" si="1"/>
        <v>121.07</v>
      </c>
      <c r="K163" s="8"/>
      <c r="L163" s="7"/>
      <c r="M163" s="7"/>
      <c r="N163" s="7"/>
      <c r="O163" s="7"/>
      <c r="P163" s="7" t="s">
        <v>490</v>
      </c>
      <c r="Q163" s="7" t="s">
        <v>2158</v>
      </c>
      <c r="R163" s="7"/>
      <c r="S163" s="7" t="s">
        <v>505</v>
      </c>
      <c r="T163" s="7" t="s">
        <v>493</v>
      </c>
      <c r="U163" s="65">
        <v>3735.0</v>
      </c>
      <c r="V163" s="7"/>
      <c r="W163" s="7"/>
    </row>
    <row r="164">
      <c r="A164" s="45">
        <v>45898.7671412037</v>
      </c>
      <c r="B164" s="7" t="s">
        <v>366</v>
      </c>
      <c r="C164" s="67" t="s">
        <v>2077</v>
      </c>
      <c r="D164" s="74">
        <v>1.0</v>
      </c>
      <c r="E164" s="74">
        <v>1.0</v>
      </c>
      <c r="F164" s="47">
        <v>124.99</v>
      </c>
      <c r="G164" s="47">
        <v>0.0</v>
      </c>
      <c r="H164" s="7"/>
      <c r="I164" s="47">
        <v>5.8</v>
      </c>
      <c r="J164" s="140">
        <f t="shared" si="1"/>
        <v>119.19</v>
      </c>
      <c r="K164" s="8"/>
      <c r="L164" s="7"/>
      <c r="M164" s="7"/>
      <c r="N164" s="7"/>
      <c r="O164" s="7"/>
      <c r="P164" s="7" t="s">
        <v>490</v>
      </c>
      <c r="Q164" s="7" t="s">
        <v>2159</v>
      </c>
      <c r="R164" s="7"/>
      <c r="S164" s="7" t="s">
        <v>572</v>
      </c>
      <c r="T164" s="7" t="s">
        <v>510</v>
      </c>
      <c r="U164" s="65">
        <v>3730.0</v>
      </c>
      <c r="V164" s="7"/>
      <c r="W164" s="7"/>
    </row>
    <row r="165">
      <c r="A165" s="45">
        <v>45898.76584490741</v>
      </c>
      <c r="B165" s="7" t="s">
        <v>1630</v>
      </c>
      <c r="C165" s="7" t="s">
        <v>2075</v>
      </c>
      <c r="D165" s="74">
        <v>1.0</v>
      </c>
      <c r="E165" s="46"/>
      <c r="F165" s="47">
        <v>24.99</v>
      </c>
      <c r="G165" s="47">
        <v>0.0</v>
      </c>
      <c r="H165" s="7"/>
      <c r="I165" s="47">
        <v>1.4</v>
      </c>
      <c r="J165" s="140">
        <f t="shared" si="1"/>
        <v>23.59</v>
      </c>
      <c r="K165" s="8"/>
      <c r="L165" s="7"/>
      <c r="M165" s="7"/>
      <c r="N165" s="7"/>
      <c r="O165" s="7"/>
      <c r="P165" s="7" t="s">
        <v>490</v>
      </c>
      <c r="Q165" s="7" t="s">
        <v>1817</v>
      </c>
      <c r="R165" s="7"/>
      <c r="S165" s="7" t="s">
        <v>1196</v>
      </c>
      <c r="T165" s="7" t="s">
        <v>1197</v>
      </c>
      <c r="U165" s="65">
        <v>3731.0</v>
      </c>
      <c r="V165" s="7"/>
      <c r="W165" s="7"/>
    </row>
    <row r="166">
      <c r="A166" s="45">
        <v>45898.76273148148</v>
      </c>
      <c r="B166" s="7" t="s">
        <v>61</v>
      </c>
      <c r="C166" s="7" t="s">
        <v>2075</v>
      </c>
      <c r="D166" s="74">
        <v>1.0</v>
      </c>
      <c r="E166" s="46"/>
      <c r="F166" s="47">
        <v>24.99</v>
      </c>
      <c r="G166" s="47">
        <v>0.0</v>
      </c>
      <c r="H166" s="7"/>
      <c r="I166" s="47">
        <v>1.02</v>
      </c>
      <c r="J166" s="140">
        <f t="shared" si="1"/>
        <v>23.97</v>
      </c>
      <c r="K166" s="8"/>
      <c r="L166" s="7"/>
      <c r="M166" s="7"/>
      <c r="N166" s="7"/>
      <c r="O166" s="7"/>
      <c r="P166" s="7" t="s">
        <v>490</v>
      </c>
      <c r="Q166" s="7" t="s">
        <v>1228</v>
      </c>
      <c r="R166" s="7"/>
      <c r="S166" s="7" t="s">
        <v>1229</v>
      </c>
      <c r="T166" s="7" t="s">
        <v>493</v>
      </c>
      <c r="U166" s="65">
        <v>3729.0</v>
      </c>
      <c r="V166" s="7"/>
      <c r="W166" s="7"/>
    </row>
    <row r="167">
      <c r="A167" s="45">
        <v>45898.76181712963</v>
      </c>
      <c r="B167" s="7" t="s">
        <v>421</v>
      </c>
      <c r="C167" s="7" t="s">
        <v>2075</v>
      </c>
      <c r="D167" s="74">
        <v>1.0</v>
      </c>
      <c r="E167" s="46"/>
      <c r="F167" s="47">
        <v>24.99</v>
      </c>
      <c r="G167" s="47">
        <v>0.0</v>
      </c>
      <c r="H167" s="7"/>
      <c r="I167" s="47">
        <v>1.02</v>
      </c>
      <c r="J167" s="140">
        <f t="shared" si="1"/>
        <v>23.97</v>
      </c>
      <c r="K167" s="8"/>
      <c r="L167" s="7"/>
      <c r="M167" s="7"/>
      <c r="N167" s="7"/>
      <c r="O167" s="7"/>
      <c r="P167" s="7" t="s">
        <v>490</v>
      </c>
      <c r="Q167" s="7" t="s">
        <v>1312</v>
      </c>
      <c r="R167" s="7"/>
      <c r="S167" s="7" t="s">
        <v>1298</v>
      </c>
      <c r="T167" s="7" t="s">
        <v>493</v>
      </c>
      <c r="U167" s="65">
        <v>3727.0</v>
      </c>
      <c r="V167" s="7"/>
      <c r="W167" s="7"/>
    </row>
    <row r="168">
      <c r="A168" s="45">
        <v>45898.76115740741</v>
      </c>
      <c r="B168" s="7" t="s">
        <v>799</v>
      </c>
      <c r="C168" s="7" t="s">
        <v>2075</v>
      </c>
      <c r="D168" s="74">
        <v>1.0</v>
      </c>
      <c r="E168" s="46"/>
      <c r="F168" s="47">
        <v>24.99</v>
      </c>
      <c r="G168" s="47">
        <v>0.0</v>
      </c>
      <c r="H168" s="7"/>
      <c r="I168" s="47">
        <v>1.4</v>
      </c>
      <c r="J168" s="140">
        <f t="shared" si="1"/>
        <v>23.59</v>
      </c>
      <c r="K168" s="8"/>
      <c r="L168" s="7"/>
      <c r="M168" s="7"/>
      <c r="N168" s="7"/>
      <c r="O168" s="7"/>
      <c r="P168" s="7" t="s">
        <v>490</v>
      </c>
      <c r="Q168" s="7" t="s">
        <v>800</v>
      </c>
      <c r="R168" s="7"/>
      <c r="S168" s="7" t="s">
        <v>620</v>
      </c>
      <c r="T168" s="7" t="s">
        <v>545</v>
      </c>
      <c r="U168" s="65">
        <v>3728.0</v>
      </c>
      <c r="V168" s="7"/>
      <c r="W168" s="7"/>
    </row>
    <row r="169">
      <c r="A169" s="45">
        <v>45898.76045138889</v>
      </c>
      <c r="B169" s="7" t="s">
        <v>1938</v>
      </c>
      <c r="C169" s="67" t="s">
        <v>2077</v>
      </c>
      <c r="D169" s="74">
        <v>1.0</v>
      </c>
      <c r="E169" s="74">
        <v>1.0</v>
      </c>
      <c r="F169" s="47">
        <v>124.99</v>
      </c>
      <c r="G169" s="47">
        <v>0.0</v>
      </c>
      <c r="H169" s="7"/>
      <c r="I169" s="47">
        <v>5.8</v>
      </c>
      <c r="J169" s="140">
        <f t="shared" si="1"/>
        <v>119.19</v>
      </c>
      <c r="K169" s="8"/>
      <c r="L169" s="7"/>
      <c r="M169" s="7"/>
      <c r="N169" s="7"/>
      <c r="O169" s="7"/>
      <c r="P169" s="7" t="s">
        <v>490</v>
      </c>
      <c r="Q169" s="7" t="s">
        <v>1939</v>
      </c>
      <c r="R169" s="7" t="s">
        <v>1940</v>
      </c>
      <c r="S169" s="7" t="s">
        <v>572</v>
      </c>
      <c r="T169" s="7" t="s">
        <v>1941</v>
      </c>
      <c r="U169" s="65">
        <v>3723.0</v>
      </c>
      <c r="V169" s="7"/>
      <c r="W169" s="7"/>
    </row>
    <row r="170">
      <c r="A170" s="45">
        <v>45898.76043981482</v>
      </c>
      <c r="B170" s="7" t="s">
        <v>1958</v>
      </c>
      <c r="C170" s="7" t="s">
        <v>2075</v>
      </c>
      <c r="D170" s="74">
        <v>1.0</v>
      </c>
      <c r="E170" s="46"/>
      <c r="F170" s="47">
        <v>38.23</v>
      </c>
      <c r="G170" s="47">
        <v>0.0</v>
      </c>
      <c r="H170" s="7"/>
      <c r="I170" s="47">
        <v>1.41</v>
      </c>
      <c r="J170" s="140">
        <f t="shared" si="1"/>
        <v>36.82</v>
      </c>
      <c r="K170" s="8"/>
      <c r="L170" s="7"/>
      <c r="M170" s="7"/>
      <c r="N170" s="7"/>
      <c r="O170" s="7"/>
      <c r="P170" s="7" t="s">
        <v>490</v>
      </c>
      <c r="Q170" s="7" t="s">
        <v>1959</v>
      </c>
      <c r="R170" s="7"/>
      <c r="S170" s="7" t="s">
        <v>1960</v>
      </c>
      <c r="T170" s="7" t="s">
        <v>493</v>
      </c>
      <c r="U170" s="65">
        <v>3726.0</v>
      </c>
      <c r="V170" s="7"/>
      <c r="W170" s="7"/>
    </row>
    <row r="171">
      <c r="A171" s="45">
        <v>45898.75990740741</v>
      </c>
      <c r="B171" s="7" t="s">
        <v>783</v>
      </c>
      <c r="C171" s="67" t="s">
        <v>2077</v>
      </c>
      <c r="D171" s="74">
        <v>1.0</v>
      </c>
      <c r="E171" s="74">
        <v>1.0</v>
      </c>
      <c r="F171" s="47">
        <v>124.99</v>
      </c>
      <c r="G171" s="47">
        <v>0.0</v>
      </c>
      <c r="H171" s="7"/>
      <c r="I171" s="47">
        <v>3.92</v>
      </c>
      <c r="J171" s="140">
        <f t="shared" si="1"/>
        <v>121.07</v>
      </c>
      <c r="K171" s="8"/>
      <c r="L171" s="7"/>
      <c r="M171" s="7"/>
      <c r="N171" s="7"/>
      <c r="O171" s="7"/>
      <c r="P171" s="7" t="s">
        <v>490</v>
      </c>
      <c r="Q171" s="7" t="s">
        <v>784</v>
      </c>
      <c r="R171" s="7"/>
      <c r="S171" s="7" t="s">
        <v>785</v>
      </c>
      <c r="T171" s="7" t="s">
        <v>493</v>
      </c>
      <c r="U171" s="65">
        <v>3725.0</v>
      </c>
      <c r="V171" s="7"/>
      <c r="W171" s="7"/>
    </row>
    <row r="172">
      <c r="A172" s="45">
        <v>45898.75212962963</v>
      </c>
      <c r="B172" s="7" t="s">
        <v>338</v>
      </c>
      <c r="C172" s="7" t="s">
        <v>2075</v>
      </c>
      <c r="D172" s="74">
        <v>1.0</v>
      </c>
      <c r="E172" s="46"/>
      <c r="F172" s="47">
        <v>24.99</v>
      </c>
      <c r="G172" s="47">
        <v>0.0</v>
      </c>
      <c r="H172" s="7"/>
      <c r="I172" s="47">
        <v>1.02</v>
      </c>
      <c r="J172" s="140">
        <f t="shared" si="1"/>
        <v>23.97</v>
      </c>
      <c r="K172" s="8"/>
      <c r="L172" s="7"/>
      <c r="M172" s="7"/>
      <c r="N172" s="7"/>
      <c r="O172" s="7"/>
      <c r="P172" s="7" t="s">
        <v>490</v>
      </c>
      <c r="Q172" s="7" t="s">
        <v>2160</v>
      </c>
      <c r="R172" s="7"/>
      <c r="S172" s="7" t="s">
        <v>1063</v>
      </c>
      <c r="T172" s="7" t="s">
        <v>493</v>
      </c>
      <c r="U172" s="65">
        <v>3722.0</v>
      </c>
      <c r="V172" s="7"/>
      <c r="W172" s="7"/>
    </row>
    <row r="173">
      <c r="A173" s="45">
        <v>45898.75212962963</v>
      </c>
      <c r="B173" s="7" t="s">
        <v>2161</v>
      </c>
      <c r="C173" s="7" t="s">
        <v>2075</v>
      </c>
      <c r="D173" s="74">
        <v>1.0</v>
      </c>
      <c r="E173" s="46"/>
      <c r="F173" s="47">
        <v>24.99</v>
      </c>
      <c r="G173" s="47">
        <v>0.0</v>
      </c>
      <c r="H173" s="7"/>
      <c r="I173" s="47">
        <v>1.02</v>
      </c>
      <c r="J173" s="140">
        <f t="shared" si="1"/>
        <v>23.97</v>
      </c>
      <c r="K173" s="8"/>
      <c r="L173" s="7"/>
      <c r="M173" s="7"/>
      <c r="N173" s="7"/>
      <c r="O173" s="7"/>
      <c r="P173" s="7" t="s">
        <v>490</v>
      </c>
      <c r="Q173" s="7" t="s">
        <v>1931</v>
      </c>
      <c r="R173" s="7"/>
      <c r="S173" s="7" t="s">
        <v>1932</v>
      </c>
      <c r="T173" s="7" t="s">
        <v>493</v>
      </c>
      <c r="U173" s="65">
        <v>3721.0</v>
      </c>
      <c r="V173" s="7"/>
      <c r="W173" s="7"/>
    </row>
    <row r="174">
      <c r="A174" s="45">
        <v>45898.74940972222</v>
      </c>
      <c r="B174" s="7" t="s">
        <v>137</v>
      </c>
      <c r="C174" s="67" t="s">
        <v>2077</v>
      </c>
      <c r="D174" s="74">
        <v>1.0</v>
      </c>
      <c r="E174" s="74">
        <v>1.0</v>
      </c>
      <c r="F174" s="47">
        <v>137.56</v>
      </c>
      <c r="G174" s="47">
        <v>0.0</v>
      </c>
      <c r="H174" s="7"/>
      <c r="I174" s="47">
        <v>4.29</v>
      </c>
      <c r="J174" s="140">
        <f t="shared" si="1"/>
        <v>133.27</v>
      </c>
      <c r="K174" s="8"/>
      <c r="L174" s="7"/>
      <c r="M174" s="7"/>
      <c r="N174" s="7"/>
      <c r="O174" s="7"/>
      <c r="P174" s="7" t="s">
        <v>490</v>
      </c>
      <c r="Q174" s="7" t="s">
        <v>1230</v>
      </c>
      <c r="R174" s="7"/>
      <c r="S174" s="7" t="s">
        <v>1231</v>
      </c>
      <c r="T174" s="7" t="s">
        <v>493</v>
      </c>
      <c r="U174" s="65">
        <v>3720.0</v>
      </c>
      <c r="V174" s="7"/>
      <c r="W174" s="7"/>
    </row>
    <row r="175">
      <c r="A175" s="45">
        <v>45898.74868055555</v>
      </c>
      <c r="B175" s="7" t="s">
        <v>741</v>
      </c>
      <c r="C175" s="7" t="s">
        <v>2075</v>
      </c>
      <c r="D175" s="74">
        <v>1.0</v>
      </c>
      <c r="E175" s="46"/>
      <c r="F175" s="47">
        <v>24.99</v>
      </c>
      <c r="G175" s="47">
        <v>0.0</v>
      </c>
      <c r="H175" s="7"/>
      <c r="I175" s="47">
        <v>1.02</v>
      </c>
      <c r="J175" s="140">
        <f t="shared" si="1"/>
        <v>23.97</v>
      </c>
      <c r="K175" s="8"/>
      <c r="L175" s="7"/>
      <c r="M175" s="7"/>
      <c r="N175" s="7"/>
      <c r="O175" s="7"/>
      <c r="P175" s="7" t="s">
        <v>490</v>
      </c>
      <c r="Q175" s="7" t="s">
        <v>742</v>
      </c>
      <c r="R175" s="7"/>
      <c r="S175" s="7" t="s">
        <v>743</v>
      </c>
      <c r="T175" s="7" t="s">
        <v>493</v>
      </c>
      <c r="U175" s="65">
        <v>3719.0</v>
      </c>
      <c r="V175" s="7"/>
      <c r="W175" s="7"/>
    </row>
    <row r="176">
      <c r="A176" s="45">
        <v>45898.74793981481</v>
      </c>
      <c r="B176" s="7" t="s">
        <v>1047</v>
      </c>
      <c r="C176" s="7" t="s">
        <v>2075</v>
      </c>
      <c r="D176" s="74">
        <v>1.0</v>
      </c>
      <c r="E176" s="46"/>
      <c r="F176" s="47">
        <v>27.3</v>
      </c>
      <c r="G176" s="47">
        <v>0.0</v>
      </c>
      <c r="H176" s="7"/>
      <c r="I176" s="47">
        <v>1.09</v>
      </c>
      <c r="J176" s="140">
        <f t="shared" si="1"/>
        <v>26.21</v>
      </c>
      <c r="K176" s="8"/>
      <c r="L176" s="7"/>
      <c r="M176" s="7"/>
      <c r="N176" s="7"/>
      <c r="O176" s="7"/>
      <c r="P176" s="7" t="s">
        <v>490</v>
      </c>
      <c r="Q176" s="7" t="s">
        <v>1048</v>
      </c>
      <c r="R176" s="7"/>
      <c r="S176" s="7" t="s">
        <v>1049</v>
      </c>
      <c r="T176" s="7" t="s">
        <v>493</v>
      </c>
      <c r="U176" s="65">
        <v>3718.0</v>
      </c>
      <c r="V176" s="7"/>
      <c r="W176" s="7"/>
    </row>
    <row r="177">
      <c r="A177" s="45">
        <v>45898.74694444444</v>
      </c>
      <c r="B177" s="7" t="s">
        <v>2162</v>
      </c>
      <c r="C177" s="7" t="s">
        <v>2075</v>
      </c>
      <c r="D177" s="74">
        <v>1.0</v>
      </c>
      <c r="E177" s="46"/>
      <c r="F177" s="47">
        <v>34.46</v>
      </c>
      <c r="G177" s="47">
        <v>0.0</v>
      </c>
      <c r="H177" s="7"/>
      <c r="I177" s="47">
        <v>1.3</v>
      </c>
      <c r="J177" s="140">
        <f t="shared" si="1"/>
        <v>33.16</v>
      </c>
      <c r="K177" s="8"/>
      <c r="L177" s="7"/>
      <c r="M177" s="7"/>
      <c r="N177" s="7"/>
      <c r="O177" s="7"/>
      <c r="P177" s="7" t="s">
        <v>490</v>
      </c>
      <c r="Q177" s="7" t="s">
        <v>2163</v>
      </c>
      <c r="R177" s="7"/>
      <c r="S177" s="7" t="s">
        <v>1147</v>
      </c>
      <c r="T177" s="7" t="s">
        <v>493</v>
      </c>
      <c r="U177" s="65">
        <v>3717.0</v>
      </c>
      <c r="V177" s="7"/>
      <c r="W177" s="7"/>
    </row>
    <row r="178">
      <c r="A178" s="45">
        <v>45898.7452662037</v>
      </c>
      <c r="B178" s="7" t="s">
        <v>132</v>
      </c>
      <c r="C178" s="7" t="s">
        <v>2075</v>
      </c>
      <c r="D178" s="74">
        <v>1.0</v>
      </c>
      <c r="E178" s="46"/>
      <c r="F178" s="47">
        <v>24.99</v>
      </c>
      <c r="G178" s="47">
        <v>0.0</v>
      </c>
      <c r="H178" s="7"/>
      <c r="I178" s="47">
        <v>1.4</v>
      </c>
      <c r="J178" s="140">
        <f t="shared" si="1"/>
        <v>23.59</v>
      </c>
      <c r="K178" s="8"/>
      <c r="L178" s="7"/>
      <c r="M178" s="7"/>
      <c r="N178" s="7"/>
      <c r="O178" s="7"/>
      <c r="P178" s="7" t="s">
        <v>490</v>
      </c>
      <c r="Q178" s="7" t="s">
        <v>821</v>
      </c>
      <c r="R178" s="7"/>
      <c r="S178" s="7" t="s">
        <v>822</v>
      </c>
      <c r="T178" s="7" t="s">
        <v>823</v>
      </c>
      <c r="U178" s="65">
        <v>3715.0</v>
      </c>
      <c r="V178" s="7"/>
      <c r="W178" s="7"/>
    </row>
    <row r="179">
      <c r="A179" s="45">
        <v>45898.745150462964</v>
      </c>
      <c r="B179" s="7" t="s">
        <v>1219</v>
      </c>
      <c r="C179" s="7" t="s">
        <v>2075</v>
      </c>
      <c r="D179" s="74">
        <v>1.0</v>
      </c>
      <c r="E179" s="46"/>
      <c r="F179" s="47">
        <v>24.99</v>
      </c>
      <c r="G179" s="47">
        <v>0.0</v>
      </c>
      <c r="H179" s="7"/>
      <c r="I179" s="47">
        <v>1.02</v>
      </c>
      <c r="J179" s="140">
        <f t="shared" si="1"/>
        <v>23.97</v>
      </c>
      <c r="K179" s="8"/>
      <c r="L179" s="7"/>
      <c r="M179" s="7"/>
      <c r="N179" s="7"/>
      <c r="O179" s="7"/>
      <c r="P179" s="7" t="s">
        <v>490</v>
      </c>
      <c r="Q179" s="7" t="s">
        <v>1220</v>
      </c>
      <c r="R179" s="7"/>
      <c r="S179" s="7" t="s">
        <v>1221</v>
      </c>
      <c r="T179" s="7" t="s">
        <v>493</v>
      </c>
      <c r="U179" s="65">
        <v>3716.0</v>
      </c>
      <c r="V179" s="7"/>
      <c r="W179" s="7"/>
    </row>
    <row r="180">
      <c r="A180" s="45">
        <v>45898.744479166664</v>
      </c>
      <c r="B180" s="7" t="s">
        <v>709</v>
      </c>
      <c r="C180" s="7" t="s">
        <v>2075</v>
      </c>
      <c r="D180" s="74">
        <v>1.0</v>
      </c>
      <c r="E180" s="46"/>
      <c r="F180" s="47">
        <v>24.99</v>
      </c>
      <c r="G180" s="47">
        <v>0.0</v>
      </c>
      <c r="H180" s="7"/>
      <c r="I180" s="47">
        <v>1.4</v>
      </c>
      <c r="J180" s="140">
        <f t="shared" si="1"/>
        <v>23.59</v>
      </c>
      <c r="K180" s="8"/>
      <c r="L180" s="7"/>
      <c r="M180" s="7"/>
      <c r="N180" s="7"/>
      <c r="O180" s="7"/>
      <c r="P180" s="7" t="s">
        <v>490</v>
      </c>
      <c r="Q180" s="7" t="s">
        <v>711</v>
      </c>
      <c r="R180" s="7" t="s">
        <v>710</v>
      </c>
      <c r="S180" s="7" t="s">
        <v>712</v>
      </c>
      <c r="T180" s="7" t="s">
        <v>545</v>
      </c>
      <c r="U180" s="65">
        <v>3714.0</v>
      </c>
      <c r="V180" s="7"/>
      <c r="W180" s="7"/>
    </row>
    <row r="181">
      <c r="A181" s="45">
        <v>45898.74429398148</v>
      </c>
      <c r="B181" s="7" t="s">
        <v>344</v>
      </c>
      <c r="C181" s="7" t="s">
        <v>2075</v>
      </c>
      <c r="D181" s="74">
        <v>1.0</v>
      </c>
      <c r="E181" s="46"/>
      <c r="F181" s="47">
        <v>24.99</v>
      </c>
      <c r="G181" s="47">
        <v>0.0</v>
      </c>
      <c r="H181" s="7"/>
      <c r="I181" s="47">
        <v>1.4</v>
      </c>
      <c r="J181" s="140">
        <f t="shared" si="1"/>
        <v>23.59</v>
      </c>
      <c r="K181" s="8"/>
      <c r="L181" s="7"/>
      <c r="M181" s="7"/>
      <c r="N181" s="7"/>
      <c r="O181" s="7"/>
      <c r="P181" s="7" t="s">
        <v>490</v>
      </c>
      <c r="Q181" s="7" t="s">
        <v>1189</v>
      </c>
      <c r="R181" s="7"/>
      <c r="S181" s="7" t="s">
        <v>1190</v>
      </c>
      <c r="T181" s="7" t="s">
        <v>525</v>
      </c>
      <c r="U181" s="65">
        <v>3712.0</v>
      </c>
      <c r="V181" s="7"/>
      <c r="W181" s="7"/>
    </row>
    <row r="182">
      <c r="A182" s="45">
        <v>45898.744108796294</v>
      </c>
      <c r="B182" s="7" t="s">
        <v>1384</v>
      </c>
      <c r="C182" s="7" t="s">
        <v>2075</v>
      </c>
      <c r="D182" s="74">
        <v>1.0</v>
      </c>
      <c r="E182" s="46"/>
      <c r="F182" s="47">
        <v>24.99</v>
      </c>
      <c r="G182" s="47">
        <v>0.0</v>
      </c>
      <c r="H182" s="7"/>
      <c r="I182" s="47">
        <v>1.02</v>
      </c>
      <c r="J182" s="140">
        <f t="shared" si="1"/>
        <v>23.97</v>
      </c>
      <c r="K182" s="8"/>
      <c r="L182" s="7"/>
      <c r="M182" s="7"/>
      <c r="N182" s="7"/>
      <c r="O182" s="7"/>
      <c r="P182" s="7" t="s">
        <v>490</v>
      </c>
      <c r="Q182" s="7" t="s">
        <v>1385</v>
      </c>
      <c r="R182" s="7"/>
      <c r="S182" s="7" t="s">
        <v>1386</v>
      </c>
      <c r="T182" s="7" t="s">
        <v>493</v>
      </c>
      <c r="U182" s="65">
        <v>3713.0</v>
      </c>
      <c r="V182" s="7"/>
      <c r="W182" s="7"/>
    </row>
    <row r="183">
      <c r="A183" s="45">
        <v>45898.74259259259</v>
      </c>
      <c r="B183" s="7" t="s">
        <v>1177</v>
      </c>
      <c r="C183" s="7" t="s">
        <v>2075</v>
      </c>
      <c r="D183" s="74">
        <v>1.0</v>
      </c>
      <c r="E183" s="46"/>
      <c r="F183" s="47">
        <v>24.99</v>
      </c>
      <c r="G183" s="47">
        <v>0.0</v>
      </c>
      <c r="H183" s="7"/>
      <c r="I183" s="47">
        <v>1.02</v>
      </c>
      <c r="J183" s="140">
        <f t="shared" si="1"/>
        <v>23.97</v>
      </c>
      <c r="K183" s="8"/>
      <c r="L183" s="7"/>
      <c r="M183" s="7"/>
      <c r="N183" s="7"/>
      <c r="O183" s="7"/>
      <c r="P183" s="7" t="s">
        <v>490</v>
      </c>
      <c r="Q183" s="7" t="s">
        <v>1178</v>
      </c>
      <c r="R183" s="7"/>
      <c r="S183" s="7" t="s">
        <v>1179</v>
      </c>
      <c r="T183" s="7" t="s">
        <v>493</v>
      </c>
      <c r="U183" s="65">
        <v>3711.0</v>
      </c>
      <c r="V183" s="7"/>
      <c r="W183" s="7"/>
    </row>
    <row r="184">
      <c r="A184" s="45">
        <v>45898.74246527778</v>
      </c>
      <c r="B184" s="7" t="s">
        <v>1259</v>
      </c>
      <c r="C184" s="7" t="s">
        <v>2075</v>
      </c>
      <c r="D184" s="74">
        <v>1.0</v>
      </c>
      <c r="E184" s="46"/>
      <c r="F184" s="47">
        <v>24.99</v>
      </c>
      <c r="G184" s="47">
        <v>0.0</v>
      </c>
      <c r="H184" s="7"/>
      <c r="I184" s="47">
        <v>1.02</v>
      </c>
      <c r="J184" s="140">
        <f t="shared" si="1"/>
        <v>23.97</v>
      </c>
      <c r="K184" s="8"/>
      <c r="L184" s="7"/>
      <c r="M184" s="7"/>
      <c r="N184" s="7"/>
      <c r="O184" s="7"/>
      <c r="P184" s="7" t="s">
        <v>490</v>
      </c>
      <c r="Q184" s="7" t="s">
        <v>1260</v>
      </c>
      <c r="R184" s="7"/>
      <c r="S184" s="7" t="s">
        <v>1261</v>
      </c>
      <c r="T184" s="7" t="s">
        <v>493</v>
      </c>
      <c r="U184" s="65">
        <v>3710.0</v>
      </c>
      <c r="V184" s="7"/>
      <c r="W184" s="7"/>
    </row>
    <row r="185">
      <c r="A185" s="45">
        <v>45898.7424537037</v>
      </c>
      <c r="B185" s="7" t="s">
        <v>812</v>
      </c>
      <c r="C185" s="67" t="s">
        <v>2077</v>
      </c>
      <c r="D185" s="74">
        <v>1.0</v>
      </c>
      <c r="E185" s="74">
        <v>1.0</v>
      </c>
      <c r="F185" s="47">
        <v>124.99</v>
      </c>
      <c r="G185" s="47">
        <v>0.0</v>
      </c>
      <c r="H185" s="7"/>
      <c r="I185" s="47">
        <v>5.8</v>
      </c>
      <c r="J185" s="140">
        <f t="shared" si="1"/>
        <v>119.19</v>
      </c>
      <c r="K185" s="8"/>
      <c r="L185" s="7"/>
      <c r="M185" s="7"/>
      <c r="N185" s="7"/>
      <c r="O185" s="7"/>
      <c r="P185" s="7" t="s">
        <v>490</v>
      </c>
      <c r="Q185" s="7" t="s">
        <v>813</v>
      </c>
      <c r="R185" s="7" t="s">
        <v>1668</v>
      </c>
      <c r="S185" s="7" t="s">
        <v>815</v>
      </c>
      <c r="T185" s="7" t="s">
        <v>555</v>
      </c>
      <c r="U185" s="65">
        <v>3709.0</v>
      </c>
      <c r="V185" s="7"/>
      <c r="W185" s="7"/>
    </row>
    <row r="186">
      <c r="A186" s="45">
        <v>45898.74113425926</v>
      </c>
      <c r="B186" s="7" t="s">
        <v>1594</v>
      </c>
      <c r="C186" s="7" t="s">
        <v>2075</v>
      </c>
      <c r="D186" s="74">
        <v>1.0</v>
      </c>
      <c r="E186" s="46"/>
      <c r="F186" s="47">
        <v>24.99</v>
      </c>
      <c r="G186" s="47">
        <v>0.0</v>
      </c>
      <c r="H186" s="7"/>
      <c r="I186" s="47">
        <v>1.02</v>
      </c>
      <c r="J186" s="140">
        <f t="shared" si="1"/>
        <v>23.97</v>
      </c>
      <c r="K186" s="8"/>
      <c r="L186" s="7"/>
      <c r="M186" s="7"/>
      <c r="N186" s="7"/>
      <c r="O186" s="7"/>
      <c r="P186" s="7" t="s">
        <v>490</v>
      </c>
      <c r="Q186" s="7" t="s">
        <v>1595</v>
      </c>
      <c r="R186" s="7"/>
      <c r="S186" s="7" t="s">
        <v>1596</v>
      </c>
      <c r="T186" s="7" t="s">
        <v>493</v>
      </c>
      <c r="U186" s="65">
        <v>3708.0</v>
      </c>
      <c r="V186" s="7"/>
      <c r="W186" s="7"/>
    </row>
    <row r="187">
      <c r="A187" s="45">
        <v>45898.74039351852</v>
      </c>
      <c r="B187" s="7" t="s">
        <v>2164</v>
      </c>
      <c r="C187" s="67" t="s">
        <v>2077</v>
      </c>
      <c r="D187" s="74">
        <v>1.0</v>
      </c>
      <c r="E187" s="74">
        <v>1.0</v>
      </c>
      <c r="F187" s="47">
        <v>134.46</v>
      </c>
      <c r="G187" s="47">
        <v>0.0</v>
      </c>
      <c r="H187" s="7"/>
      <c r="I187" s="47">
        <v>4.2</v>
      </c>
      <c r="J187" s="140">
        <f t="shared" si="1"/>
        <v>130.26</v>
      </c>
      <c r="K187" s="8"/>
      <c r="L187" s="7"/>
      <c r="M187" s="7"/>
      <c r="N187" s="7"/>
      <c r="O187" s="7"/>
      <c r="P187" s="7" t="s">
        <v>490</v>
      </c>
      <c r="Q187" s="7" t="s">
        <v>2165</v>
      </c>
      <c r="R187" s="7"/>
      <c r="S187" s="7" t="s">
        <v>572</v>
      </c>
      <c r="T187" s="7" t="s">
        <v>493</v>
      </c>
      <c r="U187" s="65">
        <v>3707.0</v>
      </c>
      <c r="V187" s="7"/>
      <c r="W187" s="7"/>
    </row>
    <row r="188">
      <c r="A188" s="45">
        <v>45898.73962962963</v>
      </c>
      <c r="B188" s="7" t="s">
        <v>723</v>
      </c>
      <c r="C188" s="7" t="s">
        <v>2075</v>
      </c>
      <c r="D188" s="74">
        <v>1.0</v>
      </c>
      <c r="E188" s="46"/>
      <c r="F188" s="47">
        <v>24.99</v>
      </c>
      <c r="G188" s="47">
        <v>0.0</v>
      </c>
      <c r="H188" s="7"/>
      <c r="I188" s="47">
        <v>1.4</v>
      </c>
      <c r="J188" s="140">
        <f t="shared" si="1"/>
        <v>23.59</v>
      </c>
      <c r="K188" s="8"/>
      <c r="L188" s="7"/>
      <c r="M188" s="7"/>
      <c r="N188" s="7"/>
      <c r="O188" s="7"/>
      <c r="P188" s="7" t="s">
        <v>490</v>
      </c>
      <c r="Q188" s="7" t="s">
        <v>724</v>
      </c>
      <c r="R188" s="7"/>
      <c r="S188" s="7" t="s">
        <v>725</v>
      </c>
      <c r="T188" s="7" t="s">
        <v>726</v>
      </c>
      <c r="U188" s="65">
        <v>3705.0</v>
      </c>
      <c r="V188" s="7"/>
      <c r="W188" s="7"/>
    </row>
    <row r="189">
      <c r="A189" s="45">
        <v>45898.739340277774</v>
      </c>
      <c r="B189" s="7" t="s">
        <v>1127</v>
      </c>
      <c r="C189" s="7" t="s">
        <v>2075</v>
      </c>
      <c r="D189" s="74">
        <v>1.0</v>
      </c>
      <c r="E189" s="46"/>
      <c r="F189" s="47">
        <v>24.99</v>
      </c>
      <c r="G189" s="47">
        <v>0.0</v>
      </c>
      <c r="H189" s="7"/>
      <c r="I189" s="47">
        <v>1.02</v>
      </c>
      <c r="J189" s="140">
        <f t="shared" si="1"/>
        <v>23.97</v>
      </c>
      <c r="K189" s="8"/>
      <c r="L189" s="7"/>
      <c r="M189" s="7"/>
      <c r="N189" s="7"/>
      <c r="O189" s="7"/>
      <c r="P189" s="7" t="s">
        <v>490</v>
      </c>
      <c r="Q189" s="7" t="s">
        <v>1128</v>
      </c>
      <c r="R189" s="7"/>
      <c r="S189" s="7" t="s">
        <v>1129</v>
      </c>
      <c r="T189" s="7" t="s">
        <v>493</v>
      </c>
      <c r="U189" s="65">
        <v>3706.0</v>
      </c>
      <c r="V189" s="7"/>
      <c r="W189" s="7"/>
    </row>
    <row r="190">
      <c r="A190" s="45">
        <v>45898.739340277774</v>
      </c>
      <c r="B190" s="7" t="s">
        <v>375</v>
      </c>
      <c r="C190" s="7" t="s">
        <v>2075</v>
      </c>
      <c r="D190" s="74">
        <v>1.0</v>
      </c>
      <c r="E190" s="46"/>
      <c r="F190" s="47">
        <v>24.99</v>
      </c>
      <c r="G190" s="47">
        <v>0.0</v>
      </c>
      <c r="H190" s="7"/>
      <c r="I190" s="47">
        <v>1.02</v>
      </c>
      <c r="J190" s="140">
        <f t="shared" si="1"/>
        <v>23.97</v>
      </c>
      <c r="K190" s="8"/>
      <c r="L190" s="7"/>
      <c r="M190" s="7"/>
      <c r="N190" s="7"/>
      <c r="O190" s="7"/>
      <c r="P190" s="7" t="s">
        <v>490</v>
      </c>
      <c r="Q190" s="65">
        <v>1215.0</v>
      </c>
      <c r="R190" s="7" t="s">
        <v>1536</v>
      </c>
      <c r="S190" s="7" t="s">
        <v>794</v>
      </c>
      <c r="T190" s="7" t="s">
        <v>493</v>
      </c>
      <c r="U190" s="65">
        <v>3703.0</v>
      </c>
      <c r="V190" s="7"/>
      <c r="W190" s="7"/>
    </row>
    <row r="191">
      <c r="A191" s="45">
        <v>45898.739120370374</v>
      </c>
      <c r="B191" s="7" t="s">
        <v>890</v>
      </c>
      <c r="C191" s="7" t="s">
        <v>2075</v>
      </c>
      <c r="D191" s="74">
        <v>1.0</v>
      </c>
      <c r="E191" s="46"/>
      <c r="F191" s="47">
        <v>24.99</v>
      </c>
      <c r="G191" s="47">
        <v>0.0</v>
      </c>
      <c r="H191" s="7"/>
      <c r="I191" s="47">
        <v>1.4</v>
      </c>
      <c r="J191" s="140">
        <f t="shared" si="1"/>
        <v>23.59</v>
      </c>
      <c r="K191" s="8"/>
      <c r="L191" s="7"/>
      <c r="M191" s="7"/>
      <c r="N191" s="7"/>
      <c r="O191" s="7"/>
      <c r="P191" s="7" t="s">
        <v>490</v>
      </c>
      <c r="Q191" s="7"/>
      <c r="R191" s="7"/>
      <c r="S191" s="7"/>
      <c r="T191" s="7" t="s">
        <v>560</v>
      </c>
      <c r="U191" s="65">
        <v>3704.0</v>
      </c>
      <c r="V191" s="7"/>
      <c r="W191" s="7"/>
    </row>
    <row r="192">
      <c r="A192" s="45">
        <v>45898.737546296295</v>
      </c>
      <c r="B192" s="7" t="s">
        <v>1135</v>
      </c>
      <c r="C192" s="7" t="s">
        <v>2075</v>
      </c>
      <c r="D192" s="74">
        <v>1.0</v>
      </c>
      <c r="E192" s="46"/>
      <c r="F192" s="47">
        <v>24.99</v>
      </c>
      <c r="G192" s="47">
        <v>0.0</v>
      </c>
      <c r="H192" s="7"/>
      <c r="I192" s="47">
        <v>1.4</v>
      </c>
      <c r="J192" s="140">
        <f t="shared" si="1"/>
        <v>23.59</v>
      </c>
      <c r="K192" s="8"/>
      <c r="L192" s="7"/>
      <c r="M192" s="7"/>
      <c r="N192" s="7"/>
      <c r="O192" s="7"/>
      <c r="P192" s="7" t="s">
        <v>490</v>
      </c>
      <c r="Q192" s="7" t="s">
        <v>1136</v>
      </c>
      <c r="R192" s="7"/>
      <c r="S192" s="7" t="s">
        <v>1137</v>
      </c>
      <c r="T192" s="7" t="s">
        <v>525</v>
      </c>
      <c r="U192" s="65">
        <v>3702.0</v>
      </c>
      <c r="V192" s="7"/>
      <c r="W192" s="7"/>
    </row>
    <row r="193">
      <c r="A193" s="45">
        <v>45898.73681712963</v>
      </c>
      <c r="B193" s="7" t="s">
        <v>2166</v>
      </c>
      <c r="C193" s="7" t="s">
        <v>2075</v>
      </c>
      <c r="D193" s="74">
        <v>1.0</v>
      </c>
      <c r="E193" s="46"/>
      <c r="F193" s="47">
        <v>24.99</v>
      </c>
      <c r="G193" s="47">
        <v>0.0</v>
      </c>
      <c r="H193" s="7"/>
      <c r="I193" s="47">
        <v>1.4</v>
      </c>
      <c r="J193" s="140">
        <f t="shared" si="1"/>
        <v>23.59</v>
      </c>
      <c r="K193" s="8"/>
      <c r="L193" s="7"/>
      <c r="M193" s="7"/>
      <c r="N193" s="7"/>
      <c r="O193" s="7"/>
      <c r="P193" s="7" t="s">
        <v>490</v>
      </c>
      <c r="Q193" s="7" t="s">
        <v>1397</v>
      </c>
      <c r="R193" s="7"/>
      <c r="S193" s="7" t="s">
        <v>1398</v>
      </c>
      <c r="T193" s="7" t="s">
        <v>726</v>
      </c>
      <c r="U193" s="65">
        <v>3696.0</v>
      </c>
      <c r="V193" s="7"/>
      <c r="W193" s="7"/>
    </row>
    <row r="194">
      <c r="A194" s="45">
        <v>45898.73648148148</v>
      </c>
      <c r="B194" s="7" t="s">
        <v>112</v>
      </c>
      <c r="C194" s="7" t="s">
        <v>2124</v>
      </c>
      <c r="D194" s="74">
        <v>2.0</v>
      </c>
      <c r="E194" s="46"/>
      <c r="F194" s="47">
        <v>49.98</v>
      </c>
      <c r="G194" s="47">
        <v>0.0</v>
      </c>
      <c r="H194" s="7"/>
      <c r="I194" s="47">
        <v>2.5</v>
      </c>
      <c r="J194" s="140">
        <f t="shared" si="1"/>
        <v>47.48</v>
      </c>
      <c r="K194" s="8"/>
      <c r="L194" s="7"/>
      <c r="M194" s="7"/>
      <c r="N194" s="7"/>
      <c r="O194" s="7"/>
      <c r="P194" s="7" t="s">
        <v>490</v>
      </c>
      <c r="Q194" s="7" t="s">
        <v>942</v>
      </c>
      <c r="R194" s="7"/>
      <c r="S194" s="7" t="s">
        <v>943</v>
      </c>
      <c r="T194" s="7" t="s">
        <v>545</v>
      </c>
      <c r="U194" s="65">
        <v>3699.0</v>
      </c>
      <c r="V194" s="7"/>
      <c r="W194" s="7"/>
    </row>
    <row r="195">
      <c r="A195" s="45">
        <v>45898.73554398148</v>
      </c>
      <c r="B195" s="7" t="s">
        <v>1056</v>
      </c>
      <c r="C195" s="7" t="s">
        <v>2075</v>
      </c>
      <c r="D195" s="74">
        <v>1.0</v>
      </c>
      <c r="E195" s="46"/>
      <c r="F195" s="47">
        <v>24.99</v>
      </c>
      <c r="G195" s="47">
        <v>0.0</v>
      </c>
      <c r="H195" s="7"/>
      <c r="I195" s="47">
        <v>1.4</v>
      </c>
      <c r="J195" s="140">
        <f t="shared" si="1"/>
        <v>23.59</v>
      </c>
      <c r="K195" s="8"/>
      <c r="L195" s="7"/>
      <c r="M195" s="7"/>
      <c r="N195" s="7"/>
      <c r="O195" s="7"/>
      <c r="P195" s="7" t="s">
        <v>490</v>
      </c>
      <c r="Q195" s="7" t="s">
        <v>1587</v>
      </c>
      <c r="R195" s="7"/>
      <c r="S195" s="7" t="s">
        <v>1588</v>
      </c>
      <c r="T195" s="7" t="s">
        <v>545</v>
      </c>
      <c r="U195" s="65">
        <v>3695.0</v>
      </c>
      <c r="V195" s="7"/>
      <c r="W195" s="7"/>
    </row>
    <row r="196">
      <c r="A196" s="45">
        <v>45898.73409722222</v>
      </c>
      <c r="B196" s="7" t="s">
        <v>361</v>
      </c>
      <c r="C196" s="7" t="s">
        <v>2075</v>
      </c>
      <c r="D196" s="74">
        <v>1.0</v>
      </c>
      <c r="E196" s="46"/>
      <c r="F196" s="47">
        <v>27.43</v>
      </c>
      <c r="G196" s="47">
        <v>0.0</v>
      </c>
      <c r="H196" s="7"/>
      <c r="I196" s="47">
        <v>1.1</v>
      </c>
      <c r="J196" s="140">
        <f t="shared" si="1"/>
        <v>26.33</v>
      </c>
      <c r="K196" s="8"/>
      <c r="L196" s="7"/>
      <c r="M196" s="7"/>
      <c r="N196" s="7"/>
      <c r="O196" s="7"/>
      <c r="P196" s="7" t="s">
        <v>490</v>
      </c>
      <c r="Q196" s="7" t="s">
        <v>1269</v>
      </c>
      <c r="R196" s="7" t="s">
        <v>1270</v>
      </c>
      <c r="S196" s="7" t="s">
        <v>1271</v>
      </c>
      <c r="T196" s="7" t="s">
        <v>493</v>
      </c>
      <c r="U196" s="65">
        <v>3694.0</v>
      </c>
      <c r="V196" s="7"/>
      <c r="W196" s="7"/>
    </row>
    <row r="197">
      <c r="A197" s="45">
        <v>45898.733935185184</v>
      </c>
      <c r="B197" s="7" t="s">
        <v>369</v>
      </c>
      <c r="C197" s="7" t="s">
        <v>2075</v>
      </c>
      <c r="D197" s="74">
        <v>1.0</v>
      </c>
      <c r="E197" s="46"/>
      <c r="F197" s="47">
        <v>24.99</v>
      </c>
      <c r="G197" s="47">
        <v>0.0</v>
      </c>
      <c r="H197" s="7"/>
      <c r="I197" s="47">
        <v>1.02</v>
      </c>
      <c r="J197" s="140">
        <f t="shared" si="1"/>
        <v>23.97</v>
      </c>
      <c r="K197" s="8"/>
      <c r="L197" s="7"/>
      <c r="M197" s="7"/>
      <c r="N197" s="7"/>
      <c r="O197" s="7"/>
      <c r="P197" s="7" t="s">
        <v>490</v>
      </c>
      <c r="Q197" s="7" t="s">
        <v>845</v>
      </c>
      <c r="R197" s="7"/>
      <c r="S197" s="7" t="s">
        <v>846</v>
      </c>
      <c r="T197" s="7" t="s">
        <v>493</v>
      </c>
      <c r="U197" s="65">
        <v>3693.0</v>
      </c>
      <c r="V197" s="7"/>
      <c r="W197" s="7"/>
    </row>
    <row r="198">
      <c r="A198" s="45">
        <v>45898.73375</v>
      </c>
      <c r="B198" s="7" t="s">
        <v>944</v>
      </c>
      <c r="C198" s="7" t="s">
        <v>2075</v>
      </c>
      <c r="D198" s="74">
        <v>1.0</v>
      </c>
      <c r="E198" s="46"/>
      <c r="F198" s="47">
        <v>38.23</v>
      </c>
      <c r="G198" s="47">
        <v>0.0</v>
      </c>
      <c r="H198" s="7"/>
      <c r="I198" s="47">
        <v>1.98</v>
      </c>
      <c r="J198" s="140">
        <f t="shared" si="1"/>
        <v>36.25</v>
      </c>
      <c r="K198" s="8"/>
      <c r="L198" s="7"/>
      <c r="M198" s="7"/>
      <c r="N198" s="7"/>
      <c r="O198" s="7"/>
      <c r="P198" s="7" t="s">
        <v>490</v>
      </c>
      <c r="Q198" s="7" t="s">
        <v>945</v>
      </c>
      <c r="R198" s="7" t="s">
        <v>946</v>
      </c>
      <c r="S198" s="7" t="s">
        <v>947</v>
      </c>
      <c r="T198" s="7" t="s">
        <v>948</v>
      </c>
      <c r="U198" s="65">
        <v>3692.0</v>
      </c>
      <c r="V198" s="7"/>
      <c r="W198" s="7"/>
    </row>
    <row r="199">
      <c r="A199" s="45">
        <v>45898.73273148148</v>
      </c>
      <c r="B199" s="7" t="s">
        <v>291</v>
      </c>
      <c r="C199" s="7" t="s">
        <v>2075</v>
      </c>
      <c r="D199" s="74">
        <v>1.0</v>
      </c>
      <c r="E199" s="46"/>
      <c r="F199" s="47">
        <v>24.99</v>
      </c>
      <c r="G199" s="47">
        <v>0.0</v>
      </c>
      <c r="H199" s="7"/>
      <c r="I199" s="47">
        <v>1.02</v>
      </c>
      <c r="J199" s="140">
        <f t="shared" si="1"/>
        <v>23.97</v>
      </c>
      <c r="K199" s="8"/>
      <c r="L199" s="7"/>
      <c r="M199" s="7"/>
      <c r="N199" s="7"/>
      <c r="O199" s="7"/>
      <c r="P199" s="7" t="s">
        <v>490</v>
      </c>
      <c r="Q199" s="7" t="s">
        <v>670</v>
      </c>
      <c r="R199" s="7"/>
      <c r="S199" s="7" t="s">
        <v>671</v>
      </c>
      <c r="T199" s="7" t="s">
        <v>493</v>
      </c>
      <c r="U199" s="65">
        <v>3691.0</v>
      </c>
      <c r="V199" s="7"/>
      <c r="W199" s="7"/>
    </row>
    <row r="200">
      <c r="A200" s="45">
        <v>45898.73106481481</v>
      </c>
      <c r="B200" s="7" t="s">
        <v>240</v>
      </c>
      <c r="C200" s="67" t="s">
        <v>2077</v>
      </c>
      <c r="D200" s="74">
        <v>1.0</v>
      </c>
      <c r="E200" s="74">
        <v>1.0</v>
      </c>
      <c r="F200" s="47">
        <v>135.43</v>
      </c>
      <c r="G200" s="47">
        <v>0.0</v>
      </c>
      <c r="H200" s="7"/>
      <c r="I200" s="47">
        <v>4.23</v>
      </c>
      <c r="J200" s="140">
        <f t="shared" si="1"/>
        <v>131.2</v>
      </c>
      <c r="K200" s="8"/>
      <c r="L200" s="7"/>
      <c r="M200" s="7"/>
      <c r="N200" s="7"/>
      <c r="O200" s="7"/>
      <c r="P200" s="7" t="s">
        <v>490</v>
      </c>
      <c r="Q200" s="7" t="s">
        <v>1544</v>
      </c>
      <c r="R200" s="7"/>
      <c r="S200" s="7" t="s">
        <v>1545</v>
      </c>
      <c r="T200" s="7" t="s">
        <v>493</v>
      </c>
      <c r="U200" s="65">
        <v>3688.0</v>
      </c>
      <c r="V200" s="7"/>
      <c r="W200" s="7"/>
    </row>
    <row r="201">
      <c r="A201" s="45">
        <v>45898.72938657407</v>
      </c>
      <c r="B201" s="7" t="s">
        <v>1104</v>
      </c>
      <c r="C201" s="7" t="s">
        <v>2075</v>
      </c>
      <c r="D201" s="74">
        <v>1.0</v>
      </c>
      <c r="E201" s="46"/>
      <c r="F201" s="47">
        <v>24.99</v>
      </c>
      <c r="G201" s="47">
        <v>0.0</v>
      </c>
      <c r="H201" s="7"/>
      <c r="I201" s="47">
        <v>1.02</v>
      </c>
      <c r="J201" s="140">
        <f t="shared" si="1"/>
        <v>23.97</v>
      </c>
      <c r="K201" s="8"/>
      <c r="L201" s="7"/>
      <c r="M201" s="7"/>
      <c r="N201" s="7"/>
      <c r="O201" s="7"/>
      <c r="P201" s="7" t="s">
        <v>490</v>
      </c>
      <c r="Q201" s="7" t="s">
        <v>1105</v>
      </c>
      <c r="R201" s="7"/>
      <c r="S201" s="7" t="s">
        <v>1106</v>
      </c>
      <c r="T201" s="7" t="s">
        <v>493</v>
      </c>
      <c r="U201" s="65">
        <v>3687.0</v>
      </c>
      <c r="V201" s="7"/>
      <c r="W201" s="7"/>
    </row>
    <row r="202">
      <c r="A202" s="45">
        <v>45898.727789351855</v>
      </c>
      <c r="B202" s="7" t="s">
        <v>253</v>
      </c>
      <c r="C202" s="67" t="s">
        <v>2077</v>
      </c>
      <c r="D202" s="74">
        <v>1.0</v>
      </c>
      <c r="E202" s="74">
        <v>1.0</v>
      </c>
      <c r="F202" s="47">
        <v>124.99</v>
      </c>
      <c r="G202" s="47">
        <v>0.0</v>
      </c>
      <c r="H202" s="7"/>
      <c r="I202" s="47">
        <v>3.92</v>
      </c>
      <c r="J202" s="140">
        <f t="shared" si="1"/>
        <v>121.07</v>
      </c>
      <c r="K202" s="8"/>
      <c r="L202" s="7"/>
      <c r="M202" s="7"/>
      <c r="N202" s="7"/>
      <c r="O202" s="7"/>
      <c r="P202" s="7" t="s">
        <v>490</v>
      </c>
      <c r="Q202" s="7" t="s">
        <v>927</v>
      </c>
      <c r="R202" s="7"/>
      <c r="S202" s="7" t="s">
        <v>928</v>
      </c>
      <c r="T202" s="7" t="s">
        <v>493</v>
      </c>
      <c r="U202" s="65">
        <v>3685.0</v>
      </c>
      <c r="V202" s="7"/>
      <c r="W202" s="7"/>
    </row>
    <row r="203">
      <c r="A203" s="45">
        <v>45898.72622685185</v>
      </c>
      <c r="B203" s="7" t="s">
        <v>2167</v>
      </c>
      <c r="C203" s="67" t="s">
        <v>2077</v>
      </c>
      <c r="D203" s="74">
        <v>1.0</v>
      </c>
      <c r="E203" s="74">
        <v>1.0</v>
      </c>
      <c r="F203" s="47">
        <v>159.89</v>
      </c>
      <c r="G203" s="47">
        <v>0.0</v>
      </c>
      <c r="H203" s="7"/>
      <c r="I203" s="47">
        <v>7.34</v>
      </c>
      <c r="J203" s="140">
        <f t="shared" si="1"/>
        <v>152.55</v>
      </c>
      <c r="K203" s="8"/>
      <c r="L203" s="7"/>
      <c r="M203" s="7"/>
      <c r="N203" s="7"/>
      <c r="O203" s="7"/>
      <c r="P203" s="7" t="s">
        <v>490</v>
      </c>
      <c r="Q203" s="7" t="s">
        <v>2168</v>
      </c>
      <c r="R203" s="7" t="s">
        <v>2169</v>
      </c>
      <c r="S203" s="7" t="s">
        <v>2170</v>
      </c>
      <c r="T203" s="7" t="s">
        <v>684</v>
      </c>
      <c r="U203" s="65">
        <v>3661.0</v>
      </c>
      <c r="V203" s="7"/>
      <c r="W203" s="7"/>
    </row>
    <row r="204">
      <c r="A204" s="45">
        <v>45898.72587962963</v>
      </c>
      <c r="B204" s="7" t="s">
        <v>536</v>
      </c>
      <c r="C204" s="7" t="s">
        <v>2075</v>
      </c>
      <c r="D204" s="74">
        <v>1.0</v>
      </c>
      <c r="E204" s="46"/>
      <c r="F204" s="47">
        <v>27.05</v>
      </c>
      <c r="G204" s="47">
        <v>0.0</v>
      </c>
      <c r="H204" s="7"/>
      <c r="I204" s="47">
        <v>1.08</v>
      </c>
      <c r="J204" s="140">
        <f t="shared" si="1"/>
        <v>25.97</v>
      </c>
      <c r="K204" s="8"/>
      <c r="L204" s="7"/>
      <c r="M204" s="7"/>
      <c r="N204" s="7"/>
      <c r="O204" s="7"/>
      <c r="P204" s="7" t="s">
        <v>490</v>
      </c>
      <c r="Q204" s="7" t="s">
        <v>537</v>
      </c>
      <c r="R204" s="7"/>
      <c r="S204" s="7" t="s">
        <v>538</v>
      </c>
      <c r="T204" s="7" t="s">
        <v>493</v>
      </c>
      <c r="U204" s="65">
        <v>3684.0</v>
      </c>
      <c r="V204" s="7"/>
      <c r="W204" s="7"/>
    </row>
    <row r="205">
      <c r="A205" s="45">
        <v>45898.725810185184</v>
      </c>
      <c r="B205" s="7" t="s">
        <v>378</v>
      </c>
      <c r="C205" s="7" t="s">
        <v>2075</v>
      </c>
      <c r="D205" s="74">
        <v>1.0</v>
      </c>
      <c r="E205" s="46"/>
      <c r="F205" s="47">
        <v>24.99</v>
      </c>
      <c r="G205" s="47">
        <v>0.0</v>
      </c>
      <c r="H205" s="7"/>
      <c r="I205" s="47">
        <v>1.02</v>
      </c>
      <c r="J205" s="140">
        <f t="shared" si="1"/>
        <v>23.97</v>
      </c>
      <c r="K205" s="8"/>
      <c r="L205" s="7"/>
      <c r="M205" s="7"/>
      <c r="N205" s="7"/>
      <c r="O205" s="7"/>
      <c r="P205" s="7" t="s">
        <v>490</v>
      </c>
      <c r="Q205" s="7" t="s">
        <v>772</v>
      </c>
      <c r="R205" s="7"/>
      <c r="S205" s="7" t="s">
        <v>773</v>
      </c>
      <c r="T205" s="7" t="s">
        <v>493</v>
      </c>
      <c r="U205" s="65">
        <v>3681.0</v>
      </c>
      <c r="V205" s="7"/>
      <c r="W205" s="7"/>
    </row>
    <row r="206">
      <c r="A206" s="45">
        <v>45898.72306712963</v>
      </c>
      <c r="B206" s="7" t="s">
        <v>1237</v>
      </c>
      <c r="C206" s="7" t="s">
        <v>2075</v>
      </c>
      <c r="D206" s="74">
        <v>1.0</v>
      </c>
      <c r="E206" s="46"/>
      <c r="F206" s="47">
        <v>27.05</v>
      </c>
      <c r="G206" s="47">
        <v>0.0</v>
      </c>
      <c r="H206" s="7"/>
      <c r="I206" s="47">
        <v>1.08</v>
      </c>
      <c r="J206" s="140">
        <f t="shared" si="1"/>
        <v>25.97</v>
      </c>
      <c r="K206" s="8"/>
      <c r="L206" s="7"/>
      <c r="M206" s="7"/>
      <c r="N206" s="7"/>
      <c r="O206" s="7"/>
      <c r="P206" s="7" t="s">
        <v>490</v>
      </c>
      <c r="Q206" s="7" t="s">
        <v>1238</v>
      </c>
      <c r="R206" s="7"/>
      <c r="S206" s="7" t="s">
        <v>1239</v>
      </c>
      <c r="T206" s="7" t="s">
        <v>493</v>
      </c>
      <c r="U206" s="65">
        <v>3683.0</v>
      </c>
      <c r="V206" s="7"/>
      <c r="W206" s="7"/>
    </row>
    <row r="207">
      <c r="A207" s="45">
        <v>45898.72304398148</v>
      </c>
      <c r="B207" s="7" t="s">
        <v>365</v>
      </c>
      <c r="C207" s="7" t="s">
        <v>2075</v>
      </c>
      <c r="D207" s="74">
        <v>1.0</v>
      </c>
      <c r="E207" s="46"/>
      <c r="F207" s="47">
        <v>24.99</v>
      </c>
      <c r="G207" s="47">
        <v>0.0</v>
      </c>
      <c r="H207" s="7"/>
      <c r="I207" s="47">
        <v>1.4</v>
      </c>
      <c r="J207" s="140">
        <f t="shared" si="1"/>
        <v>23.59</v>
      </c>
      <c r="K207" s="8"/>
      <c r="L207" s="7"/>
      <c r="M207" s="7"/>
      <c r="N207" s="7"/>
      <c r="O207" s="7"/>
      <c r="P207" s="7" t="s">
        <v>490</v>
      </c>
      <c r="Q207" s="7" t="s">
        <v>1021</v>
      </c>
      <c r="R207" s="7"/>
      <c r="S207" s="7" t="s">
        <v>1022</v>
      </c>
      <c r="T207" s="7" t="s">
        <v>545</v>
      </c>
      <c r="U207" s="65">
        <v>3682.0</v>
      </c>
      <c r="V207" s="7"/>
      <c r="W207" s="7"/>
    </row>
    <row r="208">
      <c r="A208" s="45">
        <v>45898.721863425926</v>
      </c>
      <c r="B208" s="7" t="s">
        <v>1602</v>
      </c>
      <c r="C208" s="67" t="s">
        <v>2077</v>
      </c>
      <c r="D208" s="74">
        <v>1.0</v>
      </c>
      <c r="E208" s="74">
        <v>1.0</v>
      </c>
      <c r="F208" s="47">
        <v>124.99</v>
      </c>
      <c r="G208" s="47">
        <v>0.0</v>
      </c>
      <c r="H208" s="7"/>
      <c r="I208" s="47">
        <v>3.92</v>
      </c>
      <c r="J208" s="140">
        <f t="shared" si="1"/>
        <v>121.07</v>
      </c>
      <c r="K208" s="8"/>
      <c r="L208" s="7"/>
      <c r="M208" s="7"/>
      <c r="N208" s="7"/>
      <c r="O208" s="7"/>
      <c r="P208" s="7" t="s">
        <v>490</v>
      </c>
      <c r="Q208" s="7" t="s">
        <v>675</v>
      </c>
      <c r="R208" s="7"/>
      <c r="S208" s="7" t="s">
        <v>676</v>
      </c>
      <c r="T208" s="7" t="s">
        <v>493</v>
      </c>
      <c r="U208" s="65">
        <v>3674.0</v>
      </c>
      <c r="V208" s="7"/>
      <c r="W208" s="7"/>
    </row>
    <row r="209">
      <c r="A209" s="45">
        <v>45898.721817129626</v>
      </c>
      <c r="B209" s="7" t="s">
        <v>139</v>
      </c>
      <c r="C209" s="7" t="s">
        <v>2075</v>
      </c>
      <c r="D209" s="74">
        <v>1.0</v>
      </c>
      <c r="E209" s="46"/>
      <c r="F209" s="47">
        <v>24.99</v>
      </c>
      <c r="G209" s="47">
        <v>0.0</v>
      </c>
      <c r="H209" s="7"/>
      <c r="I209" s="47">
        <v>1.02</v>
      </c>
      <c r="J209" s="140">
        <f t="shared" si="1"/>
        <v>23.97</v>
      </c>
      <c r="K209" s="8"/>
      <c r="L209" s="7"/>
      <c r="M209" s="7"/>
      <c r="N209" s="7"/>
      <c r="O209" s="7"/>
      <c r="P209" s="7" t="s">
        <v>490</v>
      </c>
      <c r="Q209" s="7" t="s">
        <v>1310</v>
      </c>
      <c r="R209" s="7"/>
      <c r="S209" s="7" t="s">
        <v>1311</v>
      </c>
      <c r="T209" s="7" t="s">
        <v>493</v>
      </c>
      <c r="U209" s="65">
        <v>3680.0</v>
      </c>
      <c r="V209" s="7"/>
      <c r="W209" s="7"/>
    </row>
    <row r="210">
      <c r="A210" s="45">
        <v>45898.72170138889</v>
      </c>
      <c r="B210" s="7" t="s">
        <v>1822</v>
      </c>
      <c r="C210" s="67" t="s">
        <v>2077</v>
      </c>
      <c r="D210" s="74">
        <v>1.0</v>
      </c>
      <c r="E210" s="74">
        <v>1.0</v>
      </c>
      <c r="F210" s="47">
        <v>135.3</v>
      </c>
      <c r="G210" s="47">
        <v>0.0</v>
      </c>
      <c r="H210" s="7"/>
      <c r="I210" s="47">
        <v>4.22</v>
      </c>
      <c r="J210" s="140">
        <f t="shared" si="1"/>
        <v>131.08</v>
      </c>
      <c r="K210" s="8"/>
      <c r="L210" s="7"/>
      <c r="M210" s="7"/>
      <c r="N210" s="7"/>
      <c r="O210" s="7"/>
      <c r="P210" s="7" t="s">
        <v>490</v>
      </c>
      <c r="Q210" s="7" t="s">
        <v>1823</v>
      </c>
      <c r="R210" s="7"/>
      <c r="S210" s="7" t="s">
        <v>1356</v>
      </c>
      <c r="T210" s="7" t="s">
        <v>493</v>
      </c>
      <c r="U210" s="65">
        <v>3679.0</v>
      </c>
      <c r="V210" s="7"/>
      <c r="W210" s="7"/>
    </row>
    <row r="211">
      <c r="A211" s="45">
        <v>45898.721342592595</v>
      </c>
      <c r="B211" s="7" t="s">
        <v>144</v>
      </c>
      <c r="C211" s="7" t="s">
        <v>2075</v>
      </c>
      <c r="D211" s="74">
        <v>1.0</v>
      </c>
      <c r="E211" s="46"/>
      <c r="F211" s="47">
        <v>24.99</v>
      </c>
      <c r="G211" s="47">
        <v>0.0</v>
      </c>
      <c r="H211" s="7"/>
      <c r="I211" s="47">
        <v>1.4</v>
      </c>
      <c r="J211" s="140">
        <f t="shared" si="1"/>
        <v>23.59</v>
      </c>
      <c r="K211" s="8"/>
      <c r="L211" s="7"/>
      <c r="M211" s="7"/>
      <c r="N211" s="7"/>
      <c r="O211" s="7"/>
      <c r="P211" s="7" t="s">
        <v>490</v>
      </c>
      <c r="Q211" s="7" t="s">
        <v>1382</v>
      </c>
      <c r="R211" s="7"/>
      <c r="S211" s="7" t="s">
        <v>1383</v>
      </c>
      <c r="T211" s="7" t="s">
        <v>51</v>
      </c>
      <c r="U211" s="65">
        <v>3677.0</v>
      </c>
      <c r="V211" s="7"/>
      <c r="W211" s="7"/>
    </row>
    <row r="212">
      <c r="A212" s="45">
        <v>45898.721041666664</v>
      </c>
      <c r="B212" s="7" t="s">
        <v>333</v>
      </c>
      <c r="C212" s="7" t="s">
        <v>2075</v>
      </c>
      <c r="D212" s="74">
        <v>1.0</v>
      </c>
      <c r="E212" s="46"/>
      <c r="F212" s="47">
        <v>24.99</v>
      </c>
      <c r="G212" s="47">
        <v>0.0</v>
      </c>
      <c r="H212" s="7"/>
      <c r="I212" s="47">
        <v>1.02</v>
      </c>
      <c r="J212" s="140">
        <f t="shared" si="1"/>
        <v>23.97</v>
      </c>
      <c r="K212" s="8"/>
      <c r="L212" s="7"/>
      <c r="M212" s="7"/>
      <c r="N212" s="7"/>
      <c r="O212" s="7"/>
      <c r="P212" s="7" t="s">
        <v>490</v>
      </c>
      <c r="Q212" s="7" t="s">
        <v>801</v>
      </c>
      <c r="R212" s="7"/>
      <c r="S212" s="7" t="s">
        <v>802</v>
      </c>
      <c r="T212" s="7" t="s">
        <v>493</v>
      </c>
      <c r="U212" s="65">
        <v>3673.0</v>
      </c>
      <c r="V212" s="7"/>
      <c r="W212" s="7"/>
    </row>
    <row r="213">
      <c r="A213" s="45">
        <v>45898.72099537037</v>
      </c>
      <c r="B213" s="7" t="s">
        <v>300</v>
      </c>
      <c r="C213" s="67" t="s">
        <v>2077</v>
      </c>
      <c r="D213" s="74">
        <v>1.0</v>
      </c>
      <c r="E213" s="74">
        <v>1.0</v>
      </c>
      <c r="F213" s="47">
        <v>124.99</v>
      </c>
      <c r="G213" s="47">
        <v>0.0</v>
      </c>
      <c r="H213" s="7"/>
      <c r="I213" s="47">
        <v>5.8</v>
      </c>
      <c r="J213" s="140">
        <f t="shared" si="1"/>
        <v>119.19</v>
      </c>
      <c r="K213" s="8"/>
      <c r="L213" s="7"/>
      <c r="M213" s="7"/>
      <c r="N213" s="7"/>
      <c r="O213" s="7"/>
      <c r="P213" s="7" t="s">
        <v>490</v>
      </c>
      <c r="Q213" s="7" t="s">
        <v>2171</v>
      </c>
      <c r="R213" s="7"/>
      <c r="S213" s="7" t="s">
        <v>1699</v>
      </c>
      <c r="T213" s="7" t="s">
        <v>1293</v>
      </c>
      <c r="U213" s="65">
        <v>3675.0</v>
      </c>
      <c r="V213" s="7"/>
      <c r="W213" s="7"/>
    </row>
    <row r="214">
      <c r="A214" s="45">
        <v>45898.72054398148</v>
      </c>
      <c r="B214" s="7" t="s">
        <v>434</v>
      </c>
      <c r="C214" s="7" t="s">
        <v>2075</v>
      </c>
      <c r="D214" s="74">
        <v>1.0</v>
      </c>
      <c r="E214" s="46"/>
      <c r="F214" s="47">
        <v>26.49</v>
      </c>
      <c r="G214" s="47">
        <v>0.0</v>
      </c>
      <c r="H214" s="7"/>
      <c r="I214" s="47">
        <v>1.07</v>
      </c>
      <c r="J214" s="140">
        <f t="shared" si="1"/>
        <v>25.42</v>
      </c>
      <c r="K214" s="8"/>
      <c r="L214" s="7"/>
      <c r="M214" s="7"/>
      <c r="N214" s="7"/>
      <c r="O214" s="7"/>
      <c r="P214" s="7" t="s">
        <v>490</v>
      </c>
      <c r="Q214" s="7" t="s">
        <v>1342</v>
      </c>
      <c r="R214" s="7"/>
      <c r="S214" s="7" t="s">
        <v>1343</v>
      </c>
      <c r="T214" s="7" t="s">
        <v>493</v>
      </c>
      <c r="U214" s="65">
        <v>3676.0</v>
      </c>
      <c r="V214" s="7"/>
      <c r="W214" s="7"/>
    </row>
    <row r="215">
      <c r="A215" s="45">
        <v>45898.72042824074</v>
      </c>
      <c r="B215" s="7" t="s">
        <v>355</v>
      </c>
      <c r="C215" s="7" t="s">
        <v>2075</v>
      </c>
      <c r="D215" s="74">
        <v>1.0</v>
      </c>
      <c r="E215" s="46"/>
      <c r="F215" s="47">
        <v>27.61</v>
      </c>
      <c r="G215" s="47">
        <v>0.0</v>
      </c>
      <c r="H215" s="7"/>
      <c r="I215" s="47">
        <v>1.1</v>
      </c>
      <c r="J215" s="140">
        <f t="shared" si="1"/>
        <v>26.51</v>
      </c>
      <c r="K215" s="8"/>
      <c r="L215" s="7"/>
      <c r="M215" s="7"/>
      <c r="N215" s="7"/>
      <c r="O215" s="7"/>
      <c r="P215" s="7" t="s">
        <v>490</v>
      </c>
      <c r="Q215" s="7" t="s">
        <v>2055</v>
      </c>
      <c r="R215" s="7"/>
      <c r="S215" s="7" t="s">
        <v>1101</v>
      </c>
      <c r="T215" s="7" t="s">
        <v>493</v>
      </c>
      <c r="U215" s="65">
        <v>3658.0</v>
      </c>
      <c r="V215" s="7"/>
      <c r="W215" s="7"/>
    </row>
    <row r="216">
      <c r="A216" s="45">
        <v>45898.71958333333</v>
      </c>
      <c r="B216" s="7" t="s">
        <v>929</v>
      </c>
      <c r="C216" s="7" t="s">
        <v>2075</v>
      </c>
      <c r="D216" s="74">
        <v>1.0</v>
      </c>
      <c r="E216" s="46"/>
      <c r="F216" s="47">
        <v>24.99</v>
      </c>
      <c r="G216" s="47">
        <v>0.0</v>
      </c>
      <c r="H216" s="7"/>
      <c r="I216" s="47">
        <v>1.4</v>
      </c>
      <c r="J216" s="140">
        <f t="shared" si="1"/>
        <v>23.59</v>
      </c>
      <c r="K216" s="8"/>
      <c r="L216" s="7"/>
      <c r="M216" s="7"/>
      <c r="N216" s="7"/>
      <c r="O216" s="7"/>
      <c r="P216" s="7" t="s">
        <v>490</v>
      </c>
      <c r="Q216" s="7"/>
      <c r="R216" s="7"/>
      <c r="S216" s="7"/>
      <c r="T216" s="7" t="s">
        <v>545</v>
      </c>
      <c r="U216" s="65">
        <v>3659.0</v>
      </c>
      <c r="V216" s="7"/>
      <c r="W216" s="7"/>
    </row>
    <row r="217">
      <c r="A217" s="45">
        <v>45898.71923611111</v>
      </c>
      <c r="B217" s="7" t="s">
        <v>157</v>
      </c>
      <c r="C217" s="7" t="s">
        <v>2075</v>
      </c>
      <c r="D217" s="74">
        <v>1.0</v>
      </c>
      <c r="E217" s="46"/>
      <c r="F217" s="47">
        <v>24.99</v>
      </c>
      <c r="G217" s="47">
        <v>0.0</v>
      </c>
      <c r="H217" s="7"/>
      <c r="I217" s="47">
        <v>1.4</v>
      </c>
      <c r="J217" s="140">
        <f t="shared" si="1"/>
        <v>23.59</v>
      </c>
      <c r="K217" s="8"/>
      <c r="L217" s="7"/>
      <c r="M217" s="7"/>
      <c r="N217" s="7"/>
      <c r="O217" s="7"/>
      <c r="P217" s="7" t="s">
        <v>490</v>
      </c>
      <c r="Q217" s="7" t="s">
        <v>819</v>
      </c>
      <c r="R217" s="7"/>
      <c r="S217" s="7" t="s">
        <v>820</v>
      </c>
      <c r="T217" s="7" t="s">
        <v>726</v>
      </c>
      <c r="U217" s="65">
        <v>3670.0</v>
      </c>
      <c r="V217" s="7"/>
      <c r="W217" s="7"/>
    </row>
    <row r="218">
      <c r="A218" s="45">
        <v>45898.71913194445</v>
      </c>
      <c r="B218" s="7" t="s">
        <v>2172</v>
      </c>
      <c r="C218" s="7" t="s">
        <v>2075</v>
      </c>
      <c r="D218" s="74">
        <v>1.0</v>
      </c>
      <c r="E218" s="46"/>
      <c r="F218" s="47">
        <v>24.99</v>
      </c>
      <c r="G218" s="47">
        <v>0.0</v>
      </c>
      <c r="H218" s="7"/>
      <c r="I218" s="47">
        <v>1.4</v>
      </c>
      <c r="J218" s="140">
        <f t="shared" si="1"/>
        <v>23.59</v>
      </c>
      <c r="K218" s="8"/>
      <c r="L218" s="7"/>
      <c r="M218" s="7"/>
      <c r="N218" s="7"/>
      <c r="O218" s="7"/>
      <c r="P218" s="7" t="s">
        <v>490</v>
      </c>
      <c r="Q218" s="7" t="s">
        <v>2002</v>
      </c>
      <c r="R218" s="7" t="s">
        <v>2173</v>
      </c>
      <c r="S218" s="7" t="s">
        <v>645</v>
      </c>
      <c r="T218" s="7" t="s">
        <v>622</v>
      </c>
      <c r="U218" s="65">
        <v>3669.0</v>
      </c>
      <c r="V218" s="7"/>
      <c r="W218" s="7"/>
    </row>
    <row r="219">
      <c r="A219" s="45">
        <v>45898.71855324074</v>
      </c>
      <c r="B219" s="7" t="s">
        <v>442</v>
      </c>
      <c r="C219" s="67" t="s">
        <v>2077</v>
      </c>
      <c r="D219" s="74">
        <v>1.0</v>
      </c>
      <c r="E219" s="74">
        <v>1.0</v>
      </c>
      <c r="F219" s="47">
        <v>124.99</v>
      </c>
      <c r="G219" s="47">
        <v>0.0</v>
      </c>
      <c r="H219" s="7"/>
      <c r="I219" s="47">
        <v>3.92</v>
      </c>
      <c r="J219" s="140">
        <f t="shared" si="1"/>
        <v>121.07</v>
      </c>
      <c r="K219" s="8"/>
      <c r="L219" s="7"/>
      <c r="M219" s="7"/>
      <c r="N219" s="7"/>
      <c r="O219" s="7"/>
      <c r="P219" s="7" t="s">
        <v>490</v>
      </c>
      <c r="Q219" s="7" t="s">
        <v>1623</v>
      </c>
      <c r="R219" s="7"/>
      <c r="S219" s="7" t="s">
        <v>1349</v>
      </c>
      <c r="T219" s="7" t="s">
        <v>493</v>
      </c>
      <c r="U219" s="65">
        <v>3667.0</v>
      </c>
      <c r="V219" s="7"/>
      <c r="W219" s="7"/>
    </row>
    <row r="220">
      <c r="A220" s="45">
        <v>45898.71844907408</v>
      </c>
      <c r="B220" s="7" t="s">
        <v>162</v>
      </c>
      <c r="C220" s="67" t="s">
        <v>2077</v>
      </c>
      <c r="D220" s="74">
        <v>1.0</v>
      </c>
      <c r="E220" s="74">
        <v>1.0</v>
      </c>
      <c r="F220" s="47">
        <v>124.99</v>
      </c>
      <c r="G220" s="47">
        <v>0.0</v>
      </c>
      <c r="H220" s="7"/>
      <c r="I220" s="47">
        <v>5.8</v>
      </c>
      <c r="J220" s="140">
        <f t="shared" si="1"/>
        <v>119.19</v>
      </c>
      <c r="K220" s="8"/>
      <c r="L220" s="7"/>
      <c r="M220" s="7"/>
      <c r="N220" s="7"/>
      <c r="O220" s="7"/>
      <c r="P220" s="7" t="s">
        <v>490</v>
      </c>
      <c r="Q220" s="7" t="s">
        <v>841</v>
      </c>
      <c r="R220" s="7"/>
      <c r="S220" s="7" t="s">
        <v>842</v>
      </c>
      <c r="T220" s="7" t="s">
        <v>525</v>
      </c>
      <c r="U220" s="65">
        <v>3663.0</v>
      </c>
      <c r="V220" s="7"/>
      <c r="W220" s="7"/>
    </row>
    <row r="221">
      <c r="A221" s="45">
        <v>45898.718356481484</v>
      </c>
      <c r="B221" s="7" t="s">
        <v>323</v>
      </c>
      <c r="C221" s="7" t="s">
        <v>2075</v>
      </c>
      <c r="D221" s="74">
        <v>1.0</v>
      </c>
      <c r="E221" s="46"/>
      <c r="F221" s="47">
        <v>24.99</v>
      </c>
      <c r="G221" s="47">
        <v>0.0</v>
      </c>
      <c r="H221" s="7"/>
      <c r="I221" s="47">
        <v>1.4</v>
      </c>
      <c r="J221" s="140">
        <f t="shared" si="1"/>
        <v>23.59</v>
      </c>
      <c r="K221" s="8"/>
      <c r="L221" s="7"/>
      <c r="M221" s="7"/>
      <c r="N221" s="7"/>
      <c r="O221" s="7"/>
      <c r="P221" s="7" t="s">
        <v>490</v>
      </c>
      <c r="Q221" s="7"/>
      <c r="R221" s="7"/>
      <c r="S221" s="7"/>
      <c r="T221" s="7" t="s">
        <v>726</v>
      </c>
      <c r="U221" s="65">
        <v>3665.0</v>
      </c>
      <c r="V221" s="7"/>
      <c r="W221" s="7"/>
    </row>
    <row r="222">
      <c r="A222" s="45">
        <v>45898.7181712963</v>
      </c>
      <c r="B222" s="7" t="s">
        <v>136</v>
      </c>
      <c r="C222" s="7" t="s">
        <v>2075</v>
      </c>
      <c r="D222" s="74">
        <v>1.0</v>
      </c>
      <c r="E222" s="46"/>
      <c r="F222" s="47">
        <v>24.99</v>
      </c>
      <c r="G222" s="47">
        <v>0.0</v>
      </c>
      <c r="H222" s="7"/>
      <c r="I222" s="47">
        <v>1.02</v>
      </c>
      <c r="J222" s="140">
        <f t="shared" si="1"/>
        <v>23.97</v>
      </c>
      <c r="K222" s="8"/>
      <c r="L222" s="7"/>
      <c r="M222" s="7"/>
      <c r="N222" s="7"/>
      <c r="O222" s="7"/>
      <c r="P222" s="7" t="s">
        <v>490</v>
      </c>
      <c r="Q222" s="7" t="s">
        <v>652</v>
      </c>
      <c r="R222" s="7"/>
      <c r="S222" s="7" t="s">
        <v>653</v>
      </c>
      <c r="T222" s="7" t="s">
        <v>493</v>
      </c>
      <c r="U222" s="65">
        <v>3668.0</v>
      </c>
      <c r="V222" s="7"/>
      <c r="W222" s="7"/>
    </row>
    <row r="223">
      <c r="A223" s="45">
        <v>45898.71733796296</v>
      </c>
      <c r="B223" s="7" t="s">
        <v>205</v>
      </c>
      <c r="C223" s="7" t="s">
        <v>2075</v>
      </c>
      <c r="D223" s="74">
        <v>1.0</v>
      </c>
      <c r="E223" s="46"/>
      <c r="F223" s="47">
        <v>24.99</v>
      </c>
      <c r="G223" s="47">
        <v>0.0</v>
      </c>
      <c r="H223" s="7"/>
      <c r="I223" s="47">
        <v>1.4</v>
      </c>
      <c r="J223" s="140">
        <f t="shared" si="1"/>
        <v>23.59</v>
      </c>
      <c r="K223" s="8"/>
      <c r="L223" s="7"/>
      <c r="M223" s="7"/>
      <c r="N223" s="7"/>
      <c r="O223" s="7"/>
      <c r="P223" s="7" t="s">
        <v>490</v>
      </c>
      <c r="Q223" s="7" t="s">
        <v>964</v>
      </c>
      <c r="R223" s="65">
        <v>7.0</v>
      </c>
      <c r="S223" s="7" t="s">
        <v>965</v>
      </c>
      <c r="T223" s="7" t="s">
        <v>966</v>
      </c>
      <c r="U223" s="65">
        <v>3662.0</v>
      </c>
      <c r="V223" s="7"/>
      <c r="W223" s="7"/>
    </row>
    <row r="224">
      <c r="A224" s="45">
        <v>45898.71722222222</v>
      </c>
      <c r="B224" s="7" t="s">
        <v>860</v>
      </c>
      <c r="C224" s="7" t="s">
        <v>2075</v>
      </c>
      <c r="D224" s="74">
        <v>1.0</v>
      </c>
      <c r="E224" s="46"/>
      <c r="F224" s="47">
        <v>24.99</v>
      </c>
      <c r="G224" s="47">
        <v>0.0</v>
      </c>
      <c r="H224" s="7"/>
      <c r="I224" s="47">
        <v>1.02</v>
      </c>
      <c r="J224" s="140">
        <f t="shared" si="1"/>
        <v>23.97</v>
      </c>
      <c r="K224" s="8"/>
      <c r="L224" s="7"/>
      <c r="M224" s="7"/>
      <c r="N224" s="7"/>
      <c r="O224" s="7"/>
      <c r="P224" s="7" t="s">
        <v>490</v>
      </c>
      <c r="Q224" s="7" t="s">
        <v>861</v>
      </c>
      <c r="R224" s="7"/>
      <c r="S224" s="7" t="s">
        <v>862</v>
      </c>
      <c r="T224" s="7" t="s">
        <v>493</v>
      </c>
      <c r="U224" s="65">
        <v>3657.0</v>
      </c>
      <c r="V224" s="7"/>
      <c r="W224" s="7"/>
    </row>
    <row r="225">
      <c r="A225" s="45">
        <v>45898.715625</v>
      </c>
      <c r="B225" s="7" t="s">
        <v>351</v>
      </c>
      <c r="C225" s="7" t="s">
        <v>2075</v>
      </c>
      <c r="D225" s="74">
        <v>1.0</v>
      </c>
      <c r="E225" s="46"/>
      <c r="F225" s="47">
        <v>24.99</v>
      </c>
      <c r="G225" s="47">
        <v>0.0</v>
      </c>
      <c r="H225" s="7"/>
      <c r="I225" s="47">
        <v>1.4</v>
      </c>
      <c r="J225" s="140">
        <f t="shared" si="1"/>
        <v>23.59</v>
      </c>
      <c r="K225" s="8"/>
      <c r="L225" s="7"/>
      <c r="M225" s="7"/>
      <c r="N225" s="7"/>
      <c r="O225" s="7"/>
      <c r="P225" s="7" t="s">
        <v>490</v>
      </c>
      <c r="Q225" s="7" t="s">
        <v>2174</v>
      </c>
      <c r="R225" s="7" t="s">
        <v>2175</v>
      </c>
      <c r="S225" s="7" t="s">
        <v>1601</v>
      </c>
      <c r="T225" s="7" t="s">
        <v>497</v>
      </c>
      <c r="U225" s="65">
        <v>3652.0</v>
      </c>
      <c r="V225" s="7"/>
      <c r="W225" s="7"/>
    </row>
    <row r="226">
      <c r="A226" s="45">
        <v>45898.71460648148</v>
      </c>
      <c r="B226" s="7" t="s">
        <v>2176</v>
      </c>
      <c r="C226" s="7" t="s">
        <v>2075</v>
      </c>
      <c r="D226" s="74">
        <v>1.0</v>
      </c>
      <c r="E226" s="46"/>
      <c r="F226" s="47">
        <v>24.99</v>
      </c>
      <c r="G226" s="47">
        <v>0.0</v>
      </c>
      <c r="H226" s="7"/>
      <c r="I226" s="47">
        <v>1.02</v>
      </c>
      <c r="J226" s="140">
        <f t="shared" si="1"/>
        <v>23.97</v>
      </c>
      <c r="K226" s="8"/>
      <c r="L226" s="7"/>
      <c r="M226" s="7"/>
      <c r="N226" s="7"/>
      <c r="O226" s="7"/>
      <c r="P226" s="7" t="s">
        <v>490</v>
      </c>
      <c r="Q226" s="7" t="s">
        <v>1246</v>
      </c>
      <c r="R226" s="7"/>
      <c r="S226" s="7" t="s">
        <v>1247</v>
      </c>
      <c r="T226" s="7" t="s">
        <v>493</v>
      </c>
      <c r="U226" s="65">
        <v>3649.0</v>
      </c>
      <c r="V226" s="7"/>
      <c r="W226" s="7"/>
    </row>
    <row r="227">
      <c r="A227" s="45">
        <v>45898.71436342593</v>
      </c>
      <c r="B227" s="7" t="s">
        <v>1017</v>
      </c>
      <c r="C227" s="7" t="s">
        <v>2075</v>
      </c>
      <c r="D227" s="74">
        <v>1.0</v>
      </c>
      <c r="E227" s="46"/>
      <c r="F227" s="47">
        <v>26.93</v>
      </c>
      <c r="G227" s="47">
        <v>0.0</v>
      </c>
      <c r="H227" s="7"/>
      <c r="I227" s="47">
        <v>1.08</v>
      </c>
      <c r="J227" s="140">
        <f t="shared" si="1"/>
        <v>25.85</v>
      </c>
      <c r="K227" s="8"/>
      <c r="L227" s="7"/>
      <c r="M227" s="7"/>
      <c r="N227" s="7"/>
      <c r="O227" s="7"/>
      <c r="P227" s="7" t="s">
        <v>490</v>
      </c>
      <c r="Q227" s="7" t="s">
        <v>1018</v>
      </c>
      <c r="R227" s="7" t="s">
        <v>2020</v>
      </c>
      <c r="S227" s="7" t="s">
        <v>1020</v>
      </c>
      <c r="T227" s="7" t="s">
        <v>493</v>
      </c>
      <c r="U227" s="65">
        <v>3653.0</v>
      </c>
      <c r="V227" s="7"/>
      <c r="W227" s="7"/>
    </row>
    <row r="228">
      <c r="A228" s="45">
        <v>45898.71424768519</v>
      </c>
      <c r="B228" s="7" t="s">
        <v>1839</v>
      </c>
      <c r="C228" s="67" t="s">
        <v>2077</v>
      </c>
      <c r="D228" s="74">
        <v>1.0</v>
      </c>
      <c r="E228" s="74">
        <v>1.0</v>
      </c>
      <c r="F228" s="47">
        <v>124.99</v>
      </c>
      <c r="G228" s="47">
        <v>0.0</v>
      </c>
      <c r="H228" s="7"/>
      <c r="I228" s="47">
        <v>3.92</v>
      </c>
      <c r="J228" s="140">
        <f t="shared" si="1"/>
        <v>121.07</v>
      </c>
      <c r="K228" s="8"/>
      <c r="L228" s="7"/>
      <c r="M228" s="7"/>
      <c r="N228" s="7"/>
      <c r="O228" s="7"/>
      <c r="P228" s="7" t="s">
        <v>490</v>
      </c>
      <c r="Q228" s="7" t="s">
        <v>1657</v>
      </c>
      <c r="R228" s="7"/>
      <c r="S228" s="7" t="s">
        <v>1068</v>
      </c>
      <c r="T228" s="7" t="s">
        <v>493</v>
      </c>
      <c r="U228" s="65">
        <v>3655.0</v>
      </c>
      <c r="V228" s="7"/>
      <c r="W228" s="7"/>
    </row>
    <row r="229">
      <c r="A229" s="45">
        <v>45898.71357638889</v>
      </c>
      <c r="B229" s="7" t="s">
        <v>199</v>
      </c>
      <c r="C229" s="7" t="s">
        <v>2075</v>
      </c>
      <c r="D229" s="74">
        <v>1.0</v>
      </c>
      <c r="E229" s="46"/>
      <c r="F229" s="47">
        <v>24.99</v>
      </c>
      <c r="G229" s="47">
        <v>0.0</v>
      </c>
      <c r="H229" s="7"/>
      <c r="I229" s="47">
        <v>1.4</v>
      </c>
      <c r="J229" s="140">
        <f t="shared" si="1"/>
        <v>23.59</v>
      </c>
      <c r="K229" s="8"/>
      <c r="L229" s="7"/>
      <c r="M229" s="7"/>
      <c r="N229" s="7"/>
      <c r="O229" s="7"/>
      <c r="P229" s="7" t="s">
        <v>490</v>
      </c>
      <c r="Q229" s="7" t="s">
        <v>1687</v>
      </c>
      <c r="R229" s="7"/>
      <c r="S229" s="7" t="s">
        <v>1379</v>
      </c>
      <c r="T229" s="7" t="s">
        <v>525</v>
      </c>
      <c r="U229" s="65">
        <v>3650.0</v>
      </c>
      <c r="V229" s="7"/>
      <c r="W229" s="7"/>
    </row>
    <row r="230">
      <c r="A230" s="45">
        <v>45898.713368055556</v>
      </c>
      <c r="B230" s="7" t="s">
        <v>314</v>
      </c>
      <c r="C230" s="7" t="s">
        <v>2075</v>
      </c>
      <c r="D230" s="74">
        <v>1.0</v>
      </c>
      <c r="E230" s="46"/>
      <c r="F230" s="47">
        <v>24.99</v>
      </c>
      <c r="G230" s="47">
        <v>0.0</v>
      </c>
      <c r="H230" s="7"/>
      <c r="I230" s="47">
        <v>1.02</v>
      </c>
      <c r="J230" s="140">
        <f t="shared" si="1"/>
        <v>23.97</v>
      </c>
      <c r="K230" s="8"/>
      <c r="L230" s="7"/>
      <c r="M230" s="7"/>
      <c r="N230" s="7"/>
      <c r="O230" s="7"/>
      <c r="P230" s="7" t="s">
        <v>490</v>
      </c>
      <c r="Q230" s="7" t="s">
        <v>1457</v>
      </c>
      <c r="R230" s="7"/>
      <c r="S230" s="7" t="s">
        <v>1458</v>
      </c>
      <c r="T230" s="7" t="s">
        <v>493</v>
      </c>
      <c r="U230" s="65">
        <v>3648.0</v>
      </c>
      <c r="V230" s="7"/>
      <c r="W230" s="7"/>
    </row>
    <row r="231">
      <c r="A231" s="45">
        <v>45898.71296296296</v>
      </c>
      <c r="B231" s="7" t="s">
        <v>172</v>
      </c>
      <c r="C231" s="7" t="s">
        <v>2075</v>
      </c>
      <c r="D231" s="74">
        <v>1.0</v>
      </c>
      <c r="E231" s="46"/>
      <c r="F231" s="47">
        <v>24.99</v>
      </c>
      <c r="G231" s="47">
        <v>0.0</v>
      </c>
      <c r="H231" s="7"/>
      <c r="I231" s="47">
        <v>1.02</v>
      </c>
      <c r="J231" s="140">
        <f t="shared" si="1"/>
        <v>23.97</v>
      </c>
      <c r="K231" s="8"/>
      <c r="L231" s="7"/>
      <c r="M231" s="7"/>
      <c r="N231" s="7"/>
      <c r="O231" s="7"/>
      <c r="P231" s="7" t="s">
        <v>490</v>
      </c>
      <c r="Q231" s="7" t="s">
        <v>1102</v>
      </c>
      <c r="R231" s="7"/>
      <c r="S231" s="7" t="s">
        <v>1103</v>
      </c>
      <c r="T231" s="7" t="s">
        <v>493</v>
      </c>
      <c r="U231" s="65">
        <v>3651.0</v>
      </c>
      <c r="V231" s="7"/>
      <c r="W231" s="7"/>
    </row>
    <row r="232">
      <c r="A232" s="45">
        <v>45898.71196759259</v>
      </c>
      <c r="B232" s="7" t="s">
        <v>518</v>
      </c>
      <c r="C232" s="7" t="s">
        <v>2075</v>
      </c>
      <c r="D232" s="74">
        <v>1.0</v>
      </c>
      <c r="E232" s="46"/>
      <c r="F232" s="47">
        <v>24.99</v>
      </c>
      <c r="G232" s="47">
        <v>0.0</v>
      </c>
      <c r="H232" s="7"/>
      <c r="I232" s="47">
        <v>1.4</v>
      </c>
      <c r="J232" s="140">
        <f t="shared" si="1"/>
        <v>23.59</v>
      </c>
      <c r="K232" s="8"/>
      <c r="L232" s="7"/>
      <c r="M232" s="7"/>
      <c r="N232" s="7"/>
      <c r="O232" s="7"/>
      <c r="P232" s="7" t="s">
        <v>490</v>
      </c>
      <c r="Q232" s="7" t="s">
        <v>519</v>
      </c>
      <c r="R232" s="7"/>
      <c r="S232" s="7" t="s">
        <v>520</v>
      </c>
      <c r="T232" s="7" t="s">
        <v>521</v>
      </c>
      <c r="U232" s="65">
        <v>3641.0</v>
      </c>
      <c r="V232" s="7"/>
      <c r="W232" s="7"/>
    </row>
    <row r="233">
      <c r="A233" s="45">
        <v>45898.71194444445</v>
      </c>
      <c r="B233" s="7" t="s">
        <v>312</v>
      </c>
      <c r="C233" s="67" t="s">
        <v>2077</v>
      </c>
      <c r="D233" s="74">
        <v>1.0</v>
      </c>
      <c r="E233" s="74">
        <v>1.0</v>
      </c>
      <c r="F233" s="47">
        <v>124.99</v>
      </c>
      <c r="G233" s="47">
        <v>0.0</v>
      </c>
      <c r="H233" s="7"/>
      <c r="I233" s="47">
        <v>5.8</v>
      </c>
      <c r="J233" s="140">
        <f t="shared" si="1"/>
        <v>119.19</v>
      </c>
      <c r="K233" s="8"/>
      <c r="L233" s="7"/>
      <c r="M233" s="7"/>
      <c r="N233" s="7"/>
      <c r="O233" s="7"/>
      <c r="P233" s="7" t="s">
        <v>490</v>
      </c>
      <c r="Q233" s="7" t="s">
        <v>1844</v>
      </c>
      <c r="R233" s="7" t="s">
        <v>610</v>
      </c>
      <c r="S233" s="7" t="s">
        <v>1845</v>
      </c>
      <c r="T233" s="7" t="s">
        <v>542</v>
      </c>
      <c r="U233" s="65">
        <v>3646.0</v>
      </c>
      <c r="V233" s="7"/>
      <c r="W233" s="7"/>
    </row>
    <row r="234">
      <c r="A234" s="45">
        <v>45898.71189814815</v>
      </c>
      <c r="B234" s="7" t="s">
        <v>1110</v>
      </c>
      <c r="C234" s="7" t="s">
        <v>2075</v>
      </c>
      <c r="D234" s="74">
        <v>1.0</v>
      </c>
      <c r="E234" s="46"/>
      <c r="F234" s="47">
        <v>27.68</v>
      </c>
      <c r="G234" s="47">
        <v>0.0</v>
      </c>
      <c r="H234" s="7"/>
      <c r="I234" s="47">
        <v>1.1</v>
      </c>
      <c r="J234" s="140">
        <f t="shared" si="1"/>
        <v>26.58</v>
      </c>
      <c r="K234" s="8"/>
      <c r="L234" s="7"/>
      <c r="M234" s="7"/>
      <c r="N234" s="7"/>
      <c r="O234" s="7"/>
      <c r="P234" s="7" t="s">
        <v>490</v>
      </c>
      <c r="Q234" s="7" t="s">
        <v>1111</v>
      </c>
      <c r="R234" s="7"/>
      <c r="S234" s="7" t="s">
        <v>1112</v>
      </c>
      <c r="T234" s="7" t="s">
        <v>493</v>
      </c>
      <c r="U234" s="65">
        <v>3645.0</v>
      </c>
      <c r="V234" s="7"/>
      <c r="W234" s="7"/>
    </row>
    <row r="235">
      <c r="A235" s="45">
        <v>45898.71177083333</v>
      </c>
      <c r="B235" s="7" t="s">
        <v>374</v>
      </c>
      <c r="C235" s="7" t="s">
        <v>2075</v>
      </c>
      <c r="D235" s="74">
        <v>1.0</v>
      </c>
      <c r="E235" s="46"/>
      <c r="F235" s="47">
        <v>24.99</v>
      </c>
      <c r="G235" s="47">
        <v>0.0</v>
      </c>
      <c r="H235" s="7"/>
      <c r="I235" s="47">
        <v>1.4</v>
      </c>
      <c r="J235" s="140">
        <f t="shared" si="1"/>
        <v>23.59</v>
      </c>
      <c r="K235" s="8"/>
      <c r="L235" s="7"/>
      <c r="M235" s="7"/>
      <c r="N235" s="7"/>
      <c r="O235" s="7"/>
      <c r="P235" s="7" t="s">
        <v>490</v>
      </c>
      <c r="Q235" s="7" t="s">
        <v>507</v>
      </c>
      <c r="R235" s="7" t="s">
        <v>508</v>
      </c>
      <c r="S235" s="7" t="s">
        <v>509</v>
      </c>
      <c r="T235" s="7" t="s">
        <v>510</v>
      </c>
      <c r="U235" s="65">
        <v>3635.0</v>
      </c>
      <c r="V235" s="7"/>
      <c r="W235" s="7"/>
    </row>
    <row r="236">
      <c r="A236" s="45">
        <v>45898.711701388886</v>
      </c>
      <c r="B236" s="7" t="s">
        <v>194</v>
      </c>
      <c r="C236" s="7" t="s">
        <v>2075</v>
      </c>
      <c r="D236" s="74">
        <v>1.0</v>
      </c>
      <c r="E236" s="46"/>
      <c r="F236" s="47">
        <v>24.99</v>
      </c>
      <c r="G236" s="47">
        <v>0.0</v>
      </c>
      <c r="H236" s="7"/>
      <c r="I236" s="47">
        <v>1.4</v>
      </c>
      <c r="J236" s="140">
        <f t="shared" si="1"/>
        <v>23.59</v>
      </c>
      <c r="K236" s="8"/>
      <c r="L236" s="7"/>
      <c r="M236" s="7"/>
      <c r="N236" s="7"/>
      <c r="O236" s="7"/>
      <c r="P236" s="7" t="s">
        <v>490</v>
      </c>
      <c r="Q236" s="7" t="s">
        <v>891</v>
      </c>
      <c r="R236" s="7"/>
      <c r="S236" s="7" t="s">
        <v>892</v>
      </c>
      <c r="T236" s="7" t="s">
        <v>555</v>
      </c>
      <c r="U236" s="65">
        <v>3640.0</v>
      </c>
      <c r="V236" s="7"/>
      <c r="W236" s="7"/>
    </row>
    <row r="237">
      <c r="A237" s="45">
        <v>45898.71167824074</v>
      </c>
      <c r="B237" s="7" t="s">
        <v>370</v>
      </c>
      <c r="C237" s="67" t="s">
        <v>2077</v>
      </c>
      <c r="D237" s="74">
        <v>1.0</v>
      </c>
      <c r="E237" s="74">
        <v>1.0</v>
      </c>
      <c r="F237" s="47">
        <v>124.99</v>
      </c>
      <c r="G237" s="47">
        <v>0.0</v>
      </c>
      <c r="H237" s="7"/>
      <c r="I237" s="47">
        <v>3.92</v>
      </c>
      <c r="J237" s="140">
        <f t="shared" si="1"/>
        <v>121.07</v>
      </c>
      <c r="K237" s="8"/>
      <c r="L237" s="7"/>
      <c r="M237" s="7"/>
      <c r="N237" s="7"/>
      <c r="O237" s="7"/>
      <c r="P237" s="7" t="s">
        <v>490</v>
      </c>
      <c r="Q237" s="7" t="s">
        <v>1094</v>
      </c>
      <c r="R237" s="7"/>
      <c r="S237" s="7" t="s">
        <v>1095</v>
      </c>
      <c r="T237" s="7" t="s">
        <v>493</v>
      </c>
      <c r="U237" s="65">
        <v>3644.0</v>
      </c>
      <c r="V237" s="7"/>
      <c r="W237" s="7"/>
    </row>
    <row r="238">
      <c r="A238" s="45">
        <v>45898.71158564815</v>
      </c>
      <c r="B238" s="7" t="s">
        <v>443</v>
      </c>
      <c r="C238" s="7" t="s">
        <v>2075</v>
      </c>
      <c r="D238" s="74">
        <v>1.0</v>
      </c>
      <c r="E238" s="46"/>
      <c r="F238" s="47">
        <v>24.99</v>
      </c>
      <c r="G238" s="47">
        <v>0.0</v>
      </c>
      <c r="H238" s="7"/>
      <c r="I238" s="47">
        <v>1.02</v>
      </c>
      <c r="J238" s="140">
        <f t="shared" si="1"/>
        <v>23.97</v>
      </c>
      <c r="K238" s="8"/>
      <c r="L238" s="7"/>
      <c r="M238" s="7"/>
      <c r="N238" s="7"/>
      <c r="O238" s="7"/>
      <c r="P238" s="7" t="s">
        <v>490</v>
      </c>
      <c r="Q238" s="7" t="s">
        <v>1145</v>
      </c>
      <c r="R238" s="65">
        <v>237.0</v>
      </c>
      <c r="S238" s="7" t="s">
        <v>1147</v>
      </c>
      <c r="T238" s="7" t="s">
        <v>493</v>
      </c>
      <c r="U238" s="65">
        <v>3642.0</v>
      </c>
      <c r="V238" s="7"/>
      <c r="W238" s="7"/>
    </row>
    <row r="239">
      <c r="A239" s="45">
        <v>45898.711539351854</v>
      </c>
      <c r="B239" s="7" t="s">
        <v>416</v>
      </c>
      <c r="C239" s="7" t="s">
        <v>2075</v>
      </c>
      <c r="D239" s="74">
        <v>1.0</v>
      </c>
      <c r="E239" s="46"/>
      <c r="F239" s="47">
        <v>24.99</v>
      </c>
      <c r="G239" s="47">
        <v>0.0</v>
      </c>
      <c r="H239" s="7"/>
      <c r="I239" s="47">
        <v>1.02</v>
      </c>
      <c r="J239" s="140">
        <f t="shared" si="1"/>
        <v>23.97</v>
      </c>
      <c r="K239" s="8"/>
      <c r="L239" s="7"/>
      <c r="M239" s="7"/>
      <c r="N239" s="7"/>
      <c r="O239" s="7"/>
      <c r="P239" s="7" t="s">
        <v>490</v>
      </c>
      <c r="Q239" s="7" t="s">
        <v>1440</v>
      </c>
      <c r="R239" s="7" t="s">
        <v>1441</v>
      </c>
      <c r="S239" s="7" t="s">
        <v>1442</v>
      </c>
      <c r="T239" s="7" t="s">
        <v>493</v>
      </c>
      <c r="U239" s="65">
        <v>3639.0</v>
      </c>
      <c r="V239" s="7"/>
      <c r="W239" s="7"/>
    </row>
    <row r="240">
      <c r="A240" s="45">
        <v>45898.711539351854</v>
      </c>
      <c r="B240" s="7" t="s">
        <v>360</v>
      </c>
      <c r="C240" s="7" t="s">
        <v>2075</v>
      </c>
      <c r="D240" s="74">
        <v>1.0</v>
      </c>
      <c r="E240" s="46"/>
      <c r="F240" s="47">
        <v>24.99</v>
      </c>
      <c r="G240" s="47">
        <v>0.0</v>
      </c>
      <c r="H240" s="7"/>
      <c r="I240" s="47">
        <v>1.4</v>
      </c>
      <c r="J240" s="140">
        <f t="shared" si="1"/>
        <v>23.59</v>
      </c>
      <c r="K240" s="8"/>
      <c r="L240" s="7"/>
      <c r="M240" s="7"/>
      <c r="N240" s="7"/>
      <c r="O240" s="7"/>
      <c r="P240" s="7" t="s">
        <v>490</v>
      </c>
      <c r="Q240" s="7" t="s">
        <v>1265</v>
      </c>
      <c r="R240" s="7"/>
      <c r="S240" s="7" t="s">
        <v>1266</v>
      </c>
      <c r="T240" s="7" t="s">
        <v>542</v>
      </c>
      <c r="U240" s="65">
        <v>3643.0</v>
      </c>
      <c r="V240" s="7"/>
      <c r="W240" s="7"/>
    </row>
    <row r="241">
      <c r="A241" s="45">
        <v>45898.711388888885</v>
      </c>
      <c r="B241" s="7" t="s">
        <v>307</v>
      </c>
      <c r="C241" s="7" t="s">
        <v>2075</v>
      </c>
      <c r="D241" s="74">
        <v>1.0</v>
      </c>
      <c r="E241" s="46"/>
      <c r="F241" s="47">
        <v>24.99</v>
      </c>
      <c r="G241" s="47">
        <v>0.0</v>
      </c>
      <c r="H241" s="7"/>
      <c r="I241" s="47">
        <v>1.4</v>
      </c>
      <c r="J241" s="140">
        <f t="shared" si="1"/>
        <v>23.59</v>
      </c>
      <c r="K241" s="8"/>
      <c r="L241" s="7"/>
      <c r="M241" s="7"/>
      <c r="N241" s="7"/>
      <c r="O241" s="7"/>
      <c r="P241" s="7" t="s">
        <v>490</v>
      </c>
      <c r="Q241" s="7" t="s">
        <v>1631</v>
      </c>
      <c r="R241" s="7"/>
      <c r="S241" s="7" t="s">
        <v>995</v>
      </c>
      <c r="T241" s="7" t="s">
        <v>545</v>
      </c>
      <c r="U241" s="65">
        <v>3636.0</v>
      </c>
      <c r="V241" s="7"/>
      <c r="W241" s="7"/>
    </row>
    <row r="242">
      <c r="A242" s="45">
        <v>45898.71126157408</v>
      </c>
      <c r="B242" s="7" t="s">
        <v>1124</v>
      </c>
      <c r="C242" s="7" t="s">
        <v>2075</v>
      </c>
      <c r="D242" s="74">
        <v>1.0</v>
      </c>
      <c r="E242" s="46"/>
      <c r="F242" s="47">
        <v>24.99</v>
      </c>
      <c r="G242" s="47">
        <v>0.0</v>
      </c>
      <c r="H242" s="7"/>
      <c r="I242" s="47">
        <v>1.4</v>
      </c>
      <c r="J242" s="140">
        <f t="shared" si="1"/>
        <v>23.59</v>
      </c>
      <c r="K242" s="8"/>
      <c r="L242" s="7"/>
      <c r="M242" s="7"/>
      <c r="N242" s="7"/>
      <c r="O242" s="7"/>
      <c r="P242" s="7" t="s">
        <v>490</v>
      </c>
      <c r="Q242" s="7" t="s">
        <v>1125</v>
      </c>
      <c r="R242" s="7"/>
      <c r="S242" s="7" t="s">
        <v>1126</v>
      </c>
      <c r="T242" s="7" t="s">
        <v>525</v>
      </c>
      <c r="U242" s="65">
        <v>3637.0</v>
      </c>
      <c r="V242" s="7"/>
      <c r="W242" s="7"/>
    </row>
    <row r="243">
      <c r="A243" s="45">
        <v>45898.71068287037</v>
      </c>
      <c r="B243" s="7" t="s">
        <v>190</v>
      </c>
      <c r="C243" s="67" t="s">
        <v>2077</v>
      </c>
      <c r="D243" s="74">
        <v>1.0</v>
      </c>
      <c r="E243" s="74">
        <v>1.0</v>
      </c>
      <c r="F243" s="47">
        <v>124.99</v>
      </c>
      <c r="G243" s="47">
        <v>0.0</v>
      </c>
      <c r="H243" s="7"/>
      <c r="I243" s="47">
        <v>5.8</v>
      </c>
      <c r="J243" s="140">
        <f t="shared" si="1"/>
        <v>119.19</v>
      </c>
      <c r="K243" s="8"/>
      <c r="L243" s="7"/>
      <c r="M243" s="7"/>
      <c r="N243" s="7"/>
      <c r="O243" s="7"/>
      <c r="P243" s="7" t="s">
        <v>490</v>
      </c>
      <c r="Q243" s="7" t="s">
        <v>778</v>
      </c>
      <c r="R243" s="7"/>
      <c r="S243" s="7" t="s">
        <v>779</v>
      </c>
      <c r="T243" s="7" t="s">
        <v>51</v>
      </c>
      <c r="U243" s="65">
        <v>3624.0</v>
      </c>
      <c r="V243" s="7"/>
      <c r="W243" s="7"/>
    </row>
    <row r="244">
      <c r="A244" s="45">
        <v>45898.71053240741</v>
      </c>
      <c r="B244" s="7" t="s">
        <v>1432</v>
      </c>
      <c r="C244" s="7" t="s">
        <v>2075</v>
      </c>
      <c r="D244" s="74">
        <v>1.0</v>
      </c>
      <c r="E244" s="46"/>
      <c r="F244" s="47">
        <v>24.99</v>
      </c>
      <c r="G244" s="47">
        <v>0.0</v>
      </c>
      <c r="H244" s="7"/>
      <c r="I244" s="47">
        <v>1.02</v>
      </c>
      <c r="J244" s="140">
        <f t="shared" si="1"/>
        <v>23.97</v>
      </c>
      <c r="K244" s="8"/>
      <c r="L244" s="7"/>
      <c r="M244" s="7"/>
      <c r="N244" s="7"/>
      <c r="O244" s="7"/>
      <c r="P244" s="7" t="s">
        <v>490</v>
      </c>
      <c r="Q244" s="7" t="s">
        <v>1433</v>
      </c>
      <c r="R244" s="7"/>
      <c r="S244" s="7" t="s">
        <v>1434</v>
      </c>
      <c r="T244" s="7" t="s">
        <v>493</v>
      </c>
      <c r="U244" s="65">
        <v>3626.0</v>
      </c>
      <c r="V244" s="7"/>
      <c r="W244" s="7"/>
    </row>
    <row r="245">
      <c r="A245" s="45">
        <v>45898.7103125</v>
      </c>
      <c r="B245" s="7" t="s">
        <v>316</v>
      </c>
      <c r="C245" s="7" t="s">
        <v>2075</v>
      </c>
      <c r="D245" s="74">
        <v>1.0</v>
      </c>
      <c r="E245" s="46"/>
      <c r="F245" s="47">
        <v>24.99</v>
      </c>
      <c r="G245" s="47">
        <v>0.0</v>
      </c>
      <c r="H245" s="7"/>
      <c r="I245" s="47">
        <v>1.02</v>
      </c>
      <c r="J245" s="140">
        <f t="shared" si="1"/>
        <v>23.97</v>
      </c>
      <c r="K245" s="8"/>
      <c r="L245" s="7"/>
      <c r="M245" s="7"/>
      <c r="N245" s="7"/>
      <c r="O245" s="7"/>
      <c r="P245" s="7" t="s">
        <v>490</v>
      </c>
      <c r="Q245" s="7"/>
      <c r="R245" s="7"/>
      <c r="S245" s="7"/>
      <c r="T245" s="7" t="s">
        <v>493</v>
      </c>
      <c r="U245" s="65">
        <v>3628.0</v>
      </c>
      <c r="V245" s="7"/>
      <c r="W245" s="7"/>
    </row>
    <row r="246">
      <c r="A246" s="45">
        <v>45898.71021990741</v>
      </c>
      <c r="B246" s="7" t="s">
        <v>409</v>
      </c>
      <c r="C246" s="7" t="s">
        <v>2075</v>
      </c>
      <c r="D246" s="74">
        <v>1.0</v>
      </c>
      <c r="E246" s="46"/>
      <c r="F246" s="47">
        <v>24.99</v>
      </c>
      <c r="G246" s="47">
        <v>0.0</v>
      </c>
      <c r="H246" s="7"/>
      <c r="I246" s="47">
        <v>1.02</v>
      </c>
      <c r="J246" s="140">
        <f t="shared" si="1"/>
        <v>23.97</v>
      </c>
      <c r="K246" s="8"/>
      <c r="L246" s="7"/>
      <c r="M246" s="7"/>
      <c r="N246" s="7"/>
      <c r="O246" s="7"/>
      <c r="P246" s="7" t="s">
        <v>490</v>
      </c>
      <c r="Q246" s="7" t="s">
        <v>1421</v>
      </c>
      <c r="R246" s="7"/>
      <c r="S246" s="7" t="s">
        <v>1249</v>
      </c>
      <c r="T246" s="7" t="s">
        <v>493</v>
      </c>
      <c r="U246" s="65">
        <v>3632.0</v>
      </c>
      <c r="V246" s="7"/>
      <c r="W246" s="7"/>
    </row>
    <row r="247">
      <c r="A247" s="45">
        <v>45898.709872685184</v>
      </c>
      <c r="B247" s="7" t="s">
        <v>232</v>
      </c>
      <c r="C247" s="7" t="s">
        <v>2075</v>
      </c>
      <c r="D247" s="74">
        <v>1.0</v>
      </c>
      <c r="E247" s="46"/>
      <c r="F247" s="47">
        <v>24.99</v>
      </c>
      <c r="G247" s="47">
        <v>0.0</v>
      </c>
      <c r="H247" s="7"/>
      <c r="I247" s="47">
        <v>1.02</v>
      </c>
      <c r="J247" s="140">
        <f t="shared" si="1"/>
        <v>23.97</v>
      </c>
      <c r="K247" s="8"/>
      <c r="L247" s="7"/>
      <c r="M247" s="7"/>
      <c r="N247" s="7"/>
      <c r="O247" s="7"/>
      <c r="P247" s="7" t="s">
        <v>490</v>
      </c>
      <c r="Q247" s="7" t="s">
        <v>1142</v>
      </c>
      <c r="R247" s="7"/>
      <c r="S247" s="7" t="s">
        <v>567</v>
      </c>
      <c r="T247" s="7" t="s">
        <v>493</v>
      </c>
      <c r="U247" s="65">
        <v>3625.0</v>
      </c>
      <c r="V247" s="7"/>
      <c r="W247" s="7"/>
    </row>
    <row r="248">
      <c r="A248" s="45">
        <v>45898.70924768518</v>
      </c>
      <c r="B248" s="7" t="s">
        <v>906</v>
      </c>
      <c r="C248" s="7" t="s">
        <v>2075</v>
      </c>
      <c r="D248" s="74">
        <v>1.0</v>
      </c>
      <c r="E248" s="46"/>
      <c r="F248" s="47">
        <v>24.99</v>
      </c>
      <c r="G248" s="47">
        <v>0.0</v>
      </c>
      <c r="H248" s="7"/>
      <c r="I248" s="47">
        <v>1.02</v>
      </c>
      <c r="J248" s="140">
        <f t="shared" si="1"/>
        <v>23.97</v>
      </c>
      <c r="K248" s="8"/>
      <c r="L248" s="7"/>
      <c r="M248" s="7"/>
      <c r="N248" s="7"/>
      <c r="O248" s="7"/>
      <c r="P248" s="7" t="s">
        <v>490</v>
      </c>
      <c r="Q248" s="7" t="s">
        <v>907</v>
      </c>
      <c r="R248" s="7"/>
      <c r="S248" s="7" t="s">
        <v>854</v>
      </c>
      <c r="T248" s="7" t="s">
        <v>493</v>
      </c>
      <c r="U248" s="65">
        <v>3617.0</v>
      </c>
      <c r="V248" s="7"/>
      <c r="W248" s="7"/>
    </row>
    <row r="249">
      <c r="A249" s="45">
        <v>45898.709131944444</v>
      </c>
      <c r="B249" s="7" t="s">
        <v>289</v>
      </c>
      <c r="C249" s="7" t="s">
        <v>2075</v>
      </c>
      <c r="D249" s="74">
        <v>1.0</v>
      </c>
      <c r="E249" s="46"/>
      <c r="F249" s="47">
        <v>24.99</v>
      </c>
      <c r="G249" s="47">
        <v>0.0</v>
      </c>
      <c r="H249" s="7"/>
      <c r="I249" s="47">
        <v>1.02</v>
      </c>
      <c r="J249" s="140">
        <f t="shared" si="1"/>
        <v>23.97</v>
      </c>
      <c r="K249" s="8"/>
      <c r="L249" s="7"/>
      <c r="M249" s="7"/>
      <c r="N249" s="7"/>
      <c r="O249" s="7"/>
      <c r="P249" s="7" t="s">
        <v>490</v>
      </c>
      <c r="Q249" s="7" t="s">
        <v>1305</v>
      </c>
      <c r="R249" s="7"/>
      <c r="S249" s="7" t="s">
        <v>1306</v>
      </c>
      <c r="T249" s="7" t="s">
        <v>493</v>
      </c>
      <c r="U249" s="65">
        <v>3621.0</v>
      </c>
      <c r="V249" s="7"/>
      <c r="W249" s="7"/>
    </row>
    <row r="250">
      <c r="A250" s="45">
        <v>45898.7081712963</v>
      </c>
      <c r="B250" s="7" t="s">
        <v>921</v>
      </c>
      <c r="C250" s="7" t="s">
        <v>2075</v>
      </c>
      <c r="D250" s="74">
        <v>1.0</v>
      </c>
      <c r="E250" s="46"/>
      <c r="F250" s="47">
        <v>24.99</v>
      </c>
      <c r="G250" s="47">
        <v>0.0</v>
      </c>
      <c r="H250" s="7"/>
      <c r="I250" s="47">
        <v>1.02</v>
      </c>
      <c r="J250" s="140">
        <f t="shared" si="1"/>
        <v>23.97</v>
      </c>
      <c r="K250" s="8"/>
      <c r="L250" s="7"/>
      <c r="M250" s="7"/>
      <c r="N250" s="7"/>
      <c r="O250" s="7"/>
      <c r="P250" s="7" t="s">
        <v>490</v>
      </c>
      <c r="Q250" s="7" t="s">
        <v>922</v>
      </c>
      <c r="R250" s="7"/>
      <c r="S250" s="7" t="s">
        <v>923</v>
      </c>
      <c r="T250" s="7" t="s">
        <v>493</v>
      </c>
      <c r="U250" s="65">
        <v>3620.0</v>
      </c>
      <c r="V250" s="7"/>
      <c r="W250" s="7"/>
    </row>
    <row r="251">
      <c r="A251" s="45">
        <v>45898.708090277774</v>
      </c>
      <c r="B251" s="7" t="s">
        <v>1339</v>
      </c>
      <c r="C251" s="7" t="s">
        <v>2075</v>
      </c>
      <c r="D251" s="74">
        <v>1.0</v>
      </c>
      <c r="E251" s="46"/>
      <c r="F251" s="47">
        <v>24.99</v>
      </c>
      <c r="G251" s="47">
        <v>0.0</v>
      </c>
      <c r="H251" s="7"/>
      <c r="I251" s="47">
        <v>1.4</v>
      </c>
      <c r="J251" s="140">
        <f t="shared" si="1"/>
        <v>23.59</v>
      </c>
      <c r="K251" s="8"/>
      <c r="L251" s="7"/>
      <c r="M251" s="7"/>
      <c r="N251" s="7"/>
      <c r="O251" s="7"/>
      <c r="P251" s="7" t="s">
        <v>490</v>
      </c>
      <c r="Q251" s="7" t="s">
        <v>1340</v>
      </c>
      <c r="R251" s="7"/>
      <c r="S251" s="7" t="s">
        <v>1341</v>
      </c>
      <c r="T251" s="7" t="s">
        <v>525</v>
      </c>
      <c r="U251" s="65">
        <v>3618.0</v>
      </c>
      <c r="V251" s="7"/>
      <c r="W251" s="7"/>
    </row>
    <row r="252">
      <c r="A252" s="45">
        <v>45898.70715277778</v>
      </c>
      <c r="B252" s="7" t="s">
        <v>457</v>
      </c>
      <c r="C252" s="7" t="s">
        <v>2075</v>
      </c>
      <c r="D252" s="74">
        <v>1.0</v>
      </c>
      <c r="E252" s="46"/>
      <c r="F252" s="47">
        <v>24.99</v>
      </c>
      <c r="G252" s="47">
        <v>0.0</v>
      </c>
      <c r="H252" s="7"/>
      <c r="I252" s="47">
        <v>1.02</v>
      </c>
      <c r="J252" s="140">
        <f t="shared" si="1"/>
        <v>23.97</v>
      </c>
      <c r="K252" s="8"/>
      <c r="L252" s="7"/>
      <c r="M252" s="7"/>
      <c r="N252" s="7"/>
      <c r="O252" s="7"/>
      <c r="P252" s="7" t="s">
        <v>490</v>
      </c>
      <c r="Q252" s="7" t="s">
        <v>1333</v>
      </c>
      <c r="R252" s="7"/>
      <c r="S252" s="7" t="s">
        <v>1334</v>
      </c>
      <c r="T252" s="7" t="s">
        <v>493</v>
      </c>
      <c r="U252" s="65">
        <v>3616.0</v>
      </c>
      <c r="V252" s="7"/>
      <c r="W252" s="7"/>
    </row>
    <row r="253">
      <c r="A253" s="45">
        <v>45898.706458333334</v>
      </c>
      <c r="B253" s="7" t="s">
        <v>134</v>
      </c>
      <c r="C253" s="7" t="s">
        <v>2075</v>
      </c>
      <c r="D253" s="74">
        <v>1.0</v>
      </c>
      <c r="E253" s="46"/>
      <c r="F253" s="47">
        <v>24.99</v>
      </c>
      <c r="G253" s="47">
        <v>0.0</v>
      </c>
      <c r="H253" s="7"/>
      <c r="I253" s="47">
        <v>1.4</v>
      </c>
      <c r="J253" s="140">
        <f t="shared" si="1"/>
        <v>23.59</v>
      </c>
      <c r="K253" s="8"/>
      <c r="L253" s="7"/>
      <c r="M253" s="7"/>
      <c r="N253" s="7"/>
      <c r="O253" s="7"/>
      <c r="P253" s="7" t="s">
        <v>490</v>
      </c>
      <c r="Q253" s="7" t="s">
        <v>1838</v>
      </c>
      <c r="R253" s="65">
        <v>11.0</v>
      </c>
      <c r="S253" s="7" t="s">
        <v>1489</v>
      </c>
      <c r="T253" s="7" t="s">
        <v>525</v>
      </c>
      <c r="U253" s="65">
        <v>3615.0</v>
      </c>
      <c r="V253" s="7"/>
      <c r="W253" s="7"/>
    </row>
    <row r="254">
      <c r="A254" s="45">
        <v>45898.7058912037</v>
      </c>
      <c r="B254" s="7" t="s">
        <v>354</v>
      </c>
      <c r="C254" s="7" t="s">
        <v>2075</v>
      </c>
      <c r="D254" s="74">
        <v>1.0</v>
      </c>
      <c r="E254" s="46"/>
      <c r="F254" s="47">
        <v>24.99</v>
      </c>
      <c r="G254" s="47">
        <v>0.0</v>
      </c>
      <c r="H254" s="7"/>
      <c r="I254" s="47">
        <v>1.4</v>
      </c>
      <c r="J254" s="140">
        <f t="shared" si="1"/>
        <v>23.59</v>
      </c>
      <c r="K254" s="8"/>
      <c r="L254" s="7"/>
      <c r="M254" s="7"/>
      <c r="N254" s="7"/>
      <c r="O254" s="7"/>
      <c r="P254" s="7" t="s">
        <v>490</v>
      </c>
      <c r="Q254" s="7" t="s">
        <v>1660</v>
      </c>
      <c r="R254" s="7"/>
      <c r="S254" s="7" t="s">
        <v>1661</v>
      </c>
      <c r="T254" s="7" t="s">
        <v>521</v>
      </c>
      <c r="U254" s="65">
        <v>3614.0</v>
      </c>
      <c r="V254" s="7"/>
      <c r="W254" s="7"/>
    </row>
    <row r="255">
      <c r="A255" s="45">
        <v>45898.705717592595</v>
      </c>
      <c r="B255" s="7" t="s">
        <v>346</v>
      </c>
      <c r="C255" s="7" t="s">
        <v>2075</v>
      </c>
      <c r="D255" s="74">
        <v>1.0</v>
      </c>
      <c r="E255" s="46"/>
      <c r="F255" s="47">
        <v>24.99</v>
      </c>
      <c r="G255" s="47">
        <v>0.0</v>
      </c>
      <c r="H255" s="7"/>
      <c r="I255" s="47">
        <v>1.02</v>
      </c>
      <c r="J255" s="140">
        <f t="shared" si="1"/>
        <v>23.97</v>
      </c>
      <c r="K255" s="8"/>
      <c r="L255" s="7"/>
      <c r="M255" s="7"/>
      <c r="N255" s="7"/>
      <c r="O255" s="7"/>
      <c r="P255" s="7" t="s">
        <v>490</v>
      </c>
      <c r="Q255" s="7" t="s">
        <v>1912</v>
      </c>
      <c r="R255" s="65">
        <v>503.0</v>
      </c>
      <c r="S255" s="7" t="s">
        <v>1913</v>
      </c>
      <c r="T255" s="7" t="s">
        <v>493</v>
      </c>
      <c r="U255" s="65">
        <v>3613.0</v>
      </c>
      <c r="V255" s="7"/>
      <c r="W255" s="7"/>
    </row>
    <row r="256">
      <c r="A256" s="45">
        <v>45898.70431712963</v>
      </c>
      <c r="B256" s="7" t="s">
        <v>1603</v>
      </c>
      <c r="C256" s="7" t="s">
        <v>2075</v>
      </c>
      <c r="D256" s="74">
        <v>1.0</v>
      </c>
      <c r="E256" s="46"/>
      <c r="F256" s="47">
        <v>24.99</v>
      </c>
      <c r="G256" s="47">
        <v>0.0</v>
      </c>
      <c r="H256" s="7"/>
      <c r="I256" s="47">
        <v>1.02</v>
      </c>
      <c r="J256" s="140">
        <f t="shared" si="1"/>
        <v>23.97</v>
      </c>
      <c r="K256" s="8"/>
      <c r="L256" s="7"/>
      <c r="M256" s="7"/>
      <c r="N256" s="7"/>
      <c r="O256" s="7"/>
      <c r="P256" s="7" t="s">
        <v>490</v>
      </c>
      <c r="Q256" s="7" t="s">
        <v>1604</v>
      </c>
      <c r="R256" s="7"/>
      <c r="S256" s="7" t="s">
        <v>746</v>
      </c>
      <c r="T256" s="7" t="s">
        <v>493</v>
      </c>
      <c r="U256" s="65">
        <v>3611.0</v>
      </c>
      <c r="V256" s="7"/>
      <c r="W256" s="7"/>
    </row>
    <row r="257">
      <c r="A257" s="45">
        <v>45898.70392361111</v>
      </c>
      <c r="B257" s="7" t="s">
        <v>438</v>
      </c>
      <c r="C257" s="67" t="s">
        <v>2077</v>
      </c>
      <c r="D257" s="74">
        <v>1.0</v>
      </c>
      <c r="E257" s="74">
        <v>1.0</v>
      </c>
      <c r="F257" s="47">
        <v>124.99</v>
      </c>
      <c r="G257" s="47">
        <v>0.0</v>
      </c>
      <c r="H257" s="7"/>
      <c r="I257" s="47">
        <v>5.8</v>
      </c>
      <c r="J257" s="140">
        <f t="shared" si="1"/>
        <v>119.19</v>
      </c>
      <c r="K257" s="8"/>
      <c r="L257" s="7"/>
      <c r="M257" s="7"/>
      <c r="N257" s="7"/>
      <c r="O257" s="7"/>
      <c r="P257" s="7" t="s">
        <v>490</v>
      </c>
      <c r="Q257" s="7" t="s">
        <v>1415</v>
      </c>
      <c r="R257" s="7" t="s">
        <v>1416</v>
      </c>
      <c r="S257" s="7" t="s">
        <v>1417</v>
      </c>
      <c r="T257" s="7" t="s">
        <v>497</v>
      </c>
      <c r="U257" s="65">
        <v>3608.0</v>
      </c>
      <c r="V257" s="7"/>
      <c r="W257" s="7"/>
    </row>
    <row r="258">
      <c r="A258" s="45">
        <v>45898.703888888886</v>
      </c>
      <c r="B258" s="7" t="s">
        <v>127</v>
      </c>
      <c r="C258" s="7" t="s">
        <v>2075</v>
      </c>
      <c r="D258" s="74">
        <v>1.0</v>
      </c>
      <c r="E258" s="46"/>
      <c r="F258" s="47">
        <v>56.08</v>
      </c>
      <c r="G258" s="47">
        <v>0.0</v>
      </c>
      <c r="H258" s="7"/>
      <c r="I258" s="47">
        <v>2.77</v>
      </c>
      <c r="J258" s="140">
        <f t="shared" si="1"/>
        <v>53.31</v>
      </c>
      <c r="K258" s="8"/>
      <c r="L258" s="7"/>
      <c r="M258" s="7"/>
      <c r="N258" s="7"/>
      <c r="O258" s="7"/>
      <c r="P258" s="7" t="s">
        <v>490</v>
      </c>
      <c r="Q258" s="7" t="s">
        <v>1422</v>
      </c>
      <c r="R258" s="7"/>
      <c r="S258" s="7" t="s">
        <v>1423</v>
      </c>
      <c r="T258" s="7" t="s">
        <v>542</v>
      </c>
      <c r="U258" s="65">
        <v>3609.0</v>
      </c>
      <c r="V258" s="7"/>
      <c r="W258" s="7"/>
    </row>
    <row r="259">
      <c r="A259" s="45">
        <v>45898.70275462963</v>
      </c>
      <c r="B259" s="7" t="s">
        <v>1153</v>
      </c>
      <c r="C259" s="7" t="s">
        <v>2075</v>
      </c>
      <c r="D259" s="74">
        <v>1.0</v>
      </c>
      <c r="E259" s="46"/>
      <c r="F259" s="47">
        <v>24.99</v>
      </c>
      <c r="G259" s="47">
        <v>0.0</v>
      </c>
      <c r="H259" s="7"/>
      <c r="I259" s="47">
        <v>1.02</v>
      </c>
      <c r="J259" s="140">
        <f t="shared" si="1"/>
        <v>23.97</v>
      </c>
      <c r="K259" s="8"/>
      <c r="L259" s="7"/>
      <c r="M259" s="7"/>
      <c r="N259" s="7"/>
      <c r="O259" s="7"/>
      <c r="P259" s="7" t="s">
        <v>490</v>
      </c>
      <c r="Q259" s="7" t="s">
        <v>1154</v>
      </c>
      <c r="R259" s="7"/>
      <c r="S259" s="7" t="s">
        <v>1155</v>
      </c>
      <c r="T259" s="7" t="s">
        <v>493</v>
      </c>
      <c r="U259" s="65">
        <v>3605.0</v>
      </c>
      <c r="V259" s="7"/>
      <c r="W259" s="7"/>
    </row>
    <row r="260">
      <c r="A260" s="45">
        <v>45898.702685185184</v>
      </c>
      <c r="B260" s="7" t="s">
        <v>206</v>
      </c>
      <c r="C260" s="7" t="s">
        <v>2075</v>
      </c>
      <c r="D260" s="74">
        <v>1.0</v>
      </c>
      <c r="E260" s="46"/>
      <c r="F260" s="47">
        <v>24.99</v>
      </c>
      <c r="G260" s="47">
        <v>0.0</v>
      </c>
      <c r="H260" s="7"/>
      <c r="I260" s="47">
        <v>1.4</v>
      </c>
      <c r="J260" s="140">
        <f t="shared" si="1"/>
        <v>23.59</v>
      </c>
      <c r="K260" s="8"/>
      <c r="L260" s="7"/>
      <c r="M260" s="7"/>
      <c r="N260" s="7"/>
      <c r="O260" s="7"/>
      <c r="P260" s="7" t="s">
        <v>490</v>
      </c>
      <c r="Q260" s="7" t="s">
        <v>1083</v>
      </c>
      <c r="R260" s="7"/>
      <c r="S260" s="7" t="s">
        <v>1084</v>
      </c>
      <c r="T260" s="7" t="s">
        <v>617</v>
      </c>
      <c r="U260" s="65">
        <v>3606.0</v>
      </c>
      <c r="V260" s="7"/>
      <c r="W260" s="7"/>
    </row>
    <row r="261">
      <c r="A261" s="45">
        <v>45898.70207175926</v>
      </c>
      <c r="B261" s="7" t="s">
        <v>1910</v>
      </c>
      <c r="C261" s="67" t="s">
        <v>2077</v>
      </c>
      <c r="D261" s="74">
        <v>1.0</v>
      </c>
      <c r="E261" s="74">
        <v>1.0</v>
      </c>
      <c r="F261" s="47">
        <v>142.1</v>
      </c>
      <c r="G261" s="47">
        <v>0.0</v>
      </c>
      <c r="H261" s="7"/>
      <c r="I261" s="47">
        <v>4.42</v>
      </c>
      <c r="J261" s="140">
        <f t="shared" si="1"/>
        <v>137.68</v>
      </c>
      <c r="K261" s="8"/>
      <c r="L261" s="7"/>
      <c r="M261" s="7"/>
      <c r="N261" s="7"/>
      <c r="O261" s="7"/>
      <c r="P261" s="7" t="s">
        <v>490</v>
      </c>
      <c r="Q261" s="7" t="s">
        <v>1911</v>
      </c>
      <c r="R261" s="7"/>
      <c r="S261" s="7" t="s">
        <v>591</v>
      </c>
      <c r="T261" s="7" t="s">
        <v>493</v>
      </c>
      <c r="U261" s="65">
        <v>3601.0</v>
      </c>
      <c r="V261" s="7"/>
      <c r="W261" s="7"/>
    </row>
    <row r="262">
      <c r="A262" s="45">
        <v>45898.70203703704</v>
      </c>
      <c r="B262" s="7" t="s">
        <v>733</v>
      </c>
      <c r="C262" s="7" t="s">
        <v>2075</v>
      </c>
      <c r="D262" s="74">
        <v>1.0</v>
      </c>
      <c r="E262" s="46"/>
      <c r="F262" s="47">
        <v>24.99</v>
      </c>
      <c r="G262" s="47">
        <v>0.0</v>
      </c>
      <c r="H262" s="7"/>
      <c r="I262" s="47">
        <v>1.4</v>
      </c>
      <c r="J262" s="140">
        <f t="shared" si="1"/>
        <v>23.59</v>
      </c>
      <c r="K262" s="8"/>
      <c r="L262" s="7"/>
      <c r="M262" s="7"/>
      <c r="N262" s="7"/>
      <c r="O262" s="7"/>
      <c r="P262" s="7" t="s">
        <v>490</v>
      </c>
      <c r="Q262" s="7" t="s">
        <v>734</v>
      </c>
      <c r="R262" s="7"/>
      <c r="S262" s="7" t="s">
        <v>735</v>
      </c>
      <c r="T262" s="7" t="s">
        <v>545</v>
      </c>
      <c r="U262" s="65">
        <v>3604.0</v>
      </c>
      <c r="V262" s="7"/>
      <c r="W262" s="7"/>
    </row>
    <row r="263">
      <c r="A263" s="45">
        <v>45898.70186342593</v>
      </c>
      <c r="B263" s="7" t="s">
        <v>234</v>
      </c>
      <c r="C263" s="7" t="s">
        <v>2075</v>
      </c>
      <c r="D263" s="74">
        <v>1.0</v>
      </c>
      <c r="E263" s="46"/>
      <c r="F263" s="47">
        <v>38.23</v>
      </c>
      <c r="G263" s="47">
        <v>0.0</v>
      </c>
      <c r="H263" s="7"/>
      <c r="I263" s="47">
        <v>1.41</v>
      </c>
      <c r="J263" s="140">
        <f t="shared" si="1"/>
        <v>36.82</v>
      </c>
      <c r="K263" s="8"/>
      <c r="L263" s="7"/>
      <c r="M263" s="7"/>
      <c r="N263" s="7"/>
      <c r="O263" s="7"/>
      <c r="P263" s="7" t="s">
        <v>490</v>
      </c>
      <c r="Q263" s="7" t="s">
        <v>1399</v>
      </c>
      <c r="R263" s="7"/>
      <c r="S263" s="7" t="s">
        <v>1400</v>
      </c>
      <c r="T263" s="7" t="s">
        <v>493</v>
      </c>
      <c r="U263" s="65">
        <v>3603.0</v>
      </c>
      <c r="V263" s="7"/>
      <c r="W263" s="7"/>
    </row>
    <row r="264">
      <c r="A264" s="45">
        <v>45898.70171296296</v>
      </c>
      <c r="B264" s="7" t="s">
        <v>402</v>
      </c>
      <c r="C264" s="7" t="s">
        <v>2075</v>
      </c>
      <c r="D264" s="74">
        <v>1.0</v>
      </c>
      <c r="E264" s="46"/>
      <c r="F264" s="47">
        <v>24.99</v>
      </c>
      <c r="G264" s="47">
        <v>0.0</v>
      </c>
      <c r="H264" s="7"/>
      <c r="I264" s="47">
        <v>1.4</v>
      </c>
      <c r="J264" s="140">
        <f t="shared" si="1"/>
        <v>23.59</v>
      </c>
      <c r="K264" s="8"/>
      <c r="L264" s="7"/>
      <c r="M264" s="7"/>
      <c r="N264" s="7"/>
      <c r="O264" s="7"/>
      <c r="P264" s="7" t="s">
        <v>490</v>
      </c>
      <c r="Q264" s="7" t="s">
        <v>1285</v>
      </c>
      <c r="R264" s="7"/>
      <c r="S264" s="7" t="s">
        <v>1286</v>
      </c>
      <c r="T264" s="7" t="s">
        <v>1287</v>
      </c>
      <c r="U264" s="65">
        <v>3598.0</v>
      </c>
      <c r="V264" s="7"/>
      <c r="W264" s="7"/>
    </row>
    <row r="265">
      <c r="A265" s="45">
        <v>45898.70104166667</v>
      </c>
      <c r="B265" s="7" t="s">
        <v>759</v>
      </c>
      <c r="C265" s="7" t="s">
        <v>2075</v>
      </c>
      <c r="D265" s="74">
        <v>1.0</v>
      </c>
      <c r="E265" s="46"/>
      <c r="F265" s="47">
        <v>24.99</v>
      </c>
      <c r="G265" s="47">
        <v>0.0</v>
      </c>
      <c r="H265" s="7"/>
      <c r="I265" s="47">
        <v>1.02</v>
      </c>
      <c r="J265" s="140">
        <f t="shared" si="1"/>
        <v>23.97</v>
      </c>
      <c r="K265" s="8"/>
      <c r="L265" s="7"/>
      <c r="M265" s="7"/>
      <c r="N265" s="7"/>
      <c r="O265" s="7"/>
      <c r="P265" s="7" t="s">
        <v>490</v>
      </c>
      <c r="Q265" s="7" t="s">
        <v>760</v>
      </c>
      <c r="R265" s="7" t="s">
        <v>761</v>
      </c>
      <c r="S265" s="7" t="s">
        <v>762</v>
      </c>
      <c r="T265" s="7" t="s">
        <v>493</v>
      </c>
      <c r="U265" s="65">
        <v>3600.0</v>
      </c>
      <c r="V265" s="7"/>
      <c r="W265" s="7"/>
    </row>
    <row r="266">
      <c r="A266" s="45">
        <v>45898.70024305556</v>
      </c>
      <c r="B266" s="7" t="s">
        <v>170</v>
      </c>
      <c r="C266" s="7" t="s">
        <v>2075</v>
      </c>
      <c r="D266" s="74">
        <v>1.0</v>
      </c>
      <c r="E266" s="46"/>
      <c r="F266" s="47">
        <v>24.99</v>
      </c>
      <c r="G266" s="47">
        <v>0.0</v>
      </c>
      <c r="H266" s="7"/>
      <c r="I266" s="47">
        <v>1.4</v>
      </c>
      <c r="J266" s="140">
        <f t="shared" si="1"/>
        <v>23.59</v>
      </c>
      <c r="K266" s="8"/>
      <c r="L266" s="7"/>
      <c r="M266" s="7"/>
      <c r="N266" s="7"/>
      <c r="O266" s="7"/>
      <c r="P266" s="7" t="s">
        <v>490</v>
      </c>
      <c r="Q266" s="7" t="s">
        <v>1366</v>
      </c>
      <c r="R266" s="7"/>
      <c r="S266" s="7" t="s">
        <v>1367</v>
      </c>
      <c r="T266" s="7" t="s">
        <v>1368</v>
      </c>
      <c r="U266" s="65">
        <v>3599.0</v>
      </c>
      <c r="V266" s="7"/>
      <c r="W266" s="7"/>
    </row>
    <row r="267">
      <c r="A267" s="45">
        <v>45898.69997685185</v>
      </c>
      <c r="B267" s="7" t="s">
        <v>1274</v>
      </c>
      <c r="C267" s="7" t="s">
        <v>2075</v>
      </c>
      <c r="D267" s="74">
        <v>1.0</v>
      </c>
      <c r="E267" s="46"/>
      <c r="F267" s="47">
        <v>24.99</v>
      </c>
      <c r="G267" s="47">
        <v>0.0</v>
      </c>
      <c r="H267" s="7"/>
      <c r="I267" s="47">
        <v>1.02</v>
      </c>
      <c r="J267" s="140">
        <f t="shared" si="1"/>
        <v>23.97</v>
      </c>
      <c r="K267" s="8"/>
      <c r="L267" s="7"/>
      <c r="M267" s="7"/>
      <c r="N267" s="7"/>
      <c r="O267" s="7"/>
      <c r="P267" s="7" t="s">
        <v>490</v>
      </c>
      <c r="Q267" s="7"/>
      <c r="R267" s="7"/>
      <c r="S267" s="7"/>
      <c r="T267" s="7" t="s">
        <v>493</v>
      </c>
      <c r="U267" s="65">
        <v>3596.0</v>
      </c>
      <c r="V267" s="7"/>
      <c r="W267" s="7"/>
    </row>
    <row r="268">
      <c r="A268" s="45">
        <v>45898.69975694444</v>
      </c>
      <c r="B268" s="7" t="s">
        <v>424</v>
      </c>
      <c r="C268" s="67" t="s">
        <v>2077</v>
      </c>
      <c r="D268" s="74">
        <v>1.0</v>
      </c>
      <c r="E268" s="74">
        <v>1.0</v>
      </c>
      <c r="F268" s="47">
        <v>124.99</v>
      </c>
      <c r="G268" s="47">
        <v>0.0</v>
      </c>
      <c r="H268" s="7"/>
      <c r="I268" s="47">
        <v>3.92</v>
      </c>
      <c r="J268" s="140">
        <f t="shared" si="1"/>
        <v>121.07</v>
      </c>
      <c r="K268" s="8"/>
      <c r="L268" s="7"/>
      <c r="M268" s="7"/>
      <c r="N268" s="7"/>
      <c r="O268" s="7"/>
      <c r="P268" s="7" t="s">
        <v>490</v>
      </c>
      <c r="Q268" s="7" t="s">
        <v>1676</v>
      </c>
      <c r="R268" s="7"/>
      <c r="S268" s="7" t="s">
        <v>1373</v>
      </c>
      <c r="T268" s="7" t="s">
        <v>493</v>
      </c>
      <c r="U268" s="65">
        <v>3597.0</v>
      </c>
      <c r="V268" s="7"/>
      <c r="W268" s="7"/>
    </row>
    <row r="269">
      <c r="A269" s="45">
        <v>45898.699525462966</v>
      </c>
      <c r="B269" s="7" t="s">
        <v>396</v>
      </c>
      <c r="C269" s="7" t="s">
        <v>2075</v>
      </c>
      <c r="D269" s="74">
        <v>1.0</v>
      </c>
      <c r="E269" s="46"/>
      <c r="F269" s="47">
        <v>24.99</v>
      </c>
      <c r="G269" s="47">
        <v>0.0</v>
      </c>
      <c r="H269" s="7"/>
      <c r="I269" s="47">
        <v>1.02</v>
      </c>
      <c r="J269" s="140">
        <f t="shared" si="1"/>
        <v>23.97</v>
      </c>
      <c r="K269" s="8"/>
      <c r="L269" s="7"/>
      <c r="M269" s="7"/>
      <c r="N269" s="7"/>
      <c r="O269" s="7"/>
      <c r="P269" s="7" t="s">
        <v>490</v>
      </c>
      <c r="Q269" s="7" t="s">
        <v>1361</v>
      </c>
      <c r="R269" s="7" t="s">
        <v>1362</v>
      </c>
      <c r="S269" s="7" t="s">
        <v>1363</v>
      </c>
      <c r="T269" s="7" t="s">
        <v>493</v>
      </c>
      <c r="U269" s="65">
        <v>3559.0</v>
      </c>
      <c r="V269" s="7"/>
      <c r="W269" s="7"/>
    </row>
    <row r="270">
      <c r="A270" s="45">
        <v>45898.69914351852</v>
      </c>
      <c r="B270" s="7" t="s">
        <v>404</v>
      </c>
      <c r="C270" s="7" t="s">
        <v>2075</v>
      </c>
      <c r="D270" s="74">
        <v>1.0</v>
      </c>
      <c r="E270" s="46"/>
      <c r="F270" s="47">
        <v>24.99</v>
      </c>
      <c r="G270" s="47">
        <v>0.0</v>
      </c>
      <c r="H270" s="7"/>
      <c r="I270" s="47">
        <v>1.4</v>
      </c>
      <c r="J270" s="140">
        <f t="shared" si="1"/>
        <v>23.59</v>
      </c>
      <c r="K270" s="8"/>
      <c r="L270" s="7"/>
      <c r="M270" s="7"/>
      <c r="N270" s="7"/>
      <c r="O270" s="7"/>
      <c r="P270" s="7" t="s">
        <v>490</v>
      </c>
      <c r="Q270" s="7" t="s">
        <v>1272</v>
      </c>
      <c r="R270" s="7"/>
      <c r="S270" s="7" t="s">
        <v>1659</v>
      </c>
      <c r="T270" s="7" t="s">
        <v>521</v>
      </c>
      <c r="U270" s="65">
        <v>3593.0</v>
      </c>
      <c r="V270" s="7"/>
      <c r="W270" s="7"/>
    </row>
    <row r="271">
      <c r="A271" s="45">
        <v>45898.698958333334</v>
      </c>
      <c r="B271" s="7" t="s">
        <v>1792</v>
      </c>
      <c r="C271" s="7" t="s">
        <v>2075</v>
      </c>
      <c r="D271" s="74">
        <v>1.0</v>
      </c>
      <c r="E271" s="46"/>
      <c r="F271" s="47">
        <v>24.99</v>
      </c>
      <c r="G271" s="47">
        <v>0.0</v>
      </c>
      <c r="H271" s="7"/>
      <c r="I271" s="47">
        <v>1.4</v>
      </c>
      <c r="J271" s="140">
        <f t="shared" si="1"/>
        <v>23.59</v>
      </c>
      <c r="K271" s="8"/>
      <c r="L271" s="7"/>
      <c r="M271" s="7"/>
      <c r="N271" s="7"/>
      <c r="O271" s="7"/>
      <c r="P271" s="7" t="s">
        <v>490</v>
      </c>
      <c r="Q271" s="7" t="s">
        <v>1793</v>
      </c>
      <c r="R271" s="7"/>
      <c r="S271" s="7" t="s">
        <v>1794</v>
      </c>
      <c r="T271" s="7" t="s">
        <v>545</v>
      </c>
      <c r="U271" s="65">
        <v>3595.0</v>
      </c>
      <c r="V271" s="7"/>
      <c r="W271" s="7"/>
    </row>
    <row r="272">
      <c r="A272" s="45">
        <v>45898.69798611111</v>
      </c>
      <c r="B272" s="7" t="s">
        <v>448</v>
      </c>
      <c r="C272" s="67" t="s">
        <v>2077</v>
      </c>
      <c r="D272" s="74">
        <v>1.0</v>
      </c>
      <c r="E272" s="74">
        <v>1.0</v>
      </c>
      <c r="F272" s="47">
        <v>124.99</v>
      </c>
      <c r="G272" s="47">
        <v>0.0</v>
      </c>
      <c r="H272" s="7"/>
      <c r="I272" s="47">
        <v>3.92</v>
      </c>
      <c r="J272" s="140">
        <f t="shared" si="1"/>
        <v>121.07</v>
      </c>
      <c r="K272" s="8"/>
      <c r="L272" s="7"/>
      <c r="M272" s="7"/>
      <c r="N272" s="7"/>
      <c r="O272" s="7"/>
      <c r="P272" s="7" t="s">
        <v>490</v>
      </c>
      <c r="Q272" s="7" t="s">
        <v>803</v>
      </c>
      <c r="R272" s="7"/>
      <c r="S272" s="7" t="s">
        <v>732</v>
      </c>
      <c r="T272" s="7" t="s">
        <v>493</v>
      </c>
      <c r="U272" s="65">
        <v>3594.0</v>
      </c>
      <c r="V272" s="7"/>
      <c r="W272" s="7"/>
    </row>
    <row r="273">
      <c r="A273" s="45">
        <v>45898.69770833333</v>
      </c>
      <c r="B273" s="7" t="s">
        <v>1942</v>
      </c>
      <c r="C273" s="7" t="s">
        <v>2075</v>
      </c>
      <c r="D273" s="74">
        <v>1.0</v>
      </c>
      <c r="E273" s="46"/>
      <c r="F273" s="47">
        <v>24.99</v>
      </c>
      <c r="G273" s="47">
        <v>0.0</v>
      </c>
      <c r="H273" s="7"/>
      <c r="I273" s="47">
        <v>1.02</v>
      </c>
      <c r="J273" s="140">
        <f t="shared" si="1"/>
        <v>23.97</v>
      </c>
      <c r="K273" s="8"/>
      <c r="L273" s="7"/>
      <c r="M273" s="7"/>
      <c r="N273" s="7"/>
      <c r="O273" s="7"/>
      <c r="P273" s="7" t="s">
        <v>490</v>
      </c>
      <c r="Q273" s="7" t="s">
        <v>1943</v>
      </c>
      <c r="R273" s="7"/>
      <c r="S273" s="7" t="s">
        <v>1944</v>
      </c>
      <c r="T273" s="7" t="s">
        <v>493</v>
      </c>
      <c r="U273" s="65">
        <v>3592.0</v>
      </c>
      <c r="V273" s="7"/>
      <c r="W273" s="7"/>
    </row>
    <row r="274">
      <c r="A274" s="45">
        <v>45898.69693287037</v>
      </c>
      <c r="B274" s="7" t="s">
        <v>388</v>
      </c>
      <c r="C274" s="7" t="s">
        <v>2075</v>
      </c>
      <c r="D274" s="74">
        <v>1.0</v>
      </c>
      <c r="E274" s="46"/>
      <c r="F274" s="47">
        <v>24.99</v>
      </c>
      <c r="G274" s="47">
        <v>0.0</v>
      </c>
      <c r="H274" s="7"/>
      <c r="I274" s="47">
        <v>1.4</v>
      </c>
      <c r="J274" s="140">
        <f t="shared" si="1"/>
        <v>23.59</v>
      </c>
      <c r="K274" s="8"/>
      <c r="L274" s="7"/>
      <c r="M274" s="7"/>
      <c r="N274" s="7"/>
      <c r="O274" s="7"/>
      <c r="P274" s="7" t="s">
        <v>490</v>
      </c>
      <c r="Q274" s="7" t="s">
        <v>1665</v>
      </c>
      <c r="R274" s="7"/>
      <c r="S274" s="7" t="s">
        <v>2062</v>
      </c>
      <c r="T274" s="7" t="s">
        <v>555</v>
      </c>
      <c r="U274" s="65">
        <v>3590.0</v>
      </c>
      <c r="V274" s="7"/>
      <c r="W274" s="7"/>
    </row>
    <row r="275">
      <c r="A275" s="45">
        <v>45898.69681712963</v>
      </c>
      <c r="B275" s="7" t="s">
        <v>356</v>
      </c>
      <c r="C275" s="7" t="s">
        <v>2075</v>
      </c>
      <c r="D275" s="74">
        <v>1.0</v>
      </c>
      <c r="E275" s="46"/>
      <c r="F275" s="47">
        <v>24.99</v>
      </c>
      <c r="G275" s="47">
        <v>0.0</v>
      </c>
      <c r="H275" s="7"/>
      <c r="I275" s="47">
        <v>1.4</v>
      </c>
      <c r="J275" s="140">
        <f t="shared" si="1"/>
        <v>23.59</v>
      </c>
      <c r="K275" s="8"/>
      <c r="L275" s="7"/>
      <c r="M275" s="7"/>
      <c r="N275" s="7"/>
      <c r="O275" s="7"/>
      <c r="P275" s="7" t="s">
        <v>490</v>
      </c>
      <c r="Q275" s="7" t="s">
        <v>797</v>
      </c>
      <c r="R275" s="7"/>
      <c r="S275" s="7" t="s">
        <v>798</v>
      </c>
      <c r="T275" s="7" t="s">
        <v>525</v>
      </c>
      <c r="U275" s="65">
        <v>3591.0</v>
      </c>
      <c r="V275" s="7"/>
      <c r="W275" s="7"/>
    </row>
    <row r="276">
      <c r="A276" s="45">
        <v>45898.69663194445</v>
      </c>
      <c r="B276" s="7" t="s">
        <v>1690</v>
      </c>
      <c r="C276" s="67" t="s">
        <v>2077</v>
      </c>
      <c r="D276" s="74">
        <v>1.0</v>
      </c>
      <c r="E276" s="74">
        <v>1.0</v>
      </c>
      <c r="F276" s="47">
        <v>124.99</v>
      </c>
      <c r="G276" s="47">
        <v>0.0</v>
      </c>
      <c r="H276" s="7"/>
      <c r="I276" s="47">
        <v>5.8</v>
      </c>
      <c r="J276" s="140">
        <f t="shared" si="1"/>
        <v>119.19</v>
      </c>
      <c r="K276" s="8"/>
      <c r="L276" s="7"/>
      <c r="M276" s="7"/>
      <c r="N276" s="7"/>
      <c r="O276" s="7"/>
      <c r="P276" s="7" t="s">
        <v>490</v>
      </c>
      <c r="Q276" s="7"/>
      <c r="R276" s="7"/>
      <c r="S276" s="7"/>
      <c r="T276" s="7" t="s">
        <v>545</v>
      </c>
      <c r="U276" s="65">
        <v>3589.0</v>
      </c>
      <c r="V276" s="7"/>
      <c r="W276" s="7"/>
    </row>
    <row r="277">
      <c r="A277" s="45">
        <v>45898.69641203704</v>
      </c>
      <c r="B277" s="7" t="s">
        <v>412</v>
      </c>
      <c r="C277" s="7" t="s">
        <v>2075</v>
      </c>
      <c r="D277" s="74">
        <v>1.0</v>
      </c>
      <c r="E277" s="46"/>
      <c r="F277" s="47">
        <v>24.99</v>
      </c>
      <c r="G277" s="47">
        <v>0.0</v>
      </c>
      <c r="H277" s="7"/>
      <c r="I277" s="47">
        <v>1.02</v>
      </c>
      <c r="J277" s="140">
        <f t="shared" si="1"/>
        <v>23.97</v>
      </c>
      <c r="K277" s="8"/>
      <c r="L277" s="7"/>
      <c r="M277" s="7"/>
      <c r="N277" s="7"/>
      <c r="O277" s="7"/>
      <c r="P277" s="7" t="s">
        <v>490</v>
      </c>
      <c r="Q277" s="7" t="s">
        <v>1297</v>
      </c>
      <c r="R277" s="7"/>
      <c r="S277" s="7" t="s">
        <v>1298</v>
      </c>
      <c r="T277" s="7" t="s">
        <v>493</v>
      </c>
      <c r="U277" s="65">
        <v>3586.0</v>
      </c>
      <c r="V277" s="7"/>
      <c r="W277" s="7"/>
    </row>
    <row r="278">
      <c r="A278" s="45">
        <v>45898.69633101852</v>
      </c>
      <c r="B278" s="7" t="s">
        <v>328</v>
      </c>
      <c r="C278" s="7" t="s">
        <v>2075</v>
      </c>
      <c r="D278" s="74">
        <v>1.0</v>
      </c>
      <c r="E278" s="46"/>
      <c r="F278" s="47">
        <v>24.99</v>
      </c>
      <c r="G278" s="47">
        <v>0.0</v>
      </c>
      <c r="H278" s="7"/>
      <c r="I278" s="47">
        <v>1.02</v>
      </c>
      <c r="J278" s="140">
        <f t="shared" si="1"/>
        <v>23.97</v>
      </c>
      <c r="K278" s="8"/>
      <c r="L278" s="7"/>
      <c r="M278" s="7"/>
      <c r="N278" s="7"/>
      <c r="O278" s="7"/>
      <c r="P278" s="7" t="s">
        <v>490</v>
      </c>
      <c r="Q278" s="7" t="s">
        <v>1210</v>
      </c>
      <c r="R278" s="7"/>
      <c r="S278" s="7" t="s">
        <v>1211</v>
      </c>
      <c r="T278" s="7" t="s">
        <v>493</v>
      </c>
      <c r="U278" s="65">
        <v>3588.0</v>
      </c>
      <c r="V278" s="7"/>
      <c r="W278" s="7"/>
    </row>
    <row r="279">
      <c r="A279" s="45">
        <v>45898.69625</v>
      </c>
      <c r="B279" s="7" t="s">
        <v>2046</v>
      </c>
      <c r="C279" s="7" t="s">
        <v>2075</v>
      </c>
      <c r="D279" s="74">
        <v>1.0</v>
      </c>
      <c r="E279" s="46"/>
      <c r="F279" s="47">
        <v>24.99</v>
      </c>
      <c r="G279" s="47">
        <v>0.0</v>
      </c>
      <c r="H279" s="7"/>
      <c r="I279" s="47">
        <v>1.4</v>
      </c>
      <c r="J279" s="140">
        <f t="shared" si="1"/>
        <v>23.59</v>
      </c>
      <c r="K279" s="8"/>
      <c r="L279" s="7"/>
      <c r="M279" s="7"/>
      <c r="N279" s="7"/>
      <c r="O279" s="7"/>
      <c r="P279" s="7" t="s">
        <v>490</v>
      </c>
      <c r="Q279" s="7" t="s">
        <v>961</v>
      </c>
      <c r="R279" s="7"/>
      <c r="S279" s="7" t="s">
        <v>962</v>
      </c>
      <c r="T279" s="7" t="s">
        <v>726</v>
      </c>
      <c r="U279" s="65">
        <v>3584.0</v>
      </c>
      <c r="V279" s="7"/>
      <c r="W279" s="7"/>
    </row>
    <row r="280">
      <c r="A280" s="45">
        <v>45898.69579861111</v>
      </c>
      <c r="B280" s="7" t="s">
        <v>2177</v>
      </c>
      <c r="C280" s="7" t="s">
        <v>2124</v>
      </c>
      <c r="D280" s="74">
        <v>2.0</v>
      </c>
      <c r="E280" s="46"/>
      <c r="F280" s="47">
        <v>49.98</v>
      </c>
      <c r="G280" s="47">
        <v>0.0</v>
      </c>
      <c r="H280" s="7"/>
      <c r="I280" s="47">
        <v>2.5</v>
      </c>
      <c r="J280" s="140">
        <f t="shared" si="1"/>
        <v>47.48</v>
      </c>
      <c r="K280" s="8"/>
      <c r="L280" s="7"/>
      <c r="M280" s="7"/>
      <c r="N280" s="7"/>
      <c r="O280" s="7"/>
      <c r="P280" s="7" t="s">
        <v>490</v>
      </c>
      <c r="Q280" s="7" t="s">
        <v>2178</v>
      </c>
      <c r="R280" s="7" t="s">
        <v>2179</v>
      </c>
      <c r="S280" s="7" t="s">
        <v>1599</v>
      </c>
      <c r="T280" s="7" t="s">
        <v>684</v>
      </c>
      <c r="U280" s="65">
        <v>3575.0</v>
      </c>
      <c r="V280" s="7"/>
      <c r="W280" s="7"/>
    </row>
    <row r="281">
      <c r="A281" s="45">
        <v>45898.6955787037</v>
      </c>
      <c r="B281" s="7" t="s">
        <v>181</v>
      </c>
      <c r="C281" s="7" t="s">
        <v>2124</v>
      </c>
      <c r="D281" s="74">
        <v>2.0</v>
      </c>
      <c r="E281" s="46"/>
      <c r="F281" s="47">
        <v>49.98</v>
      </c>
      <c r="G281" s="47">
        <v>0.0</v>
      </c>
      <c r="H281" s="7"/>
      <c r="I281" s="47">
        <v>2.5</v>
      </c>
      <c r="J281" s="140">
        <f t="shared" si="1"/>
        <v>47.48</v>
      </c>
      <c r="K281" s="8"/>
      <c r="L281" s="7"/>
      <c r="M281" s="7"/>
      <c r="N281" s="7"/>
      <c r="O281" s="7"/>
      <c r="P281" s="7" t="s">
        <v>490</v>
      </c>
      <c r="Q281" s="7"/>
      <c r="R281" s="7"/>
      <c r="S281" s="7"/>
      <c r="T281" s="7" t="s">
        <v>521</v>
      </c>
      <c r="U281" s="65">
        <v>3580.0</v>
      </c>
      <c r="V281" s="7"/>
      <c r="W281" s="7"/>
    </row>
    <row r="282">
      <c r="A282" s="45">
        <v>45898.695335648146</v>
      </c>
      <c r="B282" s="7" t="s">
        <v>130</v>
      </c>
      <c r="C282" s="7" t="s">
        <v>2075</v>
      </c>
      <c r="D282" s="74">
        <v>1.0</v>
      </c>
      <c r="E282" s="46"/>
      <c r="F282" s="47">
        <v>24.99</v>
      </c>
      <c r="G282" s="47">
        <v>0.0</v>
      </c>
      <c r="H282" s="7"/>
      <c r="I282" s="47">
        <v>1.4</v>
      </c>
      <c r="J282" s="140">
        <f t="shared" si="1"/>
        <v>23.59</v>
      </c>
      <c r="K282" s="8"/>
      <c r="L282" s="7"/>
      <c r="M282" s="7"/>
      <c r="N282" s="7"/>
      <c r="O282" s="7"/>
      <c r="P282" s="7" t="s">
        <v>490</v>
      </c>
      <c r="Q282" s="7"/>
      <c r="R282" s="7"/>
      <c r="S282" s="7"/>
      <c r="T282" s="7" t="s">
        <v>521</v>
      </c>
      <c r="U282" s="65">
        <v>3581.0</v>
      </c>
      <c r="V282" s="7"/>
      <c r="W282" s="7"/>
    </row>
    <row r="283">
      <c r="A283" s="45">
        <v>45898.69509259259</v>
      </c>
      <c r="B283" s="7" t="s">
        <v>275</v>
      </c>
      <c r="C283" s="67" t="s">
        <v>2077</v>
      </c>
      <c r="D283" s="74">
        <v>1.0</v>
      </c>
      <c r="E283" s="74">
        <v>1.0</v>
      </c>
      <c r="F283" s="47">
        <v>124.99</v>
      </c>
      <c r="G283" s="47">
        <v>0.0</v>
      </c>
      <c r="H283" s="7"/>
      <c r="I283" s="47">
        <v>3.92</v>
      </c>
      <c r="J283" s="140">
        <f t="shared" si="1"/>
        <v>121.07</v>
      </c>
      <c r="K283" s="8"/>
      <c r="L283" s="7"/>
      <c r="M283" s="7"/>
      <c r="N283" s="7"/>
      <c r="O283" s="7"/>
      <c r="P283" s="7" t="s">
        <v>490</v>
      </c>
      <c r="Q283" s="7" t="s">
        <v>1331</v>
      </c>
      <c r="R283" s="7"/>
      <c r="S283" s="7" t="s">
        <v>1332</v>
      </c>
      <c r="T283" s="7" t="s">
        <v>493</v>
      </c>
      <c r="U283" s="65">
        <v>3585.0</v>
      </c>
      <c r="V283" s="7"/>
      <c r="W283" s="7"/>
    </row>
    <row r="284">
      <c r="A284" s="45">
        <v>45898.6947337963</v>
      </c>
      <c r="B284" s="7" t="s">
        <v>428</v>
      </c>
      <c r="C284" s="7" t="s">
        <v>2075</v>
      </c>
      <c r="D284" s="74">
        <v>1.0</v>
      </c>
      <c r="E284" s="46"/>
      <c r="F284" s="47">
        <v>24.99</v>
      </c>
      <c r="G284" s="47">
        <v>0.0</v>
      </c>
      <c r="H284" s="7"/>
      <c r="I284" s="47">
        <v>1.4</v>
      </c>
      <c r="J284" s="140">
        <f t="shared" si="1"/>
        <v>23.59</v>
      </c>
      <c r="K284" s="8"/>
      <c r="L284" s="7"/>
      <c r="M284" s="7"/>
      <c r="N284" s="7"/>
      <c r="O284" s="7"/>
      <c r="P284" s="7" t="s">
        <v>490</v>
      </c>
      <c r="Q284" s="7" t="s">
        <v>1376</v>
      </c>
      <c r="R284" s="7"/>
      <c r="S284" s="7" t="s">
        <v>1377</v>
      </c>
      <c r="T284" s="7" t="s">
        <v>545</v>
      </c>
      <c r="U284" s="65">
        <v>3583.0</v>
      </c>
      <c r="V284" s="7"/>
      <c r="W284" s="7"/>
    </row>
    <row r="285">
      <c r="A285" s="45">
        <v>45898.69428240741</v>
      </c>
      <c r="B285" s="7" t="s">
        <v>336</v>
      </c>
      <c r="C285" s="67" t="s">
        <v>2077</v>
      </c>
      <c r="D285" s="74">
        <v>1.0</v>
      </c>
      <c r="E285" s="74">
        <v>1.0</v>
      </c>
      <c r="F285" s="47">
        <v>134.46</v>
      </c>
      <c r="G285" s="47">
        <v>0.0</v>
      </c>
      <c r="H285" s="7"/>
      <c r="I285" s="47">
        <v>4.2</v>
      </c>
      <c r="J285" s="140">
        <f t="shared" si="1"/>
        <v>130.26</v>
      </c>
      <c r="K285" s="8"/>
      <c r="L285" s="7"/>
      <c r="M285" s="7"/>
      <c r="N285" s="7"/>
      <c r="O285" s="7"/>
      <c r="P285" s="7" t="s">
        <v>490</v>
      </c>
      <c r="Q285" s="7" t="s">
        <v>1430</v>
      </c>
      <c r="R285" s="7"/>
      <c r="S285" s="7" t="s">
        <v>1431</v>
      </c>
      <c r="T285" s="7" t="s">
        <v>493</v>
      </c>
      <c r="U285" s="65">
        <v>3576.0</v>
      </c>
      <c r="V285" s="7"/>
      <c r="W285" s="7"/>
    </row>
    <row r="286">
      <c r="A286" s="45">
        <v>45898.69403935185</v>
      </c>
      <c r="B286" s="7" t="s">
        <v>427</v>
      </c>
      <c r="C286" s="67" t="s">
        <v>2077</v>
      </c>
      <c r="D286" s="74">
        <v>1.0</v>
      </c>
      <c r="E286" s="74">
        <v>1.0</v>
      </c>
      <c r="F286" s="47">
        <v>124.99</v>
      </c>
      <c r="G286" s="47">
        <v>0.0</v>
      </c>
      <c r="H286" s="7"/>
      <c r="I286" s="47">
        <v>3.92</v>
      </c>
      <c r="J286" s="140">
        <f t="shared" si="1"/>
        <v>121.07</v>
      </c>
      <c r="K286" s="8"/>
      <c r="L286" s="7"/>
      <c r="M286" s="7"/>
      <c r="N286" s="7"/>
      <c r="O286" s="7"/>
      <c r="P286" s="7" t="s">
        <v>490</v>
      </c>
      <c r="Q286" s="7" t="s">
        <v>1359</v>
      </c>
      <c r="R286" s="7"/>
      <c r="S286" s="7" t="s">
        <v>1360</v>
      </c>
      <c r="T286" s="7" t="s">
        <v>493</v>
      </c>
      <c r="U286" s="65">
        <v>3582.0</v>
      </c>
      <c r="V286" s="7"/>
      <c r="W286" s="7"/>
    </row>
    <row r="287">
      <c r="A287" s="45">
        <v>45898.693773148145</v>
      </c>
      <c r="B287" s="7" t="s">
        <v>429</v>
      </c>
      <c r="C287" s="67" t="s">
        <v>2077</v>
      </c>
      <c r="D287" s="74">
        <v>1.0</v>
      </c>
      <c r="E287" s="74">
        <v>1.0</v>
      </c>
      <c r="F287" s="47">
        <v>124.99</v>
      </c>
      <c r="G287" s="47">
        <v>0.0</v>
      </c>
      <c r="H287" s="7"/>
      <c r="I287" s="47">
        <v>5.8</v>
      </c>
      <c r="J287" s="140">
        <f t="shared" si="1"/>
        <v>119.19</v>
      </c>
      <c r="K287" s="8"/>
      <c r="L287" s="7"/>
      <c r="M287" s="7"/>
      <c r="N287" s="7"/>
      <c r="O287" s="7"/>
      <c r="P287" s="7" t="s">
        <v>490</v>
      </c>
      <c r="Q287" s="7" t="s">
        <v>1438</v>
      </c>
      <c r="R287" s="7"/>
      <c r="S287" s="7" t="s">
        <v>1439</v>
      </c>
      <c r="T287" s="7" t="s">
        <v>939</v>
      </c>
      <c r="U287" s="65">
        <v>3579.0</v>
      </c>
      <c r="V287" s="7"/>
      <c r="W287" s="7"/>
    </row>
    <row r="288">
      <c r="A288" s="45">
        <v>45898.693703703706</v>
      </c>
      <c r="B288" s="7" t="s">
        <v>418</v>
      </c>
      <c r="C288" s="7" t="s">
        <v>2075</v>
      </c>
      <c r="D288" s="74">
        <v>1.0</v>
      </c>
      <c r="E288" s="46"/>
      <c r="F288" s="47">
        <v>24.99</v>
      </c>
      <c r="G288" s="47">
        <v>0.0</v>
      </c>
      <c r="H288" s="7"/>
      <c r="I288" s="47">
        <v>1.4</v>
      </c>
      <c r="J288" s="140">
        <f t="shared" si="1"/>
        <v>23.59</v>
      </c>
      <c r="K288" s="8"/>
      <c r="L288" s="7"/>
      <c r="M288" s="7"/>
      <c r="N288" s="7"/>
      <c r="O288" s="7"/>
      <c r="P288" s="7" t="s">
        <v>490</v>
      </c>
      <c r="Q288" s="7" t="s">
        <v>1335</v>
      </c>
      <c r="R288" s="7"/>
      <c r="S288" s="7" t="s">
        <v>1336</v>
      </c>
      <c r="T288" s="7" t="s">
        <v>545</v>
      </c>
      <c r="U288" s="65">
        <v>3577.0</v>
      </c>
      <c r="V288" s="7"/>
      <c r="W288" s="7"/>
    </row>
    <row r="289">
      <c r="A289" s="45">
        <v>45898.69321759259</v>
      </c>
      <c r="B289" s="7" t="s">
        <v>394</v>
      </c>
      <c r="C289" s="7" t="s">
        <v>2075</v>
      </c>
      <c r="D289" s="74">
        <v>1.0</v>
      </c>
      <c r="E289" s="46"/>
      <c r="F289" s="47">
        <v>24.99</v>
      </c>
      <c r="G289" s="47">
        <v>0.0</v>
      </c>
      <c r="H289" s="7"/>
      <c r="I289" s="47">
        <v>1.4</v>
      </c>
      <c r="J289" s="140">
        <f t="shared" si="1"/>
        <v>23.59</v>
      </c>
      <c r="K289" s="8"/>
      <c r="L289" s="7"/>
      <c r="M289" s="7"/>
      <c r="N289" s="7"/>
      <c r="O289" s="7"/>
      <c r="P289" s="7" t="s">
        <v>490</v>
      </c>
      <c r="Q289" s="7" t="s">
        <v>1854</v>
      </c>
      <c r="R289" s="7"/>
      <c r="S289" s="7" t="s">
        <v>1672</v>
      </c>
      <c r="T289" s="7" t="s">
        <v>521</v>
      </c>
      <c r="U289" s="65">
        <v>3578.0</v>
      </c>
      <c r="V289" s="7"/>
      <c r="W289" s="7"/>
    </row>
    <row r="290">
      <c r="A290" s="45">
        <v>45898.693136574075</v>
      </c>
      <c r="B290" s="7" t="s">
        <v>385</v>
      </c>
      <c r="C290" s="7" t="s">
        <v>2075</v>
      </c>
      <c r="D290" s="74">
        <v>1.0</v>
      </c>
      <c r="E290" s="46"/>
      <c r="F290" s="47">
        <v>24.99</v>
      </c>
      <c r="G290" s="47">
        <v>0.0</v>
      </c>
      <c r="H290" s="7"/>
      <c r="I290" s="47">
        <v>1.4</v>
      </c>
      <c r="J290" s="140">
        <f t="shared" si="1"/>
        <v>23.59</v>
      </c>
      <c r="K290" s="8"/>
      <c r="L290" s="7"/>
      <c r="M290" s="7"/>
      <c r="N290" s="7"/>
      <c r="O290" s="7"/>
      <c r="P290" s="7" t="s">
        <v>490</v>
      </c>
      <c r="Q290" s="7" t="s">
        <v>1303</v>
      </c>
      <c r="R290" s="7"/>
      <c r="S290" s="7" t="s">
        <v>1304</v>
      </c>
      <c r="T290" s="7" t="s">
        <v>726</v>
      </c>
      <c r="U290" s="65">
        <v>3573.0</v>
      </c>
      <c r="V290" s="7"/>
      <c r="W290" s="7"/>
    </row>
    <row r="291">
      <c r="A291" s="45">
        <v>45898.69304398148</v>
      </c>
      <c r="B291" s="7" t="s">
        <v>883</v>
      </c>
      <c r="C291" s="7" t="s">
        <v>2075</v>
      </c>
      <c r="D291" s="74">
        <v>1.0</v>
      </c>
      <c r="E291" s="46"/>
      <c r="F291" s="47">
        <v>24.99</v>
      </c>
      <c r="G291" s="47">
        <v>0.0</v>
      </c>
      <c r="H291" s="7"/>
      <c r="I291" s="47">
        <v>1.4</v>
      </c>
      <c r="J291" s="140">
        <f t="shared" si="1"/>
        <v>23.59</v>
      </c>
      <c r="K291" s="8"/>
      <c r="L291" s="7"/>
      <c r="M291" s="7"/>
      <c r="N291" s="7"/>
      <c r="O291" s="7"/>
      <c r="P291" s="7" t="s">
        <v>490</v>
      </c>
      <c r="Q291" s="7" t="s">
        <v>884</v>
      </c>
      <c r="R291" s="7" t="s">
        <v>885</v>
      </c>
      <c r="S291" s="7" t="s">
        <v>886</v>
      </c>
      <c r="T291" s="7" t="s">
        <v>521</v>
      </c>
      <c r="U291" s="65">
        <v>3570.0</v>
      </c>
      <c r="V291" s="7"/>
      <c r="W291" s="7"/>
    </row>
    <row r="292">
      <c r="A292" s="45">
        <v>45898.69280092593</v>
      </c>
      <c r="B292" s="7" t="s">
        <v>272</v>
      </c>
      <c r="C292" s="67" t="s">
        <v>2077</v>
      </c>
      <c r="D292" s="74">
        <v>1.0</v>
      </c>
      <c r="E292" s="74">
        <v>1.0</v>
      </c>
      <c r="F292" s="47">
        <v>124.99</v>
      </c>
      <c r="G292" s="47">
        <v>0.0</v>
      </c>
      <c r="H292" s="7"/>
      <c r="I292" s="47">
        <v>5.8</v>
      </c>
      <c r="J292" s="140">
        <f t="shared" si="1"/>
        <v>119.19</v>
      </c>
      <c r="K292" s="8"/>
      <c r="L292" s="7"/>
      <c r="M292" s="7"/>
      <c r="N292" s="7"/>
      <c r="O292" s="7"/>
      <c r="P292" s="7" t="s">
        <v>490</v>
      </c>
      <c r="Q292" s="7" t="s">
        <v>1131</v>
      </c>
      <c r="R292" s="7"/>
      <c r="S292" s="7" t="s">
        <v>1132</v>
      </c>
      <c r="T292" s="7" t="s">
        <v>545</v>
      </c>
      <c r="U292" s="65">
        <v>3574.0</v>
      </c>
      <c r="V292" s="7"/>
      <c r="W292" s="7"/>
    </row>
    <row r="293">
      <c r="A293" s="45">
        <v>45898.69278935185</v>
      </c>
      <c r="B293" s="7" t="s">
        <v>430</v>
      </c>
      <c r="C293" s="7" t="s">
        <v>2075</v>
      </c>
      <c r="D293" s="74">
        <v>1.0</v>
      </c>
      <c r="E293" s="46"/>
      <c r="F293" s="47">
        <v>24.99</v>
      </c>
      <c r="G293" s="47">
        <v>0.0</v>
      </c>
      <c r="H293" s="7"/>
      <c r="I293" s="47">
        <v>1.4</v>
      </c>
      <c r="J293" s="140">
        <f t="shared" si="1"/>
        <v>23.59</v>
      </c>
      <c r="K293" s="8"/>
      <c r="L293" s="7"/>
      <c r="M293" s="7"/>
      <c r="N293" s="7"/>
      <c r="O293" s="7"/>
      <c r="P293" s="7" t="s">
        <v>490</v>
      </c>
      <c r="Q293" s="7" t="s">
        <v>1662</v>
      </c>
      <c r="R293" s="7"/>
      <c r="S293" s="7" t="s">
        <v>1118</v>
      </c>
      <c r="T293" s="7" t="s">
        <v>1824</v>
      </c>
      <c r="U293" s="65">
        <v>3572.0</v>
      </c>
      <c r="V293" s="7"/>
      <c r="W293" s="7"/>
    </row>
    <row r="294">
      <c r="A294" s="45">
        <v>45898.69252314815</v>
      </c>
      <c r="B294" s="7" t="s">
        <v>2180</v>
      </c>
      <c r="C294" s="7" t="s">
        <v>2075</v>
      </c>
      <c r="D294" s="74">
        <v>1.0</v>
      </c>
      <c r="E294" s="46"/>
      <c r="F294" s="47">
        <v>24.99</v>
      </c>
      <c r="G294" s="47">
        <v>0.0</v>
      </c>
      <c r="H294" s="7"/>
      <c r="I294" s="47">
        <v>1.4</v>
      </c>
      <c r="J294" s="140">
        <f t="shared" si="1"/>
        <v>23.59</v>
      </c>
      <c r="K294" s="8"/>
      <c r="L294" s="7"/>
      <c r="M294" s="7"/>
      <c r="N294" s="7"/>
      <c r="O294" s="7"/>
      <c r="P294" s="7" t="s">
        <v>490</v>
      </c>
      <c r="Q294" s="7"/>
      <c r="R294" s="7"/>
      <c r="S294" s="7"/>
      <c r="T294" s="7" t="s">
        <v>525</v>
      </c>
      <c r="U294" s="65">
        <v>3558.0</v>
      </c>
      <c r="V294" s="7"/>
      <c r="W294" s="7"/>
    </row>
    <row r="295">
      <c r="A295" s="45">
        <v>45898.692337962966</v>
      </c>
      <c r="B295" s="7" t="s">
        <v>400</v>
      </c>
      <c r="C295" s="7" t="s">
        <v>2075</v>
      </c>
      <c r="D295" s="74">
        <v>1.0</v>
      </c>
      <c r="E295" s="46"/>
      <c r="F295" s="47">
        <v>26.93</v>
      </c>
      <c r="G295" s="47">
        <v>0.0</v>
      </c>
      <c r="H295" s="7"/>
      <c r="I295" s="47">
        <v>1.08</v>
      </c>
      <c r="J295" s="140">
        <f t="shared" si="1"/>
        <v>25.85</v>
      </c>
      <c r="K295" s="8"/>
      <c r="L295" s="7"/>
      <c r="M295" s="7"/>
      <c r="N295" s="7"/>
      <c r="O295" s="7"/>
      <c r="P295" s="7" t="s">
        <v>490</v>
      </c>
      <c r="Q295" s="7" t="s">
        <v>1213</v>
      </c>
      <c r="R295" s="7"/>
      <c r="S295" s="7" t="s">
        <v>549</v>
      </c>
      <c r="T295" s="7" t="s">
        <v>493</v>
      </c>
      <c r="U295" s="65">
        <v>3567.0</v>
      </c>
      <c r="V295" s="7"/>
      <c r="W295" s="7"/>
    </row>
    <row r="296">
      <c r="A296" s="45">
        <v>45898.69226851852</v>
      </c>
      <c r="B296" s="7" t="s">
        <v>408</v>
      </c>
      <c r="C296" s="7" t="s">
        <v>2075</v>
      </c>
      <c r="D296" s="74">
        <v>1.0</v>
      </c>
      <c r="E296" s="46"/>
      <c r="F296" s="47">
        <v>24.99</v>
      </c>
      <c r="G296" s="47">
        <v>0.0</v>
      </c>
      <c r="H296" s="7"/>
      <c r="I296" s="47">
        <v>1.02</v>
      </c>
      <c r="J296" s="140">
        <f t="shared" si="1"/>
        <v>23.97</v>
      </c>
      <c r="K296" s="8"/>
      <c r="L296" s="7"/>
      <c r="M296" s="7"/>
      <c r="N296" s="7"/>
      <c r="O296" s="7"/>
      <c r="P296" s="7" t="s">
        <v>490</v>
      </c>
      <c r="Q296" s="7" t="s">
        <v>1013</v>
      </c>
      <c r="R296" s="7"/>
      <c r="S296" s="7" t="s">
        <v>1014</v>
      </c>
      <c r="T296" s="7" t="s">
        <v>493</v>
      </c>
      <c r="U296" s="65">
        <v>3571.0</v>
      </c>
      <c r="V296" s="7"/>
      <c r="W296" s="7"/>
    </row>
    <row r="297">
      <c r="A297" s="45">
        <v>45898.6921875</v>
      </c>
      <c r="B297" s="7" t="s">
        <v>294</v>
      </c>
      <c r="C297" s="7" t="s">
        <v>2075</v>
      </c>
      <c r="D297" s="74">
        <v>1.0</v>
      </c>
      <c r="E297" s="46"/>
      <c r="F297" s="47">
        <v>34.46</v>
      </c>
      <c r="G297" s="47">
        <v>0.0</v>
      </c>
      <c r="H297" s="7"/>
      <c r="I297" s="47">
        <v>1.82</v>
      </c>
      <c r="J297" s="140">
        <f t="shared" si="1"/>
        <v>32.64</v>
      </c>
      <c r="K297" s="8"/>
      <c r="L297" s="7"/>
      <c r="M297" s="7"/>
      <c r="N297" s="7"/>
      <c r="O297" s="7"/>
      <c r="P297" s="7" t="s">
        <v>490</v>
      </c>
      <c r="Q297" s="7" t="s">
        <v>2181</v>
      </c>
      <c r="R297" s="7" t="s">
        <v>2182</v>
      </c>
      <c r="S297" s="7" t="s">
        <v>572</v>
      </c>
      <c r="T297" s="7" t="s">
        <v>2183</v>
      </c>
      <c r="U297" s="65">
        <v>3532.0</v>
      </c>
      <c r="V297" s="7"/>
      <c r="W297" s="7"/>
    </row>
    <row r="298">
      <c r="A298" s="45">
        <v>45898.69216435185</v>
      </c>
      <c r="B298" s="7" t="s">
        <v>663</v>
      </c>
      <c r="C298" s="7" t="s">
        <v>2075</v>
      </c>
      <c r="D298" s="74">
        <v>1.0</v>
      </c>
      <c r="E298" s="46"/>
      <c r="F298" s="47">
        <v>24.99</v>
      </c>
      <c r="G298" s="47">
        <v>0.0</v>
      </c>
      <c r="H298" s="7"/>
      <c r="I298" s="47">
        <v>1.4</v>
      </c>
      <c r="J298" s="140">
        <f t="shared" si="1"/>
        <v>23.59</v>
      </c>
      <c r="K298" s="8"/>
      <c r="L298" s="7"/>
      <c r="M298" s="7"/>
      <c r="N298" s="7"/>
      <c r="O298" s="7"/>
      <c r="P298" s="7" t="s">
        <v>490</v>
      </c>
      <c r="Q298" s="7" t="s">
        <v>664</v>
      </c>
      <c r="R298" s="7"/>
      <c r="S298" s="7" t="s">
        <v>666</v>
      </c>
      <c r="T298" s="7" t="s">
        <v>617</v>
      </c>
      <c r="U298" s="65">
        <v>3568.0</v>
      </c>
      <c r="V298" s="7"/>
      <c r="W298" s="7"/>
    </row>
    <row r="299">
      <c r="A299" s="45">
        <v>45898.69194444444</v>
      </c>
      <c r="B299" s="7" t="s">
        <v>356</v>
      </c>
      <c r="C299" s="7" t="s">
        <v>2075</v>
      </c>
      <c r="D299" s="74">
        <v>1.0</v>
      </c>
      <c r="E299" s="46"/>
      <c r="F299" s="47">
        <v>24.99</v>
      </c>
      <c r="G299" s="47">
        <v>0.0</v>
      </c>
      <c r="H299" s="7"/>
      <c r="I299" s="47">
        <v>1.4</v>
      </c>
      <c r="J299" s="140">
        <f t="shared" si="1"/>
        <v>23.59</v>
      </c>
      <c r="K299" s="8"/>
      <c r="L299" s="7"/>
      <c r="M299" s="7"/>
      <c r="N299" s="7"/>
      <c r="O299" s="7"/>
      <c r="P299" s="7" t="s">
        <v>490</v>
      </c>
      <c r="Q299" s="7" t="s">
        <v>797</v>
      </c>
      <c r="R299" s="7"/>
      <c r="S299" s="7" t="s">
        <v>798</v>
      </c>
      <c r="T299" s="7" t="s">
        <v>525</v>
      </c>
      <c r="U299" s="65">
        <v>3569.0</v>
      </c>
      <c r="V299" s="7"/>
      <c r="W299" s="7"/>
    </row>
    <row r="300">
      <c r="A300" s="45">
        <v>45898.691875</v>
      </c>
      <c r="B300" s="7" t="s">
        <v>1846</v>
      </c>
      <c r="C300" s="67" t="s">
        <v>2077</v>
      </c>
      <c r="D300" s="74">
        <v>1.0</v>
      </c>
      <c r="E300" s="74">
        <v>1.0</v>
      </c>
      <c r="F300" s="47">
        <v>146.67</v>
      </c>
      <c r="G300" s="47">
        <v>0.0</v>
      </c>
      <c r="H300" s="7"/>
      <c r="I300" s="47">
        <v>6.75</v>
      </c>
      <c r="J300" s="140">
        <f t="shared" si="1"/>
        <v>139.92</v>
      </c>
      <c r="K300" s="8"/>
      <c r="L300" s="7"/>
      <c r="M300" s="7"/>
      <c r="N300" s="7"/>
      <c r="O300" s="7"/>
      <c r="P300" s="7" t="s">
        <v>490</v>
      </c>
      <c r="Q300" s="7" t="s">
        <v>1847</v>
      </c>
      <c r="R300" s="7" t="s">
        <v>2184</v>
      </c>
      <c r="S300" s="7" t="s">
        <v>1264</v>
      </c>
      <c r="T300" s="7" t="s">
        <v>545</v>
      </c>
      <c r="U300" s="65">
        <v>3565.0</v>
      </c>
      <c r="V300" s="7"/>
      <c r="W300" s="7"/>
    </row>
    <row r="301">
      <c r="A301" s="45">
        <v>45898.69179398148</v>
      </c>
      <c r="B301" s="7" t="s">
        <v>1350</v>
      </c>
      <c r="C301" s="7" t="s">
        <v>2075</v>
      </c>
      <c r="D301" s="74">
        <v>1.0</v>
      </c>
      <c r="E301" s="46"/>
      <c r="F301" s="47">
        <v>24.99</v>
      </c>
      <c r="G301" s="47">
        <v>0.0</v>
      </c>
      <c r="H301" s="7"/>
      <c r="I301" s="47">
        <v>1.4</v>
      </c>
      <c r="J301" s="140">
        <f t="shared" si="1"/>
        <v>23.59</v>
      </c>
      <c r="K301" s="8"/>
      <c r="L301" s="7"/>
      <c r="M301" s="7"/>
      <c r="N301" s="7"/>
      <c r="O301" s="7"/>
      <c r="P301" s="7" t="s">
        <v>490</v>
      </c>
      <c r="Q301" s="7" t="s">
        <v>1351</v>
      </c>
      <c r="R301" s="7"/>
      <c r="S301" s="7" t="s">
        <v>1352</v>
      </c>
      <c r="T301" s="7" t="s">
        <v>545</v>
      </c>
      <c r="U301" s="65">
        <v>3562.0</v>
      </c>
      <c r="V301" s="7"/>
      <c r="W301" s="7"/>
    </row>
    <row r="302">
      <c r="A302" s="45">
        <v>45898.69143518519</v>
      </c>
      <c r="B302" s="7" t="s">
        <v>425</v>
      </c>
      <c r="C302" s="67" t="s">
        <v>2077</v>
      </c>
      <c r="D302" s="74">
        <v>1.0</v>
      </c>
      <c r="E302" s="74">
        <v>1.0</v>
      </c>
      <c r="F302" s="47">
        <v>124.99</v>
      </c>
      <c r="G302" s="47">
        <v>0.0</v>
      </c>
      <c r="H302" s="7"/>
      <c r="I302" s="47">
        <v>5.8</v>
      </c>
      <c r="J302" s="140">
        <f t="shared" si="1"/>
        <v>119.19</v>
      </c>
      <c r="K302" s="8"/>
      <c r="L302" s="7"/>
      <c r="M302" s="7"/>
      <c r="N302" s="7"/>
      <c r="O302" s="7"/>
      <c r="P302" s="7" t="s">
        <v>490</v>
      </c>
      <c r="Q302" s="7" t="s">
        <v>1443</v>
      </c>
      <c r="R302" s="7"/>
      <c r="S302" s="7" t="s">
        <v>1444</v>
      </c>
      <c r="T302" s="7" t="s">
        <v>525</v>
      </c>
      <c r="U302" s="65">
        <v>3555.0</v>
      </c>
      <c r="V302" s="7"/>
      <c r="W302" s="7"/>
    </row>
    <row r="303">
      <c r="A303" s="45">
        <v>45898.691400462965</v>
      </c>
      <c r="B303" s="7" t="s">
        <v>1225</v>
      </c>
      <c r="C303" s="7" t="s">
        <v>2075</v>
      </c>
      <c r="D303" s="74">
        <v>1.0</v>
      </c>
      <c r="E303" s="46"/>
      <c r="F303" s="47">
        <v>24.99</v>
      </c>
      <c r="G303" s="47">
        <v>0.0</v>
      </c>
      <c r="H303" s="7"/>
      <c r="I303" s="47">
        <v>1.4</v>
      </c>
      <c r="J303" s="140">
        <f t="shared" si="1"/>
        <v>23.59</v>
      </c>
      <c r="K303" s="8"/>
      <c r="L303" s="7"/>
      <c r="M303" s="7"/>
      <c r="N303" s="7"/>
      <c r="O303" s="7"/>
      <c r="P303" s="7" t="s">
        <v>490</v>
      </c>
      <c r="Q303" s="7" t="s">
        <v>1226</v>
      </c>
      <c r="R303" s="7"/>
      <c r="S303" s="7" t="s">
        <v>1227</v>
      </c>
      <c r="T303" s="7" t="s">
        <v>726</v>
      </c>
      <c r="U303" s="65">
        <v>3560.0</v>
      </c>
      <c r="V303" s="7"/>
      <c r="W303" s="7"/>
    </row>
    <row r="304">
      <c r="A304" s="45">
        <v>45898.69136574074</v>
      </c>
      <c r="B304" s="7" t="s">
        <v>599</v>
      </c>
      <c r="C304" s="7" t="s">
        <v>2075</v>
      </c>
      <c r="D304" s="74">
        <v>1.0</v>
      </c>
      <c r="E304" s="46"/>
      <c r="F304" s="47">
        <v>24.99</v>
      </c>
      <c r="G304" s="47">
        <v>0.0</v>
      </c>
      <c r="H304" s="7"/>
      <c r="I304" s="47">
        <v>1.02</v>
      </c>
      <c r="J304" s="140">
        <f t="shared" si="1"/>
        <v>23.97</v>
      </c>
      <c r="K304" s="8"/>
      <c r="L304" s="7"/>
      <c r="M304" s="7"/>
      <c r="N304" s="7"/>
      <c r="O304" s="7"/>
      <c r="P304" s="7" t="s">
        <v>490</v>
      </c>
      <c r="Q304" s="7" t="s">
        <v>600</v>
      </c>
      <c r="R304" s="7"/>
      <c r="S304" s="7" t="s">
        <v>601</v>
      </c>
      <c r="T304" s="7" t="s">
        <v>493</v>
      </c>
      <c r="U304" s="65">
        <v>3566.0</v>
      </c>
      <c r="V304" s="7"/>
      <c r="W304" s="7"/>
    </row>
    <row r="305">
      <c r="A305" s="45">
        <v>45898.691342592596</v>
      </c>
      <c r="B305" s="7" t="s">
        <v>1191</v>
      </c>
      <c r="C305" s="7" t="s">
        <v>2075</v>
      </c>
      <c r="D305" s="74">
        <v>1.0</v>
      </c>
      <c r="E305" s="46"/>
      <c r="F305" s="47">
        <v>27.3</v>
      </c>
      <c r="G305" s="47">
        <v>0.0</v>
      </c>
      <c r="H305" s="7"/>
      <c r="I305" s="47">
        <v>1.09</v>
      </c>
      <c r="J305" s="140">
        <f t="shared" si="1"/>
        <v>26.21</v>
      </c>
      <c r="K305" s="8"/>
      <c r="L305" s="7"/>
      <c r="M305" s="7"/>
      <c r="N305" s="7"/>
      <c r="O305" s="7"/>
      <c r="P305" s="7" t="s">
        <v>490</v>
      </c>
      <c r="Q305" s="7" t="s">
        <v>1192</v>
      </c>
      <c r="R305" s="7"/>
      <c r="S305" s="7" t="s">
        <v>1193</v>
      </c>
      <c r="T305" s="7" t="s">
        <v>493</v>
      </c>
      <c r="U305" s="65">
        <v>3563.0</v>
      </c>
      <c r="V305" s="7"/>
      <c r="W305" s="7"/>
    </row>
    <row r="306">
      <c r="A306" s="45">
        <v>45898.691145833334</v>
      </c>
      <c r="B306" s="7" t="s">
        <v>410</v>
      </c>
      <c r="C306" s="7" t="s">
        <v>2075</v>
      </c>
      <c r="D306" s="74">
        <v>1.0</v>
      </c>
      <c r="E306" s="46"/>
      <c r="F306" s="47">
        <v>24.99</v>
      </c>
      <c r="G306" s="47">
        <v>0.0</v>
      </c>
      <c r="H306" s="7"/>
      <c r="I306" s="47">
        <v>1.02</v>
      </c>
      <c r="J306" s="140">
        <f t="shared" si="1"/>
        <v>23.97</v>
      </c>
      <c r="K306" s="8"/>
      <c r="L306" s="7"/>
      <c r="M306" s="7"/>
      <c r="N306" s="7"/>
      <c r="O306" s="7"/>
      <c r="P306" s="7" t="s">
        <v>490</v>
      </c>
      <c r="Q306" s="7" t="s">
        <v>1186</v>
      </c>
      <c r="R306" s="7"/>
      <c r="S306" s="7" t="s">
        <v>1187</v>
      </c>
      <c r="T306" s="7" t="s">
        <v>493</v>
      </c>
      <c r="U306" s="65">
        <v>3564.0</v>
      </c>
      <c r="V306" s="7"/>
      <c r="W306" s="7"/>
    </row>
    <row r="307">
      <c r="A307" s="45">
        <v>45898.691099537034</v>
      </c>
      <c r="B307" s="7" t="s">
        <v>203</v>
      </c>
      <c r="C307" s="67" t="s">
        <v>2077</v>
      </c>
      <c r="D307" s="74">
        <v>1.0</v>
      </c>
      <c r="E307" s="74">
        <v>1.0</v>
      </c>
      <c r="F307" s="47">
        <v>206.83</v>
      </c>
      <c r="G307" s="47">
        <v>0.0</v>
      </c>
      <c r="H307" s="7"/>
      <c r="I307" s="47">
        <v>9.4</v>
      </c>
      <c r="J307" s="140">
        <f t="shared" si="1"/>
        <v>197.43</v>
      </c>
      <c r="K307" s="8"/>
      <c r="L307" s="7"/>
      <c r="M307" s="7"/>
      <c r="N307" s="7"/>
      <c r="O307" s="7"/>
      <c r="P307" s="7" t="s">
        <v>490</v>
      </c>
      <c r="Q307" s="7"/>
      <c r="R307" s="7"/>
      <c r="S307" s="7"/>
      <c r="T307" s="7" t="s">
        <v>2185</v>
      </c>
      <c r="U307" s="65">
        <v>3546.0</v>
      </c>
      <c r="V307" s="7"/>
      <c r="W307" s="7"/>
    </row>
    <row r="308">
      <c r="A308" s="45">
        <v>45898.69101851852</v>
      </c>
      <c r="B308" s="7" t="s">
        <v>399</v>
      </c>
      <c r="C308" s="7" t="s">
        <v>2075</v>
      </c>
      <c r="D308" s="74">
        <v>1.0</v>
      </c>
      <c r="E308" s="46"/>
      <c r="F308" s="47">
        <v>24.99</v>
      </c>
      <c r="G308" s="47">
        <v>0.0</v>
      </c>
      <c r="H308" s="7"/>
      <c r="I308" s="47">
        <v>1.02</v>
      </c>
      <c r="J308" s="140">
        <f t="shared" si="1"/>
        <v>23.97</v>
      </c>
      <c r="K308" s="8"/>
      <c r="L308" s="7"/>
      <c r="M308" s="7"/>
      <c r="N308" s="7"/>
      <c r="O308" s="7"/>
      <c r="P308" s="7" t="s">
        <v>490</v>
      </c>
      <c r="Q308" s="7" t="s">
        <v>1654</v>
      </c>
      <c r="R308" s="7" t="s">
        <v>1215</v>
      </c>
      <c r="S308" s="7" t="s">
        <v>1320</v>
      </c>
      <c r="T308" s="7" t="s">
        <v>493</v>
      </c>
      <c r="U308" s="65">
        <v>3557.0</v>
      </c>
      <c r="V308" s="7"/>
      <c r="W308" s="7"/>
    </row>
    <row r="309">
      <c r="A309" s="45">
        <v>45898.69099537037</v>
      </c>
      <c r="B309" s="7" t="s">
        <v>422</v>
      </c>
      <c r="C309" s="67" t="s">
        <v>2077</v>
      </c>
      <c r="D309" s="74">
        <v>1.0</v>
      </c>
      <c r="E309" s="74">
        <v>1.0</v>
      </c>
      <c r="F309" s="47">
        <v>124.99</v>
      </c>
      <c r="G309" s="47">
        <v>0.0</v>
      </c>
      <c r="H309" s="7"/>
      <c r="I309" s="47">
        <v>5.8</v>
      </c>
      <c r="J309" s="140">
        <f t="shared" si="1"/>
        <v>119.19</v>
      </c>
      <c r="K309" s="8"/>
      <c r="L309" s="7"/>
      <c r="M309" s="7"/>
      <c r="N309" s="7"/>
      <c r="O309" s="7"/>
      <c r="P309" s="7" t="s">
        <v>490</v>
      </c>
      <c r="Q309" s="7" t="s">
        <v>1232</v>
      </c>
      <c r="R309" s="65">
        <v>34.0</v>
      </c>
      <c r="S309" s="7" t="s">
        <v>1233</v>
      </c>
      <c r="T309" s="7" t="s">
        <v>525</v>
      </c>
      <c r="U309" s="65">
        <v>3552.0</v>
      </c>
      <c r="V309" s="7"/>
      <c r="W309" s="7"/>
    </row>
    <row r="310">
      <c r="A310" s="45">
        <v>45898.69099537037</v>
      </c>
      <c r="B310" s="7" t="s">
        <v>407</v>
      </c>
      <c r="C310" s="7" t="s">
        <v>2075</v>
      </c>
      <c r="D310" s="74">
        <v>1.0</v>
      </c>
      <c r="E310" s="46"/>
      <c r="F310" s="47">
        <v>24.99</v>
      </c>
      <c r="G310" s="47">
        <v>0.0</v>
      </c>
      <c r="H310" s="7"/>
      <c r="I310" s="47">
        <v>1.4</v>
      </c>
      <c r="J310" s="140">
        <f t="shared" si="1"/>
        <v>23.59</v>
      </c>
      <c r="K310" s="8"/>
      <c r="L310" s="7"/>
      <c r="M310" s="7"/>
      <c r="N310" s="7"/>
      <c r="O310" s="7"/>
      <c r="P310" s="7" t="s">
        <v>490</v>
      </c>
      <c r="Q310" s="7" t="s">
        <v>1299</v>
      </c>
      <c r="R310" s="7"/>
      <c r="S310" s="7" t="s">
        <v>1300</v>
      </c>
      <c r="T310" s="7" t="s">
        <v>633</v>
      </c>
      <c r="U310" s="65">
        <v>3554.0</v>
      </c>
      <c r="V310" s="7"/>
      <c r="W310" s="7"/>
    </row>
    <row r="311">
      <c r="A311" s="45">
        <v>45898.69063657407</v>
      </c>
      <c r="B311" s="7" t="s">
        <v>1121</v>
      </c>
      <c r="C311" s="7" t="s">
        <v>2075</v>
      </c>
      <c r="D311" s="74">
        <v>1.0</v>
      </c>
      <c r="E311" s="46"/>
      <c r="F311" s="47">
        <v>24.99</v>
      </c>
      <c r="G311" s="47">
        <v>0.0</v>
      </c>
      <c r="H311" s="7"/>
      <c r="I311" s="47">
        <v>1.4</v>
      </c>
      <c r="J311" s="140">
        <f t="shared" si="1"/>
        <v>23.59</v>
      </c>
      <c r="K311" s="8"/>
      <c r="L311" s="7"/>
      <c r="M311" s="7"/>
      <c r="N311" s="7"/>
      <c r="O311" s="7"/>
      <c r="P311" s="7" t="s">
        <v>490</v>
      </c>
      <c r="Q311" s="7" t="s">
        <v>1122</v>
      </c>
      <c r="R311" s="7"/>
      <c r="S311" s="7" t="s">
        <v>1123</v>
      </c>
      <c r="T311" s="7" t="s">
        <v>525</v>
      </c>
      <c r="U311" s="65">
        <v>3548.0</v>
      </c>
      <c r="V311" s="7"/>
      <c r="W311" s="7"/>
    </row>
    <row r="312">
      <c r="A312" s="45">
        <v>45898.6905787037</v>
      </c>
      <c r="B312" s="7" t="s">
        <v>1671</v>
      </c>
      <c r="C312" s="7" t="s">
        <v>2075</v>
      </c>
      <c r="D312" s="74">
        <v>1.0</v>
      </c>
      <c r="E312" s="46"/>
      <c r="F312" s="47">
        <v>24.99</v>
      </c>
      <c r="G312" s="47">
        <v>0.0</v>
      </c>
      <c r="H312" s="7"/>
      <c r="I312" s="47">
        <v>1.4</v>
      </c>
      <c r="J312" s="140">
        <f t="shared" si="1"/>
        <v>23.59</v>
      </c>
      <c r="K312" s="8"/>
      <c r="L312" s="7"/>
      <c r="M312" s="7"/>
      <c r="N312" s="7"/>
      <c r="O312" s="7"/>
      <c r="P312" s="7" t="s">
        <v>490</v>
      </c>
      <c r="Q312" s="7" t="s">
        <v>1407</v>
      </c>
      <c r="R312" s="7" t="s">
        <v>1408</v>
      </c>
      <c r="S312" s="7" t="s">
        <v>1409</v>
      </c>
      <c r="T312" s="7" t="s">
        <v>542</v>
      </c>
      <c r="U312" s="65">
        <v>3549.0</v>
      </c>
      <c r="V312" s="7"/>
      <c r="W312" s="7"/>
    </row>
    <row r="313">
      <c r="A313" s="45">
        <v>45898.69048611111</v>
      </c>
      <c r="B313" s="7" t="s">
        <v>331</v>
      </c>
      <c r="C313" s="67" t="s">
        <v>2077</v>
      </c>
      <c r="D313" s="74">
        <v>1.0</v>
      </c>
      <c r="E313" s="74">
        <v>1.0</v>
      </c>
      <c r="F313" s="47">
        <v>124.99</v>
      </c>
      <c r="G313" s="47">
        <v>0.0</v>
      </c>
      <c r="H313" s="7"/>
      <c r="I313" s="47">
        <v>5.8</v>
      </c>
      <c r="J313" s="140">
        <f t="shared" si="1"/>
        <v>119.19</v>
      </c>
      <c r="K313" s="8"/>
      <c r="L313" s="7"/>
      <c r="M313" s="7"/>
      <c r="N313" s="7"/>
      <c r="O313" s="7"/>
      <c r="P313" s="7" t="s">
        <v>490</v>
      </c>
      <c r="Q313" s="7" t="s">
        <v>1449</v>
      </c>
      <c r="R313" s="7" t="s">
        <v>1450</v>
      </c>
      <c r="S313" s="7" t="s">
        <v>1451</v>
      </c>
      <c r="T313" s="7" t="s">
        <v>555</v>
      </c>
      <c r="U313" s="65">
        <v>3553.0</v>
      </c>
      <c r="V313" s="7"/>
      <c r="W313" s="7"/>
    </row>
    <row r="314">
      <c r="A314" s="45">
        <v>45898.69048611111</v>
      </c>
      <c r="B314" s="7" t="s">
        <v>387</v>
      </c>
      <c r="C314" s="7" t="s">
        <v>2075</v>
      </c>
      <c r="D314" s="74">
        <v>1.0</v>
      </c>
      <c r="E314" s="46"/>
      <c r="F314" s="47">
        <v>24.99</v>
      </c>
      <c r="G314" s="47">
        <v>0.0</v>
      </c>
      <c r="H314" s="7"/>
      <c r="I314" s="47">
        <v>1.4</v>
      </c>
      <c r="J314" s="140">
        <f t="shared" si="1"/>
        <v>23.59</v>
      </c>
      <c r="K314" s="8"/>
      <c r="L314" s="7"/>
      <c r="M314" s="7"/>
      <c r="N314" s="7"/>
      <c r="O314" s="7"/>
      <c r="P314" s="7" t="s">
        <v>490</v>
      </c>
      <c r="Q314" s="7" t="s">
        <v>1453</v>
      </c>
      <c r="R314" s="7"/>
      <c r="S314" s="7" t="s">
        <v>1454</v>
      </c>
      <c r="T314" s="7" t="s">
        <v>726</v>
      </c>
      <c r="U314" s="65">
        <v>3556.0</v>
      </c>
      <c r="V314" s="7"/>
      <c r="W314" s="7"/>
    </row>
    <row r="315">
      <c r="A315" s="45">
        <v>45898.690416666665</v>
      </c>
      <c r="B315" s="7" t="s">
        <v>250</v>
      </c>
      <c r="C315" s="7" t="s">
        <v>2075</v>
      </c>
      <c r="D315" s="74">
        <v>1.0</v>
      </c>
      <c r="E315" s="46"/>
      <c r="F315" s="47">
        <v>24.99</v>
      </c>
      <c r="G315" s="47">
        <v>0.0</v>
      </c>
      <c r="H315" s="7"/>
      <c r="I315" s="47">
        <v>1.4</v>
      </c>
      <c r="J315" s="140">
        <f t="shared" si="1"/>
        <v>23.59</v>
      </c>
      <c r="K315" s="8"/>
      <c r="L315" s="7"/>
      <c r="M315" s="7"/>
      <c r="N315" s="7"/>
      <c r="O315" s="7"/>
      <c r="P315" s="7" t="s">
        <v>490</v>
      </c>
      <c r="Q315" s="7" t="s">
        <v>1075</v>
      </c>
      <c r="R315" s="7"/>
      <c r="S315" s="7" t="s">
        <v>1076</v>
      </c>
      <c r="T315" s="7" t="s">
        <v>525</v>
      </c>
      <c r="U315" s="65">
        <v>3541.0</v>
      </c>
      <c r="V315" s="7"/>
      <c r="W315" s="7"/>
    </row>
    <row r="316">
      <c r="A316" s="45">
        <v>45898.6903125</v>
      </c>
      <c r="B316" s="7" t="s">
        <v>352</v>
      </c>
      <c r="C316" s="7" t="s">
        <v>2075</v>
      </c>
      <c r="D316" s="74">
        <v>1.0</v>
      </c>
      <c r="E316" s="46"/>
      <c r="F316" s="47">
        <v>24.99</v>
      </c>
      <c r="G316" s="47">
        <v>0.0</v>
      </c>
      <c r="H316" s="7"/>
      <c r="I316" s="47">
        <v>1.4</v>
      </c>
      <c r="J316" s="140">
        <f t="shared" si="1"/>
        <v>23.59</v>
      </c>
      <c r="K316" s="8"/>
      <c r="L316" s="7"/>
      <c r="M316" s="7"/>
      <c r="N316" s="7"/>
      <c r="O316" s="7"/>
      <c r="P316" s="7" t="s">
        <v>490</v>
      </c>
      <c r="Q316" s="7"/>
      <c r="R316" s="7"/>
      <c r="S316" s="7"/>
      <c r="T316" s="7" t="s">
        <v>973</v>
      </c>
      <c r="U316" s="65">
        <v>3544.0</v>
      </c>
      <c r="V316" s="7"/>
      <c r="W316" s="7"/>
    </row>
    <row r="317">
      <c r="A317" s="45">
        <v>45898.69020833333</v>
      </c>
      <c r="B317" s="7" t="s">
        <v>358</v>
      </c>
      <c r="C317" s="7" t="s">
        <v>2075</v>
      </c>
      <c r="D317" s="74">
        <v>1.0</v>
      </c>
      <c r="E317" s="46"/>
      <c r="F317" s="47">
        <v>24.99</v>
      </c>
      <c r="G317" s="47">
        <v>0.0</v>
      </c>
      <c r="H317" s="7"/>
      <c r="I317" s="47">
        <v>1.02</v>
      </c>
      <c r="J317" s="140">
        <f t="shared" si="1"/>
        <v>23.97</v>
      </c>
      <c r="K317" s="8"/>
      <c r="L317" s="7"/>
      <c r="M317" s="7"/>
      <c r="N317" s="7"/>
      <c r="O317" s="7"/>
      <c r="P317" s="7" t="s">
        <v>490</v>
      </c>
      <c r="Q317" s="7" t="s">
        <v>1176</v>
      </c>
      <c r="R317" s="7"/>
      <c r="S317" s="7" t="s">
        <v>1147</v>
      </c>
      <c r="T317" s="7" t="s">
        <v>493</v>
      </c>
      <c r="U317" s="65">
        <v>3550.0</v>
      </c>
      <c r="V317" s="7"/>
      <c r="W317" s="7"/>
    </row>
    <row r="318">
      <c r="A318" s="45">
        <v>45898.69013888889</v>
      </c>
      <c r="B318" s="7" t="s">
        <v>419</v>
      </c>
      <c r="C318" s="7" t="s">
        <v>2075</v>
      </c>
      <c r="D318" s="74">
        <v>1.0</v>
      </c>
      <c r="E318" s="46"/>
      <c r="F318" s="47">
        <v>27.18</v>
      </c>
      <c r="G318" s="47">
        <v>0.0</v>
      </c>
      <c r="H318" s="7"/>
      <c r="I318" s="47">
        <v>1.09</v>
      </c>
      <c r="J318" s="140">
        <f t="shared" si="1"/>
        <v>26.09</v>
      </c>
      <c r="K318" s="8"/>
      <c r="L318" s="7"/>
      <c r="M318" s="7"/>
      <c r="N318" s="7"/>
      <c r="O318" s="7"/>
      <c r="P318" s="7" t="s">
        <v>490</v>
      </c>
      <c r="Q318" s="7" t="s">
        <v>1455</v>
      </c>
      <c r="R318" s="7"/>
      <c r="S318" s="7" t="s">
        <v>1456</v>
      </c>
      <c r="T318" s="7" t="s">
        <v>493</v>
      </c>
      <c r="U318" s="65">
        <v>3551.0</v>
      </c>
      <c r="V318" s="7"/>
      <c r="W318" s="7"/>
    </row>
    <row r="319">
      <c r="A319" s="45">
        <v>45898.690034722225</v>
      </c>
      <c r="B319" s="7" t="s">
        <v>1162</v>
      </c>
      <c r="C319" s="7" t="s">
        <v>2075</v>
      </c>
      <c r="D319" s="74">
        <v>1.0</v>
      </c>
      <c r="E319" s="46"/>
      <c r="F319" s="47">
        <v>36.28</v>
      </c>
      <c r="G319" s="47">
        <v>0.0</v>
      </c>
      <c r="H319" s="7"/>
      <c r="I319" s="47">
        <v>1.35</v>
      </c>
      <c r="J319" s="140">
        <f t="shared" si="1"/>
        <v>34.93</v>
      </c>
      <c r="K319" s="8"/>
      <c r="L319" s="7"/>
      <c r="M319" s="7"/>
      <c r="N319" s="7"/>
      <c r="O319" s="7"/>
      <c r="P319" s="7" t="s">
        <v>490</v>
      </c>
      <c r="Q319" s="7" t="s">
        <v>1163</v>
      </c>
      <c r="R319" s="7"/>
      <c r="S319" s="7" t="s">
        <v>653</v>
      </c>
      <c r="T319" s="7" t="s">
        <v>493</v>
      </c>
      <c r="U319" s="65">
        <v>3547.0</v>
      </c>
      <c r="V319" s="7"/>
      <c r="W319" s="7"/>
    </row>
    <row r="320">
      <c r="A320" s="45">
        <v>45898.68986111111</v>
      </c>
      <c r="B320" s="7" t="s">
        <v>432</v>
      </c>
      <c r="C320" s="67" t="s">
        <v>2077</v>
      </c>
      <c r="D320" s="74">
        <v>1.0</v>
      </c>
      <c r="E320" s="74">
        <v>1.0</v>
      </c>
      <c r="F320" s="47">
        <v>134.68</v>
      </c>
      <c r="G320" s="47">
        <v>0.0</v>
      </c>
      <c r="H320" s="7"/>
      <c r="I320" s="47">
        <v>4.21</v>
      </c>
      <c r="J320" s="140">
        <f t="shared" si="1"/>
        <v>130.47</v>
      </c>
      <c r="K320" s="8"/>
      <c r="L320" s="7"/>
      <c r="M320" s="7"/>
      <c r="N320" s="7"/>
      <c r="O320" s="7"/>
      <c r="P320" s="7" t="s">
        <v>490</v>
      </c>
      <c r="Q320" s="7" t="s">
        <v>1462</v>
      </c>
      <c r="R320" s="7"/>
      <c r="S320" s="7" t="s">
        <v>1463</v>
      </c>
      <c r="T320" s="7" t="s">
        <v>493</v>
      </c>
      <c r="U320" s="65">
        <v>3545.0</v>
      </c>
      <c r="V320" s="7"/>
      <c r="W320" s="7"/>
    </row>
    <row r="321">
      <c r="A321" s="45">
        <v>45898.68912037037</v>
      </c>
      <c r="B321" s="7" t="s">
        <v>299</v>
      </c>
      <c r="C321" s="67" t="s">
        <v>2077</v>
      </c>
      <c r="D321" s="74">
        <v>1.0</v>
      </c>
      <c r="E321" s="74">
        <v>1.0</v>
      </c>
      <c r="F321" s="47">
        <v>124.99</v>
      </c>
      <c r="G321" s="47">
        <v>0.0</v>
      </c>
      <c r="H321" s="7"/>
      <c r="I321" s="47">
        <v>5.8</v>
      </c>
      <c r="J321" s="140">
        <f t="shared" si="1"/>
        <v>119.19</v>
      </c>
      <c r="K321" s="8"/>
      <c r="L321" s="7"/>
      <c r="M321" s="7"/>
      <c r="N321" s="7"/>
      <c r="O321" s="7"/>
      <c r="P321" s="7" t="s">
        <v>490</v>
      </c>
      <c r="Q321" s="7" t="s">
        <v>1374</v>
      </c>
      <c r="R321" s="7"/>
      <c r="S321" s="7" t="s">
        <v>1375</v>
      </c>
      <c r="T321" s="7" t="s">
        <v>633</v>
      </c>
      <c r="U321" s="65">
        <v>3542.0</v>
      </c>
      <c r="V321" s="7"/>
      <c r="W321" s="7"/>
    </row>
    <row r="322">
      <c r="A322" s="45">
        <v>45898.689050925925</v>
      </c>
      <c r="B322" s="7" t="s">
        <v>296</v>
      </c>
      <c r="C322" s="7" t="s">
        <v>2075</v>
      </c>
      <c r="D322" s="74">
        <v>1.0</v>
      </c>
      <c r="E322" s="46"/>
      <c r="F322" s="47">
        <v>24.99</v>
      </c>
      <c r="G322" s="47">
        <v>0.0</v>
      </c>
      <c r="H322" s="7"/>
      <c r="I322" s="47">
        <v>1.4</v>
      </c>
      <c r="J322" s="140">
        <f t="shared" si="1"/>
        <v>23.59</v>
      </c>
      <c r="K322" s="8"/>
      <c r="L322" s="7"/>
      <c r="M322" s="7"/>
      <c r="N322" s="7"/>
      <c r="O322" s="7"/>
      <c r="P322" s="7" t="s">
        <v>490</v>
      </c>
      <c r="Q322" s="7" t="s">
        <v>968</v>
      </c>
      <c r="R322" s="7"/>
      <c r="S322" s="7" t="s">
        <v>969</v>
      </c>
      <c r="T322" s="7" t="s">
        <v>617</v>
      </c>
      <c r="U322" s="65">
        <v>3543.0</v>
      </c>
      <c r="V322" s="7"/>
      <c r="W322" s="7"/>
    </row>
    <row r="323">
      <c r="A323" s="45">
        <v>45898.688472222224</v>
      </c>
      <c r="B323" s="7" t="s">
        <v>381</v>
      </c>
      <c r="C323" s="7" t="s">
        <v>2075</v>
      </c>
      <c r="D323" s="74">
        <v>1.0</v>
      </c>
      <c r="E323" s="46"/>
      <c r="F323" s="47">
        <v>24.99</v>
      </c>
      <c r="G323" s="47">
        <v>0.0</v>
      </c>
      <c r="H323" s="7"/>
      <c r="I323" s="47">
        <v>1.4</v>
      </c>
      <c r="J323" s="140">
        <f t="shared" si="1"/>
        <v>23.59</v>
      </c>
      <c r="K323" s="8"/>
      <c r="L323" s="7"/>
      <c r="M323" s="7"/>
      <c r="N323" s="7"/>
      <c r="O323" s="7"/>
      <c r="P323" s="7" t="s">
        <v>490</v>
      </c>
      <c r="Q323" s="7" t="s">
        <v>2186</v>
      </c>
      <c r="R323" s="7" t="s">
        <v>2187</v>
      </c>
      <c r="S323" s="7" t="s">
        <v>509</v>
      </c>
      <c r="T323" s="7" t="s">
        <v>510</v>
      </c>
      <c r="U323" s="65">
        <v>3535.0</v>
      </c>
      <c r="V323" s="7"/>
      <c r="W323" s="7"/>
    </row>
    <row r="324">
      <c r="A324" s="45">
        <v>45898.68837962963</v>
      </c>
      <c r="B324" s="7" t="s">
        <v>411</v>
      </c>
      <c r="C324" s="7" t="s">
        <v>2075</v>
      </c>
      <c r="D324" s="74">
        <v>1.0</v>
      </c>
      <c r="E324" s="46"/>
      <c r="F324" s="47">
        <v>24.99</v>
      </c>
      <c r="G324" s="47">
        <v>0.0</v>
      </c>
      <c r="H324" s="7"/>
      <c r="I324" s="47">
        <v>1.4</v>
      </c>
      <c r="J324" s="140">
        <f t="shared" si="1"/>
        <v>23.59</v>
      </c>
      <c r="K324" s="8"/>
      <c r="L324" s="7"/>
      <c r="M324" s="7"/>
      <c r="N324" s="7"/>
      <c r="O324" s="7"/>
      <c r="P324" s="7" t="s">
        <v>490</v>
      </c>
      <c r="Q324" s="7" t="s">
        <v>1380</v>
      </c>
      <c r="R324" s="7"/>
      <c r="S324" s="7" t="s">
        <v>1381</v>
      </c>
      <c r="T324" s="7" t="s">
        <v>525</v>
      </c>
      <c r="U324" s="65">
        <v>3539.0</v>
      </c>
      <c r="V324" s="7"/>
      <c r="W324" s="7"/>
    </row>
    <row r="325">
      <c r="A325" s="45">
        <v>45898.68771990741</v>
      </c>
      <c r="B325" s="7" t="s">
        <v>2188</v>
      </c>
      <c r="C325" s="67" t="s">
        <v>2077</v>
      </c>
      <c r="D325" s="74">
        <v>1.0</v>
      </c>
      <c r="E325" s="74">
        <v>1.0</v>
      </c>
      <c r="F325" s="47">
        <v>134.46</v>
      </c>
      <c r="G325" s="47">
        <v>0.0</v>
      </c>
      <c r="H325" s="7"/>
      <c r="I325" s="47">
        <v>4.2</v>
      </c>
      <c r="J325" s="140">
        <f t="shared" si="1"/>
        <v>130.26</v>
      </c>
      <c r="K325" s="8"/>
      <c r="L325" s="7"/>
      <c r="M325" s="7"/>
      <c r="N325" s="7"/>
      <c r="O325" s="7"/>
      <c r="P325" s="7" t="s">
        <v>490</v>
      </c>
      <c r="Q325" s="7" t="s">
        <v>2058</v>
      </c>
      <c r="R325" s="7"/>
      <c r="S325" s="7" t="s">
        <v>2059</v>
      </c>
      <c r="T325" s="7" t="s">
        <v>493</v>
      </c>
      <c r="U325" s="65">
        <v>3538.0</v>
      </c>
      <c r="V325" s="7"/>
      <c r="W325" s="7"/>
    </row>
    <row r="326">
      <c r="A326" s="45">
        <v>45898.68613425926</v>
      </c>
      <c r="B326" s="7" t="s">
        <v>453</v>
      </c>
      <c r="C326" s="67" t="s">
        <v>2077</v>
      </c>
      <c r="D326" s="74">
        <v>1.0</v>
      </c>
      <c r="E326" s="74">
        <v>1.0</v>
      </c>
      <c r="F326" s="47">
        <v>124.99</v>
      </c>
      <c r="G326" s="47">
        <v>0.0</v>
      </c>
      <c r="H326" s="7"/>
      <c r="I326" s="47">
        <v>5.8</v>
      </c>
      <c r="J326" s="140">
        <f t="shared" si="1"/>
        <v>119.19</v>
      </c>
      <c r="K326" s="8"/>
      <c r="L326" s="7"/>
      <c r="M326" s="7"/>
      <c r="N326" s="7"/>
      <c r="O326" s="7"/>
      <c r="P326" s="7" t="s">
        <v>490</v>
      </c>
      <c r="Q326" s="7" t="s">
        <v>1325</v>
      </c>
      <c r="R326" s="7"/>
      <c r="S326" s="7" t="s">
        <v>1326</v>
      </c>
      <c r="T326" s="7" t="s">
        <v>545</v>
      </c>
      <c r="U326" s="65">
        <v>3536.0</v>
      </c>
      <c r="V326" s="7"/>
      <c r="W326" s="7"/>
    </row>
    <row r="327">
      <c r="A327" s="45">
        <v>45898.68543981481</v>
      </c>
      <c r="B327" s="7" t="s">
        <v>217</v>
      </c>
      <c r="C327" s="7" t="s">
        <v>2075</v>
      </c>
      <c r="D327" s="74">
        <v>1.0</v>
      </c>
      <c r="E327" s="46"/>
      <c r="F327" s="47">
        <v>24.99</v>
      </c>
      <c r="G327" s="47">
        <v>0.0</v>
      </c>
      <c r="H327" s="7"/>
      <c r="I327" s="47">
        <v>1.4</v>
      </c>
      <c r="J327" s="140">
        <f t="shared" si="1"/>
        <v>23.59</v>
      </c>
      <c r="K327" s="8"/>
      <c r="L327" s="7"/>
      <c r="M327" s="7"/>
      <c r="N327" s="7"/>
      <c r="O327" s="7"/>
      <c r="P327" s="7" t="s">
        <v>490</v>
      </c>
      <c r="Q327" s="7" t="s">
        <v>1148</v>
      </c>
      <c r="R327" s="7"/>
      <c r="S327" s="7" t="s">
        <v>1150</v>
      </c>
      <c r="T327" s="7" t="s">
        <v>555</v>
      </c>
      <c r="U327" s="65">
        <v>3531.0</v>
      </c>
      <c r="V327" s="7"/>
      <c r="W327" s="7"/>
    </row>
    <row r="328">
      <c r="A328" s="45">
        <v>45898.684328703705</v>
      </c>
      <c r="B328" s="7" t="s">
        <v>614</v>
      </c>
      <c r="C328" s="7" t="s">
        <v>2075</v>
      </c>
      <c r="D328" s="74">
        <v>1.0</v>
      </c>
      <c r="E328" s="46"/>
      <c r="F328" s="47">
        <v>24.99</v>
      </c>
      <c r="G328" s="47">
        <v>0.0</v>
      </c>
      <c r="H328" s="7"/>
      <c r="I328" s="47">
        <v>1.4</v>
      </c>
      <c r="J328" s="140">
        <f t="shared" si="1"/>
        <v>23.59</v>
      </c>
      <c r="K328" s="8"/>
      <c r="L328" s="7"/>
      <c r="M328" s="7"/>
      <c r="N328" s="7"/>
      <c r="O328" s="7"/>
      <c r="P328" s="7" t="s">
        <v>490</v>
      </c>
      <c r="Q328" s="7" t="s">
        <v>615</v>
      </c>
      <c r="R328" s="7"/>
      <c r="S328" s="7" t="s">
        <v>616</v>
      </c>
      <c r="T328" s="7" t="s">
        <v>617</v>
      </c>
      <c r="U328" s="65">
        <v>3527.0</v>
      </c>
      <c r="V328" s="7"/>
      <c r="W328" s="7"/>
    </row>
    <row r="329">
      <c r="A329" s="45">
        <v>45898.68412037037</v>
      </c>
      <c r="B329" s="7" t="s">
        <v>435</v>
      </c>
      <c r="C329" s="7" t="s">
        <v>2075</v>
      </c>
      <c r="D329" s="74">
        <v>1.0</v>
      </c>
      <c r="E329" s="46"/>
      <c r="F329" s="47">
        <v>24.99</v>
      </c>
      <c r="G329" s="47">
        <v>0.0</v>
      </c>
      <c r="H329" s="7"/>
      <c r="I329" s="47">
        <v>1.02</v>
      </c>
      <c r="J329" s="140">
        <f t="shared" si="1"/>
        <v>23.97</v>
      </c>
      <c r="K329" s="8"/>
      <c r="L329" s="7"/>
      <c r="M329" s="7"/>
      <c r="N329" s="7"/>
      <c r="O329" s="7"/>
      <c r="P329" s="7" t="s">
        <v>490</v>
      </c>
      <c r="Q329" s="7" t="s">
        <v>1853</v>
      </c>
      <c r="R329" s="7"/>
      <c r="S329" s="7" t="s">
        <v>1437</v>
      </c>
      <c r="T329" s="7" t="s">
        <v>493</v>
      </c>
      <c r="U329" s="65">
        <v>3529.0</v>
      </c>
      <c r="V329" s="7"/>
      <c r="W329" s="7"/>
    </row>
    <row r="330">
      <c r="A330" s="45">
        <v>45898.68363425926</v>
      </c>
      <c r="B330" s="7" t="s">
        <v>1313</v>
      </c>
      <c r="C330" s="7" t="s">
        <v>2075</v>
      </c>
      <c r="D330" s="74">
        <v>1.0</v>
      </c>
      <c r="E330" s="46"/>
      <c r="F330" s="47">
        <v>24.99</v>
      </c>
      <c r="G330" s="47">
        <v>0.0</v>
      </c>
      <c r="H330" s="7"/>
      <c r="I330" s="47">
        <v>1.4</v>
      </c>
      <c r="J330" s="140">
        <f t="shared" si="1"/>
        <v>23.59</v>
      </c>
      <c r="K330" s="8"/>
      <c r="L330" s="7"/>
      <c r="M330" s="7"/>
      <c r="N330" s="7"/>
      <c r="O330" s="7"/>
      <c r="P330" s="7" t="s">
        <v>490</v>
      </c>
      <c r="Q330" s="7" t="s">
        <v>1314</v>
      </c>
      <c r="R330" s="7"/>
      <c r="S330" s="7" t="s">
        <v>1315</v>
      </c>
      <c r="T330" s="7" t="s">
        <v>542</v>
      </c>
      <c r="U330" s="65">
        <v>3525.0</v>
      </c>
      <c r="V330" s="7"/>
      <c r="W330" s="7"/>
    </row>
    <row r="331">
      <c r="A331" s="45">
        <v>45898.68271990741</v>
      </c>
      <c r="B331" s="7" t="s">
        <v>2189</v>
      </c>
      <c r="C331" s="7" t="s">
        <v>2075</v>
      </c>
      <c r="D331" s="74">
        <v>1.0</v>
      </c>
      <c r="E331" s="46"/>
      <c r="F331" s="47">
        <v>24.99</v>
      </c>
      <c r="G331" s="47">
        <v>0.0</v>
      </c>
      <c r="H331" s="7"/>
      <c r="I331" s="47">
        <v>1.4</v>
      </c>
      <c r="J331" s="140">
        <f t="shared" si="1"/>
        <v>23.59</v>
      </c>
      <c r="K331" s="8"/>
      <c r="L331" s="7"/>
      <c r="M331" s="7"/>
      <c r="N331" s="7"/>
      <c r="O331" s="7"/>
      <c r="P331" s="7" t="s">
        <v>490</v>
      </c>
      <c r="Q331" s="7" t="s">
        <v>2190</v>
      </c>
      <c r="R331" s="7" t="s">
        <v>2191</v>
      </c>
      <c r="S331" s="7" t="s">
        <v>620</v>
      </c>
      <c r="T331" s="7" t="s">
        <v>545</v>
      </c>
      <c r="U331" s="65">
        <v>3526.0</v>
      </c>
      <c r="V331" s="7"/>
      <c r="W331" s="7"/>
    </row>
    <row r="332">
      <c r="A332" s="45">
        <v>45898.682534722226</v>
      </c>
      <c r="B332" s="7" t="s">
        <v>1645</v>
      </c>
      <c r="C332" s="7" t="s">
        <v>2075</v>
      </c>
      <c r="D332" s="74">
        <v>1.0</v>
      </c>
      <c r="E332" s="46"/>
      <c r="F332" s="47">
        <v>24.99</v>
      </c>
      <c r="G332" s="47">
        <v>0.0</v>
      </c>
      <c r="H332" s="7"/>
      <c r="I332" s="47">
        <v>1.4</v>
      </c>
      <c r="J332" s="140">
        <f t="shared" si="1"/>
        <v>23.59</v>
      </c>
      <c r="K332" s="8"/>
      <c r="L332" s="7"/>
      <c r="M332" s="7"/>
      <c r="N332" s="7"/>
      <c r="O332" s="7"/>
      <c r="P332" s="7" t="s">
        <v>490</v>
      </c>
      <c r="Q332" s="7" t="s">
        <v>649</v>
      </c>
      <c r="R332" s="7" t="s">
        <v>1849</v>
      </c>
      <c r="S332" s="7" t="s">
        <v>651</v>
      </c>
      <c r="T332" s="7" t="s">
        <v>510</v>
      </c>
      <c r="U332" s="65">
        <v>3528.0</v>
      </c>
      <c r="V332" s="7"/>
      <c r="W332" s="7"/>
    </row>
    <row r="333">
      <c r="A333" s="45">
        <v>45898.681655092594</v>
      </c>
      <c r="B333" s="7" t="s">
        <v>465</v>
      </c>
      <c r="C333" s="7" t="s">
        <v>2075</v>
      </c>
      <c r="D333" s="74">
        <v>1.0</v>
      </c>
      <c r="E333" s="46"/>
      <c r="F333" s="47">
        <v>26.93</v>
      </c>
      <c r="G333" s="47">
        <v>0.0</v>
      </c>
      <c r="H333" s="7"/>
      <c r="I333" s="47">
        <v>1.08</v>
      </c>
      <c r="J333" s="140">
        <f t="shared" si="1"/>
        <v>25.85</v>
      </c>
      <c r="K333" s="8"/>
      <c r="L333" s="7"/>
      <c r="M333" s="7"/>
      <c r="N333" s="7"/>
      <c r="O333" s="7"/>
      <c r="P333" s="7" t="s">
        <v>490</v>
      </c>
      <c r="Q333" s="7" t="s">
        <v>1447</v>
      </c>
      <c r="R333" s="7"/>
      <c r="S333" s="7" t="s">
        <v>1448</v>
      </c>
      <c r="T333" s="7" t="s">
        <v>493</v>
      </c>
      <c r="U333" s="65">
        <v>3523.0</v>
      </c>
      <c r="V333" s="7"/>
      <c r="W333" s="7"/>
    </row>
    <row r="334">
      <c r="A334" s="45">
        <v>45898.680185185185</v>
      </c>
      <c r="B334" s="7" t="s">
        <v>2192</v>
      </c>
      <c r="C334" s="67" t="s">
        <v>2077</v>
      </c>
      <c r="D334" s="74">
        <v>1.0</v>
      </c>
      <c r="E334" s="74">
        <v>1.0</v>
      </c>
      <c r="F334" s="47">
        <v>124.99</v>
      </c>
      <c r="G334" s="47">
        <v>0.0</v>
      </c>
      <c r="H334" s="7"/>
      <c r="I334" s="47">
        <v>3.92</v>
      </c>
      <c r="J334" s="140">
        <f t="shared" si="1"/>
        <v>121.07</v>
      </c>
      <c r="K334" s="8"/>
      <c r="L334" s="7"/>
      <c r="M334" s="7"/>
      <c r="N334" s="7"/>
      <c r="O334" s="7"/>
      <c r="P334" s="7" t="s">
        <v>490</v>
      </c>
      <c r="Q334" s="7" t="s">
        <v>848</v>
      </c>
      <c r="R334" s="7" t="s">
        <v>2193</v>
      </c>
      <c r="S334" s="7" t="s">
        <v>2194</v>
      </c>
      <c r="T334" s="7" t="s">
        <v>493</v>
      </c>
      <c r="U334" s="65">
        <v>3518.0</v>
      </c>
      <c r="V334" s="7"/>
      <c r="W334" s="7"/>
    </row>
    <row r="335">
      <c r="A335" s="45">
        <v>45898.68</v>
      </c>
      <c r="B335" s="7" t="s">
        <v>564</v>
      </c>
      <c r="C335" s="7" t="s">
        <v>2075</v>
      </c>
      <c r="D335" s="74">
        <v>1.0</v>
      </c>
      <c r="E335" s="46"/>
      <c r="F335" s="47">
        <v>27.55</v>
      </c>
      <c r="G335" s="47">
        <v>0.0</v>
      </c>
      <c r="H335" s="7"/>
      <c r="I335" s="47">
        <v>1.1</v>
      </c>
      <c r="J335" s="140">
        <f t="shared" si="1"/>
        <v>26.45</v>
      </c>
      <c r="K335" s="8"/>
      <c r="L335" s="7"/>
      <c r="M335" s="7"/>
      <c r="N335" s="7"/>
      <c r="O335" s="7"/>
      <c r="P335" s="7" t="s">
        <v>490</v>
      </c>
      <c r="Q335" s="7"/>
      <c r="R335" s="7"/>
      <c r="S335" s="7"/>
      <c r="T335" s="7" t="s">
        <v>493</v>
      </c>
      <c r="U335" s="65">
        <v>3519.0</v>
      </c>
      <c r="V335" s="7"/>
      <c r="W335" s="7"/>
    </row>
    <row r="336">
      <c r="A336" s="45">
        <v>45898.679768518516</v>
      </c>
      <c r="B336" s="7" t="s">
        <v>413</v>
      </c>
      <c r="C336" s="7" t="s">
        <v>2075</v>
      </c>
      <c r="D336" s="74">
        <v>1.0</v>
      </c>
      <c r="E336" s="46"/>
      <c r="F336" s="47">
        <v>24.99</v>
      </c>
      <c r="G336" s="47">
        <v>0.0</v>
      </c>
      <c r="H336" s="7"/>
      <c r="I336" s="47">
        <v>1.4</v>
      </c>
      <c r="J336" s="140">
        <f t="shared" si="1"/>
        <v>23.59</v>
      </c>
      <c r="K336" s="8"/>
      <c r="L336" s="7"/>
      <c r="M336" s="7"/>
      <c r="N336" s="7"/>
      <c r="O336" s="7"/>
      <c r="P336" s="7" t="s">
        <v>490</v>
      </c>
      <c r="Q336" s="7" t="s">
        <v>1693</v>
      </c>
      <c r="R336" s="7"/>
      <c r="S336" s="7" t="s">
        <v>1694</v>
      </c>
      <c r="T336" s="7" t="s">
        <v>1420</v>
      </c>
      <c r="U336" s="65">
        <v>3520.0</v>
      </c>
      <c r="V336" s="7"/>
      <c r="W336" s="7"/>
    </row>
    <row r="337">
      <c r="A337" s="45">
        <v>45898.67784722222</v>
      </c>
      <c r="B337" s="7" t="s">
        <v>956</v>
      </c>
      <c r="C337" s="7" t="s">
        <v>2075</v>
      </c>
      <c r="D337" s="74">
        <v>1.0</v>
      </c>
      <c r="E337" s="46"/>
      <c r="F337" s="47">
        <v>24.99</v>
      </c>
      <c r="G337" s="47">
        <v>0.0</v>
      </c>
      <c r="H337" s="7"/>
      <c r="I337" s="47">
        <v>1.02</v>
      </c>
      <c r="J337" s="140">
        <f t="shared" si="1"/>
        <v>23.97</v>
      </c>
      <c r="K337" s="8"/>
      <c r="L337" s="7"/>
      <c r="M337" s="7"/>
      <c r="N337" s="7"/>
      <c r="O337" s="7"/>
      <c r="P337" s="7" t="s">
        <v>490</v>
      </c>
      <c r="Q337" s="7" t="s">
        <v>1691</v>
      </c>
      <c r="R337" s="7"/>
      <c r="S337" s="7" t="s">
        <v>958</v>
      </c>
      <c r="T337" s="7" t="s">
        <v>493</v>
      </c>
      <c r="U337" s="65">
        <v>3517.0</v>
      </c>
      <c r="V337" s="7"/>
      <c r="W337" s="7"/>
    </row>
    <row r="338">
      <c r="A338" s="45">
        <v>45898.67633101852</v>
      </c>
      <c r="B338" s="7" t="s">
        <v>464</v>
      </c>
      <c r="C338" s="7" t="s">
        <v>2075</v>
      </c>
      <c r="D338" s="74">
        <v>1.0</v>
      </c>
      <c r="E338" s="46"/>
      <c r="F338" s="47">
        <v>24.99</v>
      </c>
      <c r="G338" s="47">
        <v>0.0</v>
      </c>
      <c r="H338" s="7"/>
      <c r="I338" s="47">
        <v>1.02</v>
      </c>
      <c r="J338" s="140">
        <f t="shared" si="1"/>
        <v>23.97</v>
      </c>
      <c r="K338" s="8"/>
      <c r="L338" s="7"/>
      <c r="M338" s="7"/>
      <c r="N338" s="7"/>
      <c r="O338" s="7"/>
      <c r="P338" s="7" t="s">
        <v>490</v>
      </c>
      <c r="Q338" s="7" t="s">
        <v>1369</v>
      </c>
      <c r="R338" s="7"/>
      <c r="S338" s="7" t="s">
        <v>1370</v>
      </c>
      <c r="T338" s="7" t="s">
        <v>493</v>
      </c>
      <c r="U338" s="65">
        <v>3516.0</v>
      </c>
      <c r="V338" s="7"/>
      <c r="W338" s="7"/>
    </row>
    <row r="339">
      <c r="A339" s="45">
        <v>45898.67575231481</v>
      </c>
      <c r="B339" s="7" t="s">
        <v>460</v>
      </c>
      <c r="C339" s="7" t="s">
        <v>2075</v>
      </c>
      <c r="D339" s="74">
        <v>1.0</v>
      </c>
      <c r="E339" s="46"/>
      <c r="F339" s="47">
        <v>24.99</v>
      </c>
      <c r="G339" s="47">
        <v>0.0</v>
      </c>
      <c r="H339" s="7"/>
      <c r="I339" s="47">
        <v>1.4</v>
      </c>
      <c r="J339" s="140">
        <f t="shared" si="1"/>
        <v>23.59</v>
      </c>
      <c r="K339" s="8"/>
      <c r="L339" s="7"/>
      <c r="M339" s="7"/>
      <c r="N339" s="7"/>
      <c r="O339" s="7"/>
      <c r="P339" s="7" t="s">
        <v>490</v>
      </c>
      <c r="Q339" s="7" t="s">
        <v>763</v>
      </c>
      <c r="R339" s="7"/>
      <c r="S339" s="7" t="s">
        <v>764</v>
      </c>
      <c r="T339" s="7" t="s">
        <v>542</v>
      </c>
      <c r="U339" s="65">
        <v>3515.0</v>
      </c>
      <c r="V339" s="7"/>
      <c r="W339" s="7"/>
    </row>
    <row r="340">
      <c r="A340" s="45">
        <v>45898.67335648148</v>
      </c>
      <c r="B340" s="7" t="s">
        <v>386</v>
      </c>
      <c r="C340" s="67" t="s">
        <v>2077</v>
      </c>
      <c r="D340" s="74">
        <v>1.0</v>
      </c>
      <c r="E340" s="74">
        <v>1.0</v>
      </c>
      <c r="F340" s="47">
        <v>124.99</v>
      </c>
      <c r="G340" s="47">
        <v>0.0</v>
      </c>
      <c r="H340" s="7"/>
      <c r="I340" s="47">
        <v>3.92</v>
      </c>
      <c r="J340" s="140">
        <f t="shared" si="1"/>
        <v>121.07</v>
      </c>
      <c r="K340" s="8"/>
      <c r="L340" s="7"/>
      <c r="M340" s="7"/>
      <c r="N340" s="7"/>
      <c r="O340" s="7"/>
      <c r="P340" s="7" t="s">
        <v>490</v>
      </c>
      <c r="Q340" s="7" t="s">
        <v>1387</v>
      </c>
      <c r="R340" s="7"/>
      <c r="S340" s="7" t="s">
        <v>1388</v>
      </c>
      <c r="T340" s="7" t="s">
        <v>493</v>
      </c>
      <c r="U340" s="65">
        <v>3514.0</v>
      </c>
      <c r="V340" s="7"/>
      <c r="W340" s="7"/>
    </row>
    <row r="341">
      <c r="A341" s="45">
        <v>45898.6715625</v>
      </c>
      <c r="B341" s="7" t="s">
        <v>395</v>
      </c>
      <c r="C341" s="67" t="s">
        <v>2077</v>
      </c>
      <c r="D341" s="74">
        <v>1.0</v>
      </c>
      <c r="E341" s="74">
        <v>1.0</v>
      </c>
      <c r="F341" s="47">
        <v>124.99</v>
      </c>
      <c r="G341" s="47">
        <v>0.0</v>
      </c>
      <c r="H341" s="7"/>
      <c r="I341" s="47">
        <v>5.8</v>
      </c>
      <c r="J341" s="140">
        <f t="shared" si="1"/>
        <v>119.19</v>
      </c>
      <c r="K341" s="8"/>
      <c r="L341" s="7"/>
      <c r="M341" s="7"/>
      <c r="N341" s="7"/>
      <c r="O341" s="7"/>
      <c r="P341" s="7" t="s">
        <v>490</v>
      </c>
      <c r="Q341" s="7" t="s">
        <v>2068</v>
      </c>
      <c r="R341" s="7" t="s">
        <v>1856</v>
      </c>
      <c r="S341" s="7" t="s">
        <v>2069</v>
      </c>
      <c r="T341" s="7" t="s">
        <v>973</v>
      </c>
      <c r="U341" s="65">
        <v>3513.0</v>
      </c>
      <c r="V341" s="7"/>
      <c r="W341" s="7"/>
    </row>
    <row r="342">
      <c r="A342" s="45">
        <v>45898.67109953704</v>
      </c>
      <c r="B342" s="7" t="s">
        <v>308</v>
      </c>
      <c r="C342" s="67" t="s">
        <v>2195</v>
      </c>
      <c r="D342" s="74">
        <v>4.0</v>
      </c>
      <c r="E342" s="74">
        <v>1.0</v>
      </c>
      <c r="F342" s="47">
        <v>211.78</v>
      </c>
      <c r="G342" s="47">
        <v>0.0</v>
      </c>
      <c r="H342" s="7"/>
      <c r="I342" s="47">
        <v>9.62</v>
      </c>
      <c r="J342" s="140">
        <f t="shared" si="1"/>
        <v>202.16</v>
      </c>
      <c r="K342" s="8"/>
      <c r="L342" s="7"/>
      <c r="M342" s="7"/>
      <c r="N342" s="7"/>
      <c r="O342" s="7"/>
      <c r="P342" s="7" t="s">
        <v>490</v>
      </c>
      <c r="Q342" s="7" t="s">
        <v>1425</v>
      </c>
      <c r="R342" s="7" t="s">
        <v>1426</v>
      </c>
      <c r="S342" s="7" t="s">
        <v>992</v>
      </c>
      <c r="T342" s="7" t="s">
        <v>684</v>
      </c>
      <c r="U342" s="65">
        <v>3512.0</v>
      </c>
      <c r="V342" s="7"/>
      <c r="W342" s="7"/>
    </row>
    <row r="343">
      <c r="A343" s="45">
        <v>45898.67055555555</v>
      </c>
      <c r="B343" s="7" t="s">
        <v>441</v>
      </c>
      <c r="C343" s="7" t="s">
        <v>2075</v>
      </c>
      <c r="D343" s="74">
        <v>1.0</v>
      </c>
      <c r="E343" s="46"/>
      <c r="F343" s="47">
        <v>24.99</v>
      </c>
      <c r="G343" s="47">
        <v>0.0</v>
      </c>
      <c r="H343" s="7"/>
      <c r="I343" s="47">
        <v>1.02</v>
      </c>
      <c r="J343" s="140">
        <f t="shared" si="1"/>
        <v>23.97</v>
      </c>
      <c r="K343" s="8"/>
      <c r="L343" s="7"/>
      <c r="M343" s="7"/>
      <c r="N343" s="7"/>
      <c r="O343" s="7"/>
      <c r="P343" s="7" t="s">
        <v>490</v>
      </c>
      <c r="Q343" s="7" t="s">
        <v>1410</v>
      </c>
      <c r="R343" s="7"/>
      <c r="S343" s="7" t="s">
        <v>1411</v>
      </c>
      <c r="T343" s="7" t="s">
        <v>493</v>
      </c>
      <c r="U343" s="65">
        <v>3511.0</v>
      </c>
      <c r="V343" s="7"/>
      <c r="W343" s="7"/>
    </row>
    <row r="344">
      <c r="A344" s="45">
        <v>45898.670127314814</v>
      </c>
      <c r="B344" s="7" t="s">
        <v>463</v>
      </c>
      <c r="C344" s="7" t="s">
        <v>2075</v>
      </c>
      <c r="D344" s="74">
        <v>1.0</v>
      </c>
      <c r="E344" s="46"/>
      <c r="F344" s="47">
        <v>24.99</v>
      </c>
      <c r="G344" s="47">
        <v>0.0</v>
      </c>
      <c r="H344" s="7"/>
      <c r="I344" s="47">
        <v>1.02</v>
      </c>
      <c r="J344" s="140">
        <f t="shared" si="1"/>
        <v>23.97</v>
      </c>
      <c r="K344" s="8"/>
      <c r="L344" s="7"/>
      <c r="M344" s="7"/>
      <c r="N344" s="7"/>
      <c r="O344" s="7"/>
      <c r="P344" s="7" t="s">
        <v>490</v>
      </c>
      <c r="Q344" s="7" t="s">
        <v>1301</v>
      </c>
      <c r="R344" s="7"/>
      <c r="S344" s="7" t="s">
        <v>1302</v>
      </c>
      <c r="T344" s="7" t="s">
        <v>493</v>
      </c>
      <c r="U344" s="65">
        <v>3510.0</v>
      </c>
      <c r="V344" s="7"/>
      <c r="W344" s="7"/>
    </row>
    <row r="345">
      <c r="A345" s="45">
        <v>45898.66983796296</v>
      </c>
      <c r="B345" s="7" t="s">
        <v>1678</v>
      </c>
      <c r="C345" s="67" t="s">
        <v>2077</v>
      </c>
      <c r="D345" s="74">
        <v>1.0</v>
      </c>
      <c r="E345" s="74">
        <v>1.0</v>
      </c>
      <c r="F345" s="47">
        <v>124.99</v>
      </c>
      <c r="G345" s="47">
        <v>0.0</v>
      </c>
      <c r="H345" s="7"/>
      <c r="I345" s="47">
        <v>3.92</v>
      </c>
      <c r="J345" s="140">
        <f t="shared" si="1"/>
        <v>121.07</v>
      </c>
      <c r="K345" s="8"/>
      <c r="L345" s="7"/>
      <c r="M345" s="7"/>
      <c r="N345" s="7"/>
      <c r="O345" s="7"/>
      <c r="P345" s="7" t="s">
        <v>490</v>
      </c>
      <c r="Q345" s="7" t="s">
        <v>655</v>
      </c>
      <c r="R345" s="7"/>
      <c r="S345" s="7" t="s">
        <v>656</v>
      </c>
      <c r="T345" s="7" t="s">
        <v>493</v>
      </c>
      <c r="U345" s="65">
        <v>3509.0</v>
      </c>
      <c r="V345" s="7"/>
      <c r="W345" s="7"/>
    </row>
    <row r="346">
      <c r="A346" s="45">
        <v>45898.66824074074</v>
      </c>
      <c r="B346" s="7" t="s">
        <v>447</v>
      </c>
      <c r="C346" s="7" t="s">
        <v>2075</v>
      </c>
      <c r="D346" s="74">
        <v>1.0</v>
      </c>
      <c r="E346" s="46"/>
      <c r="F346" s="47">
        <v>24.99</v>
      </c>
      <c r="G346" s="47">
        <v>0.0</v>
      </c>
      <c r="H346" s="7"/>
      <c r="I346" s="47">
        <v>1.02</v>
      </c>
      <c r="J346" s="140">
        <f t="shared" si="1"/>
        <v>23.97</v>
      </c>
      <c r="K346" s="8"/>
      <c r="L346" s="7"/>
      <c r="M346" s="7"/>
      <c r="N346" s="7"/>
      <c r="O346" s="7"/>
      <c r="P346" s="7" t="s">
        <v>490</v>
      </c>
      <c r="Q346" s="7" t="s">
        <v>1452</v>
      </c>
      <c r="R346" s="7"/>
      <c r="S346" s="7" t="s">
        <v>575</v>
      </c>
      <c r="T346" s="7" t="s">
        <v>493</v>
      </c>
      <c r="U346" s="65">
        <v>3508.0</v>
      </c>
      <c r="V346" s="7"/>
      <c r="W346" s="7"/>
    </row>
    <row r="347">
      <c r="A347" s="45">
        <v>45898.66755787037</v>
      </c>
      <c r="B347" s="7" t="s">
        <v>398</v>
      </c>
      <c r="C347" s="67" t="s">
        <v>2077</v>
      </c>
      <c r="D347" s="74">
        <v>1.0</v>
      </c>
      <c r="E347" s="74">
        <v>1.0</v>
      </c>
      <c r="F347" s="47">
        <v>124.99</v>
      </c>
      <c r="G347" s="47">
        <v>0.0</v>
      </c>
      <c r="H347" s="7"/>
      <c r="I347" s="47">
        <v>3.92</v>
      </c>
      <c r="J347" s="140">
        <f t="shared" si="1"/>
        <v>121.07</v>
      </c>
      <c r="K347" s="8"/>
      <c r="L347" s="7"/>
      <c r="M347" s="7"/>
      <c r="N347" s="7"/>
      <c r="O347" s="7"/>
      <c r="P347" s="7" t="s">
        <v>490</v>
      </c>
      <c r="Q347" s="7" t="s">
        <v>2063</v>
      </c>
      <c r="R347" s="7"/>
      <c r="S347" s="7" t="s">
        <v>1139</v>
      </c>
      <c r="T347" s="7" t="s">
        <v>493</v>
      </c>
      <c r="U347" s="65">
        <v>3507.0</v>
      </c>
      <c r="V347" s="7"/>
      <c r="W347" s="7"/>
    </row>
    <row r="348">
      <c r="A348" s="3" t="s">
        <v>1464</v>
      </c>
      <c r="B348" s="1"/>
      <c r="C348" s="1"/>
      <c r="D348" s="114">
        <f t="shared" ref="D348:G348" si="2">SUM(D2:D347)</f>
        <v>355</v>
      </c>
      <c r="E348" s="114">
        <f t="shared" si="2"/>
        <v>64</v>
      </c>
      <c r="F348" s="115">
        <f t="shared" si="2"/>
        <v>16109.32</v>
      </c>
      <c r="G348" s="115">
        <f t="shared" si="2"/>
        <v>0</v>
      </c>
      <c r="H348" s="1"/>
      <c r="I348" s="115">
        <f t="shared" ref="I348:K348" si="3">SUM(I2:I347)</f>
        <v>717.95</v>
      </c>
      <c r="J348" s="115">
        <f t="shared" si="3"/>
        <v>15391.37</v>
      </c>
      <c r="K348" s="115">
        <f t="shared" si="3"/>
        <v>149.98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116"/>
      <c r="E349" s="116"/>
      <c r="F349" s="8"/>
      <c r="G349" s="8"/>
      <c r="H349" s="7"/>
      <c r="I349" s="8"/>
      <c r="J349" s="8"/>
      <c r="K349" s="8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81" t="s">
        <v>467</v>
      </c>
      <c r="B350" s="82"/>
      <c r="C350" s="7"/>
      <c r="D350" s="116"/>
      <c r="E350" s="116"/>
      <c r="F350" s="8"/>
      <c r="G350" s="8"/>
      <c r="H350" s="7"/>
      <c r="I350" s="8"/>
      <c r="J350" s="8"/>
      <c r="K350" s="8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83" t="s">
        <v>2196</v>
      </c>
      <c r="B351" s="84">
        <v>355.0</v>
      </c>
      <c r="C351" s="7"/>
      <c r="D351" s="116"/>
      <c r="E351" s="116"/>
      <c r="F351" s="8"/>
      <c r="G351" s="8"/>
      <c r="H351" s="7"/>
      <c r="I351" s="8"/>
      <c r="J351" s="8"/>
      <c r="K351" s="8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31" t="s">
        <v>68</v>
      </c>
      <c r="B352" s="6">
        <v>24.99</v>
      </c>
      <c r="C352" s="7"/>
      <c r="D352" s="116"/>
      <c r="E352" s="116"/>
      <c r="F352" s="8"/>
      <c r="G352" s="8"/>
      <c r="H352" s="7"/>
      <c r="I352" s="8"/>
      <c r="J352" s="8"/>
      <c r="K352" s="8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93" t="s">
        <v>1466</v>
      </c>
      <c r="B353" s="5">
        <f>B351*B352</f>
        <v>8871.45</v>
      </c>
      <c r="C353" s="7"/>
      <c r="D353" s="116"/>
      <c r="E353" s="116"/>
      <c r="F353" s="8"/>
      <c r="G353" s="8"/>
      <c r="H353" s="7"/>
      <c r="I353" s="8"/>
      <c r="J353" s="8"/>
      <c r="K353" s="8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31" t="s">
        <v>470</v>
      </c>
      <c r="B354" s="85">
        <v>6400.0</v>
      </c>
      <c r="C354" s="7"/>
      <c r="D354" s="116"/>
      <c r="E354" s="116"/>
      <c r="F354" s="8"/>
      <c r="G354" s="8"/>
      <c r="H354" s="7"/>
      <c r="I354" s="8"/>
      <c r="J354" s="8"/>
      <c r="K354" s="8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87" t="s">
        <v>11</v>
      </c>
      <c r="B355" s="88">
        <f>SUM(B353:B354)</f>
        <v>15271.45</v>
      </c>
      <c r="C355" s="7"/>
      <c r="D355" s="116"/>
      <c r="E355" s="116"/>
      <c r="F355" s="8"/>
      <c r="G355" s="8"/>
      <c r="H355" s="7"/>
      <c r="I355" s="8"/>
      <c r="J355" s="8"/>
      <c r="K355" s="8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83" t="s">
        <v>471</v>
      </c>
      <c r="B356" s="89">
        <v>16109.32</v>
      </c>
      <c r="C356" s="7"/>
      <c r="D356" s="116"/>
      <c r="E356" s="116"/>
      <c r="F356" s="8"/>
      <c r="G356" s="8"/>
      <c r="H356" s="7"/>
      <c r="I356" s="8"/>
      <c r="J356" s="8"/>
      <c r="K356" s="8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4" t="s">
        <v>472</v>
      </c>
      <c r="B357" s="5">
        <f>B356-B355</f>
        <v>837.87</v>
      </c>
      <c r="C357" s="7"/>
      <c r="D357" s="116"/>
      <c r="E357" s="116"/>
      <c r="F357" s="8"/>
      <c r="G357" s="8"/>
      <c r="H357" s="7"/>
      <c r="I357" s="8"/>
      <c r="J357" s="8"/>
      <c r="K357" s="8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90" t="s">
        <v>473</v>
      </c>
      <c r="B358" s="91">
        <v>717.95</v>
      </c>
      <c r="C358" s="7"/>
      <c r="D358" s="116"/>
      <c r="E358" s="116"/>
      <c r="F358" s="8"/>
      <c r="G358" s="8"/>
      <c r="H358" s="7"/>
      <c r="I358" s="8"/>
      <c r="J358" s="8"/>
      <c r="K358" s="8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116"/>
      <c r="E359" s="116"/>
      <c r="F359" s="8"/>
      <c r="G359" s="8"/>
      <c r="H359" s="7"/>
      <c r="I359" s="8"/>
      <c r="J359" s="8"/>
      <c r="K359" s="8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64" t="s">
        <v>2197</v>
      </c>
      <c r="B360" s="7"/>
      <c r="C360" s="7"/>
      <c r="D360" s="116"/>
      <c r="E360" s="116"/>
      <c r="F360" s="8"/>
      <c r="G360" s="8"/>
      <c r="H360" s="7"/>
      <c r="I360" s="8"/>
      <c r="J360" s="8"/>
      <c r="K360" s="8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94" t="s">
        <v>476</v>
      </c>
      <c r="B361" s="31"/>
      <c r="C361" s="7"/>
      <c r="D361" s="116"/>
      <c r="E361" s="116"/>
      <c r="F361" s="8"/>
      <c r="G361" s="8"/>
      <c r="H361" s="7"/>
      <c r="I361" s="8"/>
      <c r="J361" s="8"/>
      <c r="K361" s="8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83" t="s">
        <v>477</v>
      </c>
      <c r="B362" s="95">
        <v>20.64</v>
      </c>
      <c r="C362" s="7"/>
      <c r="D362" s="116"/>
      <c r="E362" s="116"/>
      <c r="F362" s="8"/>
      <c r="G362" s="8"/>
      <c r="H362" s="7"/>
      <c r="I362" s="8"/>
      <c r="J362" s="8"/>
      <c r="K362" s="8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83" t="s">
        <v>478</v>
      </c>
      <c r="B363" s="95">
        <v>96.74</v>
      </c>
      <c r="C363" s="7"/>
      <c r="D363" s="116"/>
      <c r="E363" s="116"/>
      <c r="F363" s="8"/>
      <c r="G363" s="8"/>
      <c r="H363" s="7"/>
      <c r="I363" s="8"/>
      <c r="J363" s="8"/>
      <c r="K363" s="8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96" t="s">
        <v>479</v>
      </c>
      <c r="B364" s="97">
        <f>SUM(B362:B363)</f>
        <v>117.38</v>
      </c>
      <c r="C364" s="7"/>
      <c r="D364" s="116"/>
      <c r="E364" s="116"/>
      <c r="F364" s="8"/>
      <c r="G364" s="8"/>
      <c r="H364" s="7"/>
      <c r="I364" s="8"/>
      <c r="J364" s="8"/>
      <c r="K364" s="8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116"/>
      <c r="E365" s="116"/>
      <c r="F365" s="8"/>
      <c r="G365" s="8"/>
      <c r="H365" s="7"/>
      <c r="I365" s="8"/>
      <c r="J365" s="8"/>
      <c r="K365" s="8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116"/>
      <c r="E366" s="116"/>
      <c r="F366" s="8"/>
      <c r="G366" s="8"/>
      <c r="H366" s="7"/>
      <c r="I366" s="8"/>
      <c r="J366" s="8"/>
      <c r="K366" s="8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B367" s="7"/>
      <c r="C367" s="7"/>
      <c r="D367" s="116"/>
      <c r="E367" s="116"/>
      <c r="F367" s="8"/>
      <c r="G367" s="8"/>
      <c r="H367" s="7"/>
      <c r="I367" s="8"/>
      <c r="J367" s="8"/>
      <c r="K367" s="8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141" t="s">
        <v>20</v>
      </c>
      <c r="B368" s="142"/>
      <c r="C368" s="7"/>
      <c r="D368" s="116"/>
      <c r="E368" s="116"/>
      <c r="F368" s="8"/>
      <c r="G368" s="8"/>
      <c r="H368" s="7"/>
      <c r="I368" s="8"/>
      <c r="J368" s="8"/>
      <c r="K368" s="8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121" t="s">
        <v>480</v>
      </c>
      <c r="B369" s="122">
        <v>24.99</v>
      </c>
      <c r="C369" s="7"/>
      <c r="D369" s="116"/>
      <c r="E369" s="116"/>
      <c r="F369" s="8"/>
      <c r="G369" s="8"/>
      <c r="H369" s="7"/>
      <c r="I369" s="8"/>
      <c r="J369" s="8"/>
      <c r="K369" s="8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121" t="s">
        <v>8</v>
      </c>
      <c r="B370" s="123">
        <v>4.5</v>
      </c>
      <c r="C370" s="7"/>
      <c r="D370" s="116"/>
      <c r="E370" s="116"/>
      <c r="F370" s="8"/>
      <c r="G370" s="8"/>
      <c r="H370" s="7"/>
      <c r="I370" s="8"/>
      <c r="J370" s="8"/>
      <c r="K370" s="8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121" t="s">
        <v>13</v>
      </c>
      <c r="B371" s="126">
        <f>2*0.127</f>
        <v>0.254</v>
      </c>
      <c r="C371" s="7"/>
      <c r="D371" s="116"/>
      <c r="E371" s="116"/>
      <c r="F371" s="8"/>
      <c r="G371" s="8"/>
      <c r="H371" s="7"/>
      <c r="I371" s="8"/>
      <c r="J371" s="8"/>
      <c r="K371" s="8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121" t="s">
        <v>9</v>
      </c>
      <c r="B372" s="124">
        <f>B369-(B370+B371)</f>
        <v>20.236</v>
      </c>
      <c r="C372" s="7"/>
      <c r="D372" s="116"/>
      <c r="E372" s="116"/>
      <c r="F372" s="8"/>
      <c r="G372" s="8"/>
      <c r="H372" s="7"/>
      <c r="I372" s="8"/>
      <c r="J372" s="8"/>
      <c r="K372" s="8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125"/>
      <c r="B373" s="126"/>
      <c r="C373" s="7"/>
      <c r="D373" s="116"/>
      <c r="E373" s="116"/>
      <c r="F373" s="8"/>
      <c r="G373" s="8"/>
      <c r="H373" s="7"/>
      <c r="I373" s="8"/>
      <c r="J373" s="8"/>
      <c r="K373" s="8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121" t="s">
        <v>10</v>
      </c>
      <c r="B374" s="127">
        <v>355.0</v>
      </c>
      <c r="C374" s="7"/>
      <c r="D374" s="116"/>
      <c r="E374" s="116"/>
      <c r="F374" s="8"/>
      <c r="G374" s="8"/>
      <c r="H374" s="7"/>
      <c r="I374" s="8"/>
      <c r="J374" s="8"/>
      <c r="K374" s="8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121" t="s">
        <v>481</v>
      </c>
      <c r="B375" s="126">
        <f>B369*B374</f>
        <v>8871.45</v>
      </c>
      <c r="C375" s="7"/>
      <c r="D375" s="116"/>
      <c r="E375" s="116"/>
      <c r="F375" s="8"/>
      <c r="G375" s="8"/>
      <c r="H375" s="7"/>
      <c r="I375" s="8"/>
      <c r="J375" s="8"/>
      <c r="K375" s="8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121" t="s">
        <v>12</v>
      </c>
      <c r="B376" s="123">
        <v>4235.5</v>
      </c>
      <c r="C376" s="7"/>
      <c r="D376" s="116"/>
      <c r="E376" s="116"/>
      <c r="F376" s="8"/>
      <c r="G376" s="8"/>
      <c r="H376" s="7"/>
      <c r="I376" s="8"/>
      <c r="J376" s="8"/>
      <c r="K376" s="8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138"/>
      <c r="B377" s="129">
        <f>B375-B376</f>
        <v>4635.95</v>
      </c>
      <c r="C377" s="7"/>
      <c r="D377" s="116"/>
      <c r="E377" s="116"/>
      <c r="F377" s="8"/>
      <c r="G377" s="8"/>
      <c r="H377" s="7"/>
      <c r="I377" s="8"/>
      <c r="J377" s="8"/>
      <c r="K377" s="8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130"/>
      <c r="B378" s="130"/>
      <c r="C378" s="7"/>
      <c r="D378" s="116"/>
      <c r="E378" s="116"/>
      <c r="F378" s="8"/>
      <c r="G378" s="8"/>
      <c r="H378" s="7"/>
      <c r="I378" s="8"/>
      <c r="J378" s="8"/>
      <c r="K378" s="8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121" t="s">
        <v>16</v>
      </c>
      <c r="B379" s="123">
        <f>70</f>
        <v>70</v>
      </c>
      <c r="C379" s="7"/>
      <c r="D379" s="116"/>
      <c r="E379" s="116"/>
      <c r="F379" s="8"/>
      <c r="G379" s="8"/>
      <c r="H379" s="7"/>
      <c r="I379" s="8"/>
      <c r="J379" s="8"/>
      <c r="K379" s="8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121" t="s">
        <v>10</v>
      </c>
      <c r="B380" s="127">
        <v>64.0</v>
      </c>
      <c r="C380" s="7"/>
      <c r="D380" s="116"/>
      <c r="E380" s="116"/>
      <c r="F380" s="8"/>
      <c r="G380" s="8"/>
      <c r="H380" s="7"/>
      <c r="I380" s="8"/>
      <c r="J380" s="8"/>
      <c r="K380" s="8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121" t="s">
        <v>17</v>
      </c>
      <c r="B381" s="126">
        <f>B379*B380</f>
        <v>4480</v>
      </c>
      <c r="C381" s="7"/>
      <c r="D381" s="116"/>
      <c r="E381" s="116"/>
      <c r="F381" s="8"/>
      <c r="G381" s="8"/>
      <c r="H381" s="7"/>
      <c r="I381" s="8"/>
      <c r="J381" s="8"/>
      <c r="K381" s="8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121"/>
      <c r="B382" s="123"/>
      <c r="C382" s="7"/>
      <c r="D382" s="116"/>
      <c r="E382" s="116"/>
      <c r="F382" s="8"/>
      <c r="G382" s="8"/>
      <c r="H382" s="7"/>
      <c r="I382" s="8"/>
      <c r="J382" s="8"/>
      <c r="K382" s="8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131" t="s">
        <v>18</v>
      </c>
      <c r="B383" s="124">
        <f>B377+B375</f>
        <v>13507.4</v>
      </c>
      <c r="C383" s="7"/>
      <c r="D383" s="116"/>
      <c r="E383" s="116"/>
      <c r="F383" s="8"/>
      <c r="G383" s="8"/>
      <c r="H383" s="7"/>
      <c r="I383" s="8"/>
      <c r="J383" s="8"/>
      <c r="K383" s="8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130"/>
      <c r="B384" s="130"/>
      <c r="C384" s="7"/>
      <c r="D384" s="116"/>
      <c r="E384" s="116"/>
      <c r="F384" s="8"/>
      <c r="G384" s="8"/>
      <c r="H384" s="7"/>
      <c r="I384" s="8"/>
      <c r="J384" s="8"/>
      <c r="K384" s="8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121" t="s">
        <v>19</v>
      </c>
      <c r="B385" s="132">
        <v>717.95</v>
      </c>
      <c r="C385" s="7"/>
      <c r="D385" s="116"/>
      <c r="E385" s="116"/>
      <c r="F385" s="8"/>
      <c r="G385" s="8"/>
      <c r="H385" s="7"/>
      <c r="I385" s="8"/>
      <c r="J385" s="8"/>
      <c r="K385" s="8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133" t="s">
        <v>1472</v>
      </c>
      <c r="B386" s="134">
        <v>135.73</v>
      </c>
      <c r="C386" s="7"/>
      <c r="D386" s="116"/>
      <c r="E386" s="116"/>
      <c r="F386" s="8"/>
      <c r="G386" s="8"/>
      <c r="H386" s="7"/>
      <c r="I386" s="8"/>
      <c r="J386" s="8"/>
      <c r="K386" s="8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131" t="s">
        <v>20</v>
      </c>
      <c r="B387" s="124">
        <f>B383-B385-B386</f>
        <v>12653.72</v>
      </c>
      <c r="C387" s="7"/>
      <c r="D387" s="116"/>
      <c r="E387" s="116"/>
      <c r="F387" s="8"/>
      <c r="G387" s="8"/>
      <c r="H387" s="7"/>
      <c r="I387" s="8"/>
      <c r="J387" s="8"/>
      <c r="K387" s="8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116"/>
      <c r="E388" s="116"/>
      <c r="F388" s="8"/>
      <c r="G388" s="8"/>
      <c r="H388" s="7"/>
      <c r="I388" s="8"/>
      <c r="J388" s="8"/>
      <c r="K388" s="8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116"/>
      <c r="E389" s="116"/>
      <c r="F389" s="8"/>
      <c r="G389" s="8"/>
      <c r="H389" s="7"/>
      <c r="I389" s="8"/>
      <c r="J389" s="8"/>
      <c r="K389" s="8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116"/>
      <c r="E390" s="116"/>
      <c r="F390" s="8"/>
      <c r="G390" s="8"/>
      <c r="H390" s="7"/>
      <c r="I390" s="8"/>
      <c r="J390" s="8"/>
      <c r="K390" s="8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116"/>
      <c r="E391" s="116"/>
      <c r="F391" s="8"/>
      <c r="G391" s="8"/>
      <c r="H391" s="7"/>
      <c r="I391" s="8"/>
      <c r="J391" s="8"/>
      <c r="K391" s="8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116"/>
      <c r="E392" s="116"/>
      <c r="F392" s="8"/>
      <c r="G392" s="8"/>
      <c r="H392" s="7"/>
      <c r="I392" s="8"/>
      <c r="J392" s="8"/>
      <c r="K392" s="8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116"/>
      <c r="E393" s="116"/>
      <c r="F393" s="8"/>
      <c r="G393" s="8"/>
      <c r="H393" s="7"/>
      <c r="I393" s="8"/>
      <c r="J393" s="8"/>
      <c r="K393" s="8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116"/>
      <c r="E394" s="116"/>
      <c r="F394" s="8"/>
      <c r="G394" s="8"/>
      <c r="H394" s="7"/>
      <c r="I394" s="8"/>
      <c r="J394" s="8"/>
      <c r="K394" s="8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116"/>
      <c r="E395" s="116"/>
      <c r="F395" s="8"/>
      <c r="G395" s="8"/>
      <c r="H395" s="7"/>
      <c r="I395" s="8"/>
      <c r="J395" s="8"/>
      <c r="K395" s="8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116"/>
      <c r="E396" s="116"/>
      <c r="F396" s="8"/>
      <c r="G396" s="8"/>
      <c r="H396" s="7"/>
      <c r="I396" s="8"/>
      <c r="J396" s="8"/>
      <c r="K396" s="8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116"/>
      <c r="E397" s="116"/>
      <c r="F397" s="8"/>
      <c r="G397" s="8"/>
      <c r="H397" s="7"/>
      <c r="I397" s="8"/>
      <c r="J397" s="8"/>
      <c r="K397" s="8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116"/>
      <c r="E398" s="116"/>
      <c r="F398" s="8"/>
      <c r="G398" s="8"/>
      <c r="H398" s="7"/>
      <c r="I398" s="8"/>
      <c r="J398" s="8"/>
      <c r="K398" s="8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116"/>
      <c r="E399" s="116"/>
      <c r="F399" s="8"/>
      <c r="G399" s="8"/>
      <c r="H399" s="7"/>
      <c r="I399" s="8"/>
      <c r="J399" s="8"/>
      <c r="K399" s="8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116"/>
      <c r="E400" s="116"/>
      <c r="F400" s="8"/>
      <c r="G400" s="8"/>
      <c r="H400" s="7"/>
      <c r="I400" s="8"/>
      <c r="J400" s="8"/>
      <c r="K400" s="8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116"/>
      <c r="E401" s="116"/>
      <c r="F401" s="8"/>
      <c r="G401" s="8"/>
      <c r="H401" s="7"/>
      <c r="I401" s="8"/>
      <c r="J401" s="8"/>
      <c r="K401" s="8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116"/>
      <c r="E402" s="116"/>
      <c r="F402" s="8"/>
      <c r="G402" s="8"/>
      <c r="H402" s="7"/>
      <c r="I402" s="8"/>
      <c r="J402" s="8"/>
      <c r="K402" s="8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116"/>
      <c r="E403" s="116"/>
      <c r="F403" s="8"/>
      <c r="G403" s="8"/>
      <c r="H403" s="7"/>
      <c r="I403" s="8"/>
      <c r="J403" s="8"/>
      <c r="K403" s="8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116"/>
      <c r="E404" s="116"/>
      <c r="F404" s="8"/>
      <c r="G404" s="8"/>
      <c r="H404" s="7"/>
      <c r="I404" s="8"/>
      <c r="J404" s="8"/>
      <c r="K404" s="8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116"/>
      <c r="E405" s="116"/>
      <c r="F405" s="8"/>
      <c r="G405" s="8"/>
      <c r="H405" s="7"/>
      <c r="I405" s="8"/>
      <c r="J405" s="8"/>
      <c r="K405" s="8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116"/>
      <c r="E406" s="116"/>
      <c r="F406" s="8"/>
      <c r="G406" s="8"/>
      <c r="H406" s="7"/>
      <c r="I406" s="8"/>
      <c r="J406" s="8"/>
      <c r="K406" s="8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116"/>
      <c r="E407" s="116"/>
      <c r="F407" s="8"/>
      <c r="G407" s="8"/>
      <c r="H407" s="7"/>
      <c r="I407" s="8"/>
      <c r="J407" s="8"/>
      <c r="K407" s="8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116"/>
      <c r="E408" s="116"/>
      <c r="F408" s="8"/>
      <c r="G408" s="8"/>
      <c r="H408" s="7"/>
      <c r="I408" s="8"/>
      <c r="J408" s="8"/>
      <c r="K408" s="8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116"/>
      <c r="E409" s="116"/>
      <c r="F409" s="8"/>
      <c r="G409" s="8"/>
      <c r="H409" s="7"/>
      <c r="I409" s="8"/>
      <c r="J409" s="8"/>
      <c r="K409" s="8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116"/>
      <c r="E410" s="116"/>
      <c r="F410" s="8"/>
      <c r="G410" s="8"/>
      <c r="H410" s="7"/>
      <c r="I410" s="8"/>
      <c r="J410" s="8"/>
      <c r="K410" s="8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116"/>
      <c r="E411" s="116"/>
      <c r="F411" s="8"/>
      <c r="G411" s="8"/>
      <c r="H411" s="7"/>
      <c r="I411" s="8"/>
      <c r="J411" s="8"/>
      <c r="K411" s="8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116"/>
      <c r="E412" s="116"/>
      <c r="F412" s="8"/>
      <c r="G412" s="8"/>
      <c r="H412" s="7"/>
      <c r="I412" s="8"/>
      <c r="J412" s="8"/>
      <c r="K412" s="8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116"/>
      <c r="E413" s="116"/>
      <c r="F413" s="8"/>
      <c r="G413" s="8"/>
      <c r="H413" s="7"/>
      <c r="I413" s="8"/>
      <c r="J413" s="8"/>
      <c r="K413" s="8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116"/>
      <c r="E414" s="116"/>
      <c r="F414" s="8"/>
      <c r="G414" s="8"/>
      <c r="H414" s="7"/>
      <c r="I414" s="8"/>
      <c r="J414" s="8"/>
      <c r="K414" s="8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116"/>
      <c r="E415" s="116"/>
      <c r="F415" s="8"/>
      <c r="G415" s="8"/>
      <c r="H415" s="7"/>
      <c r="I415" s="8"/>
      <c r="J415" s="8"/>
      <c r="K415" s="8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116"/>
      <c r="E416" s="116"/>
      <c r="F416" s="8"/>
      <c r="G416" s="8"/>
      <c r="H416" s="7"/>
      <c r="I416" s="8"/>
      <c r="J416" s="8"/>
      <c r="K416" s="8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116"/>
      <c r="E417" s="116"/>
      <c r="F417" s="8"/>
      <c r="G417" s="8"/>
      <c r="H417" s="7"/>
      <c r="I417" s="8"/>
      <c r="J417" s="8"/>
      <c r="K417" s="8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116"/>
      <c r="E418" s="116"/>
      <c r="F418" s="8"/>
      <c r="G418" s="8"/>
      <c r="H418" s="7"/>
      <c r="I418" s="8"/>
      <c r="J418" s="8"/>
      <c r="K418" s="8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116"/>
      <c r="E419" s="116"/>
      <c r="F419" s="8"/>
      <c r="G419" s="8"/>
      <c r="H419" s="7"/>
      <c r="I419" s="8"/>
      <c r="J419" s="8"/>
      <c r="K419" s="8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116"/>
      <c r="E420" s="116"/>
      <c r="F420" s="8"/>
      <c r="G420" s="8"/>
      <c r="H420" s="7"/>
      <c r="I420" s="8"/>
      <c r="J420" s="8"/>
      <c r="K420" s="8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116"/>
      <c r="E421" s="116"/>
      <c r="F421" s="8"/>
      <c r="G421" s="8"/>
      <c r="H421" s="7"/>
      <c r="I421" s="8"/>
      <c r="J421" s="8"/>
      <c r="K421" s="8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116"/>
      <c r="E422" s="116"/>
      <c r="F422" s="8"/>
      <c r="G422" s="8"/>
      <c r="H422" s="7"/>
      <c r="I422" s="8"/>
      <c r="J422" s="8"/>
      <c r="K422" s="8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116"/>
      <c r="E423" s="116"/>
      <c r="F423" s="8"/>
      <c r="G423" s="8"/>
      <c r="H423" s="7"/>
      <c r="I423" s="8"/>
      <c r="J423" s="8"/>
      <c r="K423" s="8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116"/>
      <c r="E424" s="116"/>
      <c r="F424" s="8"/>
      <c r="G424" s="8"/>
      <c r="H424" s="7"/>
      <c r="I424" s="8"/>
      <c r="J424" s="8"/>
      <c r="K424" s="8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116"/>
      <c r="E425" s="116"/>
      <c r="F425" s="8"/>
      <c r="G425" s="8"/>
      <c r="H425" s="7"/>
      <c r="I425" s="8"/>
      <c r="J425" s="8"/>
      <c r="K425" s="8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116"/>
      <c r="E426" s="116"/>
      <c r="F426" s="8"/>
      <c r="G426" s="8"/>
      <c r="H426" s="7"/>
      <c r="I426" s="8"/>
      <c r="J426" s="8"/>
      <c r="K426" s="8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116"/>
      <c r="E427" s="116"/>
      <c r="F427" s="8"/>
      <c r="G427" s="8"/>
      <c r="H427" s="7"/>
      <c r="I427" s="8"/>
      <c r="J427" s="8"/>
      <c r="K427" s="8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116"/>
      <c r="E428" s="116"/>
      <c r="F428" s="8"/>
      <c r="G428" s="8"/>
      <c r="H428" s="7"/>
      <c r="I428" s="8"/>
      <c r="J428" s="8"/>
      <c r="K428" s="8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116"/>
      <c r="E429" s="116"/>
      <c r="F429" s="8"/>
      <c r="G429" s="8"/>
      <c r="H429" s="7"/>
      <c r="I429" s="8"/>
      <c r="J429" s="8"/>
      <c r="K429" s="8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116"/>
      <c r="E430" s="116"/>
      <c r="F430" s="8"/>
      <c r="G430" s="8"/>
      <c r="H430" s="7"/>
      <c r="I430" s="8"/>
      <c r="J430" s="8"/>
      <c r="K430" s="8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116"/>
      <c r="E431" s="116"/>
      <c r="F431" s="8"/>
      <c r="G431" s="8"/>
      <c r="H431" s="7"/>
      <c r="I431" s="8"/>
      <c r="J431" s="8"/>
      <c r="K431" s="8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116"/>
      <c r="E432" s="116"/>
      <c r="F432" s="8"/>
      <c r="G432" s="8"/>
      <c r="H432" s="7"/>
      <c r="I432" s="8"/>
      <c r="J432" s="8"/>
      <c r="K432" s="8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116"/>
      <c r="E433" s="116"/>
      <c r="F433" s="8"/>
      <c r="G433" s="8"/>
      <c r="H433" s="7"/>
      <c r="I433" s="8"/>
      <c r="J433" s="8"/>
      <c r="K433" s="8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116"/>
      <c r="E434" s="116"/>
      <c r="F434" s="8"/>
      <c r="G434" s="8"/>
      <c r="H434" s="7"/>
      <c r="I434" s="8"/>
      <c r="J434" s="8"/>
      <c r="K434" s="8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116"/>
      <c r="E435" s="116"/>
      <c r="F435" s="8"/>
      <c r="G435" s="8"/>
      <c r="H435" s="7"/>
      <c r="I435" s="8"/>
      <c r="J435" s="8"/>
      <c r="K435" s="8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116"/>
      <c r="E436" s="116"/>
      <c r="F436" s="8"/>
      <c r="G436" s="8"/>
      <c r="H436" s="7"/>
      <c r="I436" s="8"/>
      <c r="J436" s="8"/>
      <c r="K436" s="8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116"/>
      <c r="E437" s="116"/>
      <c r="F437" s="8"/>
      <c r="G437" s="8"/>
      <c r="H437" s="7"/>
      <c r="I437" s="8"/>
      <c r="J437" s="8"/>
      <c r="K437" s="8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116"/>
      <c r="E438" s="116"/>
      <c r="F438" s="8"/>
      <c r="G438" s="8"/>
      <c r="H438" s="7"/>
      <c r="I438" s="8"/>
      <c r="J438" s="8"/>
      <c r="K438" s="8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116"/>
      <c r="E439" s="116"/>
      <c r="F439" s="8"/>
      <c r="G439" s="8"/>
      <c r="H439" s="7"/>
      <c r="I439" s="8"/>
      <c r="J439" s="8"/>
      <c r="K439" s="8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116"/>
      <c r="E440" s="116"/>
      <c r="F440" s="8"/>
      <c r="G440" s="8"/>
      <c r="H440" s="7"/>
      <c r="I440" s="8"/>
      <c r="J440" s="8"/>
      <c r="K440" s="8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116"/>
      <c r="E441" s="116"/>
      <c r="F441" s="8"/>
      <c r="G441" s="8"/>
      <c r="H441" s="7"/>
      <c r="I441" s="8"/>
      <c r="J441" s="8"/>
      <c r="K441" s="8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116"/>
      <c r="E442" s="116"/>
      <c r="F442" s="8"/>
      <c r="G442" s="8"/>
      <c r="H442" s="7"/>
      <c r="I442" s="8"/>
      <c r="J442" s="8"/>
      <c r="K442" s="8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116"/>
      <c r="E443" s="116"/>
      <c r="F443" s="8"/>
      <c r="G443" s="8"/>
      <c r="H443" s="7"/>
      <c r="I443" s="8"/>
      <c r="J443" s="8"/>
      <c r="K443" s="8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116"/>
      <c r="E444" s="116"/>
      <c r="F444" s="8"/>
      <c r="G444" s="8"/>
      <c r="H444" s="7"/>
      <c r="I444" s="8"/>
      <c r="J444" s="8"/>
      <c r="K444" s="8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116"/>
      <c r="E445" s="116"/>
      <c r="F445" s="8"/>
      <c r="G445" s="8"/>
      <c r="H445" s="7"/>
      <c r="I445" s="8"/>
      <c r="J445" s="8"/>
      <c r="K445" s="8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116"/>
      <c r="E446" s="116"/>
      <c r="F446" s="8"/>
      <c r="G446" s="8"/>
      <c r="H446" s="7"/>
      <c r="I446" s="8"/>
      <c r="J446" s="8"/>
      <c r="K446" s="8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116"/>
      <c r="E447" s="116"/>
      <c r="F447" s="8"/>
      <c r="G447" s="8"/>
      <c r="H447" s="7"/>
      <c r="I447" s="8"/>
      <c r="J447" s="8"/>
      <c r="K447" s="8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116"/>
      <c r="E448" s="116"/>
      <c r="F448" s="8"/>
      <c r="G448" s="8"/>
      <c r="H448" s="7"/>
      <c r="I448" s="8"/>
      <c r="J448" s="8"/>
      <c r="K448" s="8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116"/>
      <c r="E449" s="116"/>
      <c r="F449" s="8"/>
      <c r="G449" s="8"/>
      <c r="H449" s="7"/>
      <c r="I449" s="8"/>
      <c r="J449" s="8"/>
      <c r="K449" s="8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116"/>
      <c r="E450" s="116"/>
      <c r="F450" s="8"/>
      <c r="G450" s="8"/>
      <c r="H450" s="7"/>
      <c r="I450" s="8"/>
      <c r="J450" s="8"/>
      <c r="K450" s="8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116"/>
      <c r="E451" s="116"/>
      <c r="F451" s="8"/>
      <c r="G451" s="8"/>
      <c r="H451" s="7"/>
      <c r="I451" s="8"/>
      <c r="J451" s="8"/>
      <c r="K451" s="8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116"/>
      <c r="E452" s="116"/>
      <c r="F452" s="8"/>
      <c r="G452" s="8"/>
      <c r="H452" s="7"/>
      <c r="I452" s="8"/>
      <c r="J452" s="8"/>
      <c r="K452" s="8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116"/>
      <c r="E453" s="116"/>
      <c r="F453" s="8"/>
      <c r="G453" s="8"/>
      <c r="H453" s="7"/>
      <c r="I453" s="8"/>
      <c r="J453" s="8"/>
      <c r="K453" s="8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116"/>
      <c r="E454" s="116"/>
      <c r="F454" s="8"/>
      <c r="G454" s="8"/>
      <c r="H454" s="7"/>
      <c r="I454" s="8"/>
      <c r="J454" s="8"/>
      <c r="K454" s="8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116"/>
      <c r="E455" s="116"/>
      <c r="F455" s="8"/>
      <c r="G455" s="8"/>
      <c r="H455" s="7"/>
      <c r="I455" s="8"/>
      <c r="J455" s="8"/>
      <c r="K455" s="8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116"/>
      <c r="E456" s="116"/>
      <c r="F456" s="8"/>
      <c r="G456" s="8"/>
      <c r="H456" s="7"/>
      <c r="I456" s="8"/>
      <c r="J456" s="8"/>
      <c r="K456" s="8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116"/>
      <c r="E457" s="116"/>
      <c r="F457" s="8"/>
      <c r="G457" s="8"/>
      <c r="H457" s="7"/>
      <c r="I457" s="8"/>
      <c r="J457" s="8"/>
      <c r="K457" s="8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116"/>
      <c r="E458" s="116"/>
      <c r="F458" s="8"/>
      <c r="G458" s="8"/>
      <c r="H458" s="7"/>
      <c r="I458" s="8"/>
      <c r="J458" s="8"/>
      <c r="K458" s="8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116"/>
      <c r="E459" s="116"/>
      <c r="F459" s="8"/>
      <c r="G459" s="8"/>
      <c r="H459" s="7"/>
      <c r="I459" s="8"/>
      <c r="J459" s="8"/>
      <c r="K459" s="8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116"/>
      <c r="E460" s="116"/>
      <c r="F460" s="8"/>
      <c r="G460" s="8"/>
      <c r="H460" s="7"/>
      <c r="I460" s="8"/>
      <c r="J460" s="8"/>
      <c r="K460" s="8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116"/>
      <c r="E461" s="116"/>
      <c r="F461" s="8"/>
      <c r="G461" s="8"/>
      <c r="H461" s="7"/>
      <c r="I461" s="8"/>
      <c r="J461" s="8"/>
      <c r="K461" s="8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116"/>
      <c r="E462" s="116"/>
      <c r="F462" s="8"/>
      <c r="G462" s="8"/>
      <c r="H462" s="7"/>
      <c r="I462" s="8"/>
      <c r="J462" s="8"/>
      <c r="K462" s="8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116"/>
      <c r="E463" s="116"/>
      <c r="F463" s="8"/>
      <c r="G463" s="8"/>
      <c r="H463" s="7"/>
      <c r="I463" s="8"/>
      <c r="J463" s="8"/>
      <c r="K463" s="8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116"/>
      <c r="E464" s="116"/>
      <c r="F464" s="8"/>
      <c r="G464" s="8"/>
      <c r="H464" s="7"/>
      <c r="I464" s="8"/>
      <c r="J464" s="8"/>
      <c r="K464" s="8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116"/>
      <c r="E465" s="116"/>
      <c r="F465" s="8"/>
      <c r="G465" s="8"/>
      <c r="H465" s="7"/>
      <c r="I465" s="8"/>
      <c r="J465" s="8"/>
      <c r="K465" s="8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116"/>
      <c r="E466" s="116"/>
      <c r="F466" s="8"/>
      <c r="G466" s="8"/>
      <c r="H466" s="7"/>
      <c r="I466" s="8"/>
      <c r="J466" s="8"/>
      <c r="K466" s="8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116"/>
      <c r="E467" s="116"/>
      <c r="F467" s="8"/>
      <c r="G467" s="8"/>
      <c r="H467" s="7"/>
      <c r="I467" s="8"/>
      <c r="J467" s="8"/>
      <c r="K467" s="8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116"/>
      <c r="E468" s="116"/>
      <c r="F468" s="8"/>
      <c r="G468" s="8"/>
      <c r="H468" s="7"/>
      <c r="I468" s="8"/>
      <c r="J468" s="8"/>
      <c r="K468" s="8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116"/>
      <c r="E469" s="116"/>
      <c r="F469" s="8"/>
      <c r="G469" s="8"/>
      <c r="H469" s="7"/>
      <c r="I469" s="8"/>
      <c r="J469" s="8"/>
      <c r="K469" s="8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116"/>
      <c r="E470" s="116"/>
      <c r="F470" s="8"/>
      <c r="G470" s="8"/>
      <c r="H470" s="7"/>
      <c r="I470" s="8"/>
      <c r="J470" s="8"/>
      <c r="K470" s="8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116"/>
      <c r="E471" s="116"/>
      <c r="F471" s="8"/>
      <c r="G471" s="8"/>
      <c r="H471" s="7"/>
      <c r="I471" s="8"/>
      <c r="J471" s="8"/>
      <c r="K471" s="8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116"/>
      <c r="E472" s="116"/>
      <c r="F472" s="8"/>
      <c r="G472" s="8"/>
      <c r="H472" s="7"/>
      <c r="I472" s="8"/>
      <c r="J472" s="8"/>
      <c r="K472" s="8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116"/>
      <c r="E473" s="116"/>
      <c r="F473" s="8"/>
      <c r="G473" s="8"/>
      <c r="H473" s="7"/>
      <c r="I473" s="8"/>
      <c r="J473" s="8"/>
      <c r="K473" s="8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116"/>
      <c r="E474" s="116"/>
      <c r="F474" s="8"/>
      <c r="G474" s="8"/>
      <c r="H474" s="7"/>
      <c r="I474" s="8"/>
      <c r="J474" s="8"/>
      <c r="K474" s="8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116"/>
      <c r="E475" s="116"/>
      <c r="F475" s="8"/>
      <c r="G475" s="8"/>
      <c r="H475" s="7"/>
      <c r="I475" s="8"/>
      <c r="J475" s="8"/>
      <c r="K475" s="8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116"/>
      <c r="E476" s="116"/>
      <c r="F476" s="8"/>
      <c r="G476" s="8"/>
      <c r="H476" s="7"/>
      <c r="I476" s="8"/>
      <c r="J476" s="8"/>
      <c r="K476" s="8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116"/>
      <c r="E477" s="116"/>
      <c r="F477" s="8"/>
      <c r="G477" s="8"/>
      <c r="H477" s="7"/>
      <c r="I477" s="8"/>
      <c r="J477" s="8"/>
      <c r="K477" s="8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116"/>
      <c r="E478" s="116"/>
      <c r="F478" s="8"/>
      <c r="G478" s="8"/>
      <c r="H478" s="7"/>
      <c r="I478" s="8"/>
      <c r="J478" s="8"/>
      <c r="K478" s="8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116"/>
      <c r="E479" s="116"/>
      <c r="F479" s="8"/>
      <c r="G479" s="8"/>
      <c r="H479" s="7"/>
      <c r="I479" s="8"/>
      <c r="J479" s="8"/>
      <c r="K479" s="8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116"/>
      <c r="E480" s="116"/>
      <c r="F480" s="8"/>
      <c r="G480" s="8"/>
      <c r="H480" s="7"/>
      <c r="I480" s="8"/>
      <c r="J480" s="8"/>
      <c r="K480" s="8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116"/>
      <c r="E481" s="116"/>
      <c r="F481" s="8"/>
      <c r="G481" s="8"/>
      <c r="H481" s="7"/>
      <c r="I481" s="8"/>
      <c r="J481" s="8"/>
      <c r="K481" s="8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116"/>
      <c r="E482" s="116"/>
      <c r="F482" s="8"/>
      <c r="G482" s="8"/>
      <c r="H482" s="7"/>
      <c r="I482" s="8"/>
      <c r="J482" s="8"/>
      <c r="K482" s="8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116"/>
      <c r="E483" s="116"/>
      <c r="F483" s="8"/>
      <c r="G483" s="8"/>
      <c r="H483" s="7"/>
      <c r="I483" s="8"/>
      <c r="J483" s="8"/>
      <c r="K483" s="8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116"/>
      <c r="E484" s="116"/>
      <c r="F484" s="8"/>
      <c r="G484" s="8"/>
      <c r="H484" s="7"/>
      <c r="I484" s="8"/>
      <c r="J484" s="8"/>
      <c r="K484" s="8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116"/>
      <c r="E485" s="116"/>
      <c r="F485" s="8"/>
      <c r="G485" s="8"/>
      <c r="H485" s="7"/>
      <c r="I485" s="8"/>
      <c r="J485" s="8"/>
      <c r="K485" s="8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116"/>
      <c r="E486" s="116"/>
      <c r="F486" s="8"/>
      <c r="G486" s="8"/>
      <c r="H486" s="7"/>
      <c r="I486" s="8"/>
      <c r="J486" s="8"/>
      <c r="K486" s="8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116"/>
      <c r="E487" s="116"/>
      <c r="F487" s="8"/>
      <c r="G487" s="8"/>
      <c r="H487" s="7"/>
      <c r="I487" s="8"/>
      <c r="J487" s="8"/>
      <c r="K487" s="8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116"/>
      <c r="E488" s="116"/>
      <c r="F488" s="8"/>
      <c r="G488" s="8"/>
      <c r="H488" s="7"/>
      <c r="I488" s="8"/>
      <c r="J488" s="8"/>
      <c r="K488" s="8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116"/>
      <c r="E489" s="116"/>
      <c r="F489" s="8"/>
      <c r="G489" s="8"/>
      <c r="H489" s="7"/>
      <c r="I489" s="8"/>
      <c r="J489" s="8"/>
      <c r="K489" s="8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116"/>
      <c r="E490" s="116"/>
      <c r="F490" s="8"/>
      <c r="G490" s="8"/>
      <c r="H490" s="7"/>
      <c r="I490" s="8"/>
      <c r="J490" s="8"/>
      <c r="K490" s="8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116"/>
      <c r="E491" s="116"/>
      <c r="F491" s="8"/>
      <c r="G491" s="8"/>
      <c r="H491" s="7"/>
      <c r="I491" s="8"/>
      <c r="J491" s="8"/>
      <c r="K491" s="8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116"/>
      <c r="E492" s="116"/>
      <c r="F492" s="8"/>
      <c r="G492" s="8"/>
      <c r="H492" s="7"/>
      <c r="I492" s="8"/>
      <c r="J492" s="8"/>
      <c r="K492" s="8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116"/>
      <c r="E493" s="116"/>
      <c r="F493" s="8"/>
      <c r="G493" s="8"/>
      <c r="H493" s="7"/>
      <c r="I493" s="8"/>
      <c r="J493" s="8"/>
      <c r="K493" s="8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116"/>
      <c r="E494" s="116"/>
      <c r="F494" s="8"/>
      <c r="G494" s="8"/>
      <c r="H494" s="7"/>
      <c r="I494" s="8"/>
      <c r="J494" s="8"/>
      <c r="K494" s="8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116"/>
      <c r="E495" s="116"/>
      <c r="F495" s="8"/>
      <c r="G495" s="8"/>
      <c r="H495" s="7"/>
      <c r="I495" s="8"/>
      <c r="J495" s="8"/>
      <c r="K495" s="8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116"/>
      <c r="E496" s="116"/>
      <c r="F496" s="8"/>
      <c r="G496" s="8"/>
      <c r="H496" s="7"/>
      <c r="I496" s="8"/>
      <c r="J496" s="8"/>
      <c r="K496" s="8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116"/>
      <c r="E497" s="116"/>
      <c r="F497" s="8"/>
      <c r="G497" s="8"/>
      <c r="H497" s="7"/>
      <c r="I497" s="8"/>
      <c r="J497" s="8"/>
      <c r="K497" s="8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116"/>
      <c r="E498" s="116"/>
      <c r="F498" s="8"/>
      <c r="G498" s="8"/>
      <c r="H498" s="7"/>
      <c r="I498" s="8"/>
      <c r="J498" s="8"/>
      <c r="K498" s="8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116"/>
      <c r="E499" s="116"/>
      <c r="F499" s="8"/>
      <c r="G499" s="8"/>
      <c r="H499" s="7"/>
      <c r="I499" s="8"/>
      <c r="J499" s="8"/>
      <c r="K499" s="8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116"/>
      <c r="E500" s="116"/>
      <c r="F500" s="8"/>
      <c r="G500" s="8"/>
      <c r="H500" s="7"/>
      <c r="I500" s="8"/>
      <c r="J500" s="8"/>
      <c r="K500" s="8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116"/>
      <c r="E501" s="116"/>
      <c r="F501" s="8"/>
      <c r="G501" s="8"/>
      <c r="H501" s="7"/>
      <c r="I501" s="8"/>
      <c r="J501" s="8"/>
      <c r="K501" s="8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7"/>
      <c r="D502" s="116"/>
      <c r="E502" s="116"/>
      <c r="F502" s="8"/>
      <c r="G502" s="8"/>
      <c r="H502" s="7"/>
      <c r="I502" s="8"/>
      <c r="J502" s="8"/>
      <c r="K502" s="8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7"/>
      <c r="D503" s="116"/>
      <c r="E503" s="116"/>
      <c r="F503" s="8"/>
      <c r="G503" s="8"/>
      <c r="H503" s="7"/>
      <c r="I503" s="8"/>
      <c r="J503" s="8"/>
      <c r="K503" s="8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7"/>
      <c r="D504" s="116"/>
      <c r="E504" s="116"/>
      <c r="F504" s="8"/>
      <c r="G504" s="8"/>
      <c r="H504" s="7"/>
      <c r="I504" s="8"/>
      <c r="J504" s="8"/>
      <c r="K504" s="8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7"/>
      <c r="D505" s="116"/>
      <c r="E505" s="116"/>
      <c r="F505" s="8"/>
      <c r="G505" s="8"/>
      <c r="H505" s="7"/>
      <c r="I505" s="8"/>
      <c r="J505" s="8"/>
      <c r="K505" s="8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7"/>
      <c r="D506" s="116"/>
      <c r="E506" s="116"/>
      <c r="F506" s="8"/>
      <c r="G506" s="8"/>
      <c r="H506" s="7"/>
      <c r="I506" s="8"/>
      <c r="J506" s="8"/>
      <c r="K506" s="8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7"/>
      <c r="D507" s="116"/>
      <c r="E507" s="116"/>
      <c r="F507" s="8"/>
      <c r="G507" s="8"/>
      <c r="H507" s="7"/>
      <c r="I507" s="8"/>
      <c r="J507" s="8"/>
      <c r="K507" s="8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7"/>
      <c r="D508" s="116"/>
      <c r="E508" s="116"/>
      <c r="F508" s="8"/>
      <c r="G508" s="8"/>
      <c r="H508" s="7"/>
      <c r="I508" s="8"/>
      <c r="J508" s="8"/>
      <c r="K508" s="8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7"/>
      <c r="D509" s="116"/>
      <c r="E509" s="116"/>
      <c r="F509" s="8"/>
      <c r="G509" s="8"/>
      <c r="H509" s="7"/>
      <c r="I509" s="8"/>
      <c r="J509" s="8"/>
      <c r="K509" s="8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7"/>
      <c r="D510" s="116"/>
      <c r="E510" s="116"/>
      <c r="F510" s="8"/>
      <c r="G510" s="8"/>
      <c r="H510" s="7"/>
      <c r="I510" s="8"/>
      <c r="J510" s="8"/>
      <c r="K510" s="8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7"/>
      <c r="D511" s="116"/>
      <c r="E511" s="116"/>
      <c r="F511" s="8"/>
      <c r="G511" s="8"/>
      <c r="H511" s="7"/>
      <c r="I511" s="8"/>
      <c r="J511" s="8"/>
      <c r="K511" s="8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7"/>
      <c r="D512" s="116"/>
      <c r="E512" s="116"/>
      <c r="F512" s="8"/>
      <c r="G512" s="8"/>
      <c r="H512" s="7"/>
      <c r="I512" s="8"/>
      <c r="J512" s="8"/>
      <c r="K512" s="8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7"/>
      <c r="D513" s="116"/>
      <c r="E513" s="116"/>
      <c r="F513" s="8"/>
      <c r="G513" s="8"/>
      <c r="H513" s="7"/>
      <c r="I513" s="8"/>
      <c r="J513" s="8"/>
      <c r="K513" s="8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7"/>
      <c r="D514" s="116"/>
      <c r="E514" s="116"/>
      <c r="F514" s="8"/>
      <c r="G514" s="8"/>
      <c r="H514" s="7"/>
      <c r="I514" s="8"/>
      <c r="J514" s="8"/>
      <c r="K514" s="8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7"/>
      <c r="D515" s="116"/>
      <c r="E515" s="116"/>
      <c r="F515" s="8"/>
      <c r="G515" s="8"/>
      <c r="H515" s="7"/>
      <c r="I515" s="8"/>
      <c r="J515" s="8"/>
      <c r="K515" s="8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7"/>
      <c r="D516" s="116"/>
      <c r="E516" s="116"/>
      <c r="F516" s="8"/>
      <c r="G516" s="8"/>
      <c r="H516" s="7"/>
      <c r="I516" s="8"/>
      <c r="J516" s="8"/>
      <c r="K516" s="8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7"/>
      <c r="D517" s="116"/>
      <c r="E517" s="116"/>
      <c r="F517" s="8"/>
      <c r="G517" s="8"/>
      <c r="H517" s="7"/>
      <c r="I517" s="8"/>
      <c r="J517" s="8"/>
      <c r="K517" s="8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7"/>
      <c r="D518" s="116"/>
      <c r="E518" s="116"/>
      <c r="F518" s="8"/>
      <c r="G518" s="8"/>
      <c r="H518" s="7"/>
      <c r="I518" s="8"/>
      <c r="J518" s="8"/>
      <c r="K518" s="8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7"/>
      <c r="D519" s="116"/>
      <c r="E519" s="116"/>
      <c r="F519" s="8"/>
      <c r="G519" s="8"/>
      <c r="H519" s="7"/>
      <c r="I519" s="8"/>
      <c r="J519" s="8"/>
      <c r="K519" s="8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7"/>
      <c r="D520" s="116"/>
      <c r="E520" s="116"/>
      <c r="F520" s="8"/>
      <c r="G520" s="8"/>
      <c r="H520" s="7"/>
      <c r="I520" s="8"/>
      <c r="J520" s="8"/>
      <c r="K520" s="8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7"/>
      <c r="D521" s="116"/>
      <c r="E521" s="116"/>
      <c r="F521" s="8"/>
      <c r="G521" s="8"/>
      <c r="H521" s="7"/>
      <c r="I521" s="8"/>
      <c r="J521" s="8"/>
      <c r="K521" s="8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7"/>
      <c r="D522" s="116"/>
      <c r="E522" s="116"/>
      <c r="F522" s="8"/>
      <c r="G522" s="8"/>
      <c r="H522" s="7"/>
      <c r="I522" s="8"/>
      <c r="J522" s="8"/>
      <c r="K522" s="8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7"/>
      <c r="D523" s="116"/>
      <c r="E523" s="116"/>
      <c r="F523" s="8"/>
      <c r="G523" s="8"/>
      <c r="H523" s="7"/>
      <c r="I523" s="8"/>
      <c r="J523" s="8"/>
      <c r="K523" s="8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7"/>
      <c r="D524" s="116"/>
      <c r="E524" s="116"/>
      <c r="F524" s="8"/>
      <c r="G524" s="8"/>
      <c r="H524" s="7"/>
      <c r="I524" s="8"/>
      <c r="J524" s="8"/>
      <c r="K524" s="8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7"/>
      <c r="D525" s="116"/>
      <c r="E525" s="116"/>
      <c r="F525" s="8"/>
      <c r="G525" s="8"/>
      <c r="H525" s="7"/>
      <c r="I525" s="8"/>
      <c r="J525" s="8"/>
      <c r="K525" s="8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7"/>
      <c r="D526" s="116"/>
      <c r="E526" s="116"/>
      <c r="F526" s="8"/>
      <c r="G526" s="8"/>
      <c r="H526" s="7"/>
      <c r="I526" s="8"/>
      <c r="J526" s="8"/>
      <c r="K526" s="8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7"/>
      <c r="D527" s="116"/>
      <c r="E527" s="116"/>
      <c r="F527" s="8"/>
      <c r="G527" s="8"/>
      <c r="H527" s="7"/>
      <c r="I527" s="8"/>
      <c r="J527" s="8"/>
      <c r="K527" s="8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7"/>
      <c r="D528" s="116"/>
      <c r="E528" s="116"/>
      <c r="F528" s="8"/>
      <c r="G528" s="8"/>
      <c r="H528" s="7"/>
      <c r="I528" s="8"/>
      <c r="J528" s="8"/>
      <c r="K528" s="8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7"/>
      <c r="D529" s="116"/>
      <c r="E529" s="116"/>
      <c r="F529" s="8"/>
      <c r="G529" s="8"/>
      <c r="H529" s="7"/>
      <c r="I529" s="8"/>
      <c r="J529" s="8"/>
      <c r="K529" s="8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7"/>
      <c r="D530" s="116"/>
      <c r="E530" s="116"/>
      <c r="F530" s="8"/>
      <c r="G530" s="8"/>
      <c r="H530" s="7"/>
      <c r="I530" s="8"/>
      <c r="J530" s="8"/>
      <c r="K530" s="8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7"/>
      <c r="D531" s="116"/>
      <c r="E531" s="116"/>
      <c r="F531" s="8"/>
      <c r="G531" s="8"/>
      <c r="H531" s="7"/>
      <c r="I531" s="8"/>
      <c r="J531" s="8"/>
      <c r="K531" s="8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7"/>
      <c r="D532" s="116"/>
      <c r="E532" s="116"/>
      <c r="F532" s="8"/>
      <c r="G532" s="8"/>
      <c r="H532" s="7"/>
      <c r="I532" s="8"/>
      <c r="J532" s="8"/>
      <c r="K532" s="8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7"/>
      <c r="D533" s="116"/>
      <c r="E533" s="116"/>
      <c r="F533" s="8"/>
      <c r="G533" s="8"/>
      <c r="H533" s="7"/>
      <c r="I533" s="8"/>
      <c r="J533" s="8"/>
      <c r="K533" s="8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7"/>
      <c r="D534" s="116"/>
      <c r="E534" s="116"/>
      <c r="F534" s="8"/>
      <c r="G534" s="8"/>
      <c r="H534" s="7"/>
      <c r="I534" s="8"/>
      <c r="J534" s="8"/>
      <c r="K534" s="8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7"/>
      <c r="D535" s="116"/>
      <c r="E535" s="116"/>
      <c r="F535" s="8"/>
      <c r="G535" s="8"/>
      <c r="H535" s="7"/>
      <c r="I535" s="8"/>
      <c r="J535" s="8"/>
      <c r="K535" s="8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7"/>
      <c r="D536" s="116"/>
      <c r="E536" s="116"/>
      <c r="F536" s="8"/>
      <c r="G536" s="8"/>
      <c r="H536" s="7"/>
      <c r="I536" s="8"/>
      <c r="J536" s="8"/>
      <c r="K536" s="8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7"/>
      <c r="D537" s="116"/>
      <c r="E537" s="116"/>
      <c r="F537" s="8"/>
      <c r="G537" s="8"/>
      <c r="H537" s="7"/>
      <c r="I537" s="8"/>
      <c r="J537" s="8"/>
      <c r="K537" s="8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7"/>
      <c r="D538" s="116"/>
      <c r="E538" s="116"/>
      <c r="F538" s="8"/>
      <c r="G538" s="8"/>
      <c r="H538" s="7"/>
      <c r="I538" s="8"/>
      <c r="J538" s="8"/>
      <c r="K538" s="8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7"/>
      <c r="D539" s="116"/>
      <c r="E539" s="116"/>
      <c r="F539" s="8"/>
      <c r="G539" s="8"/>
      <c r="H539" s="7"/>
      <c r="I539" s="8"/>
      <c r="J539" s="8"/>
      <c r="K539" s="8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7"/>
      <c r="D540" s="116"/>
      <c r="E540" s="116"/>
      <c r="F540" s="8"/>
      <c r="G540" s="8"/>
      <c r="H540" s="7"/>
      <c r="I540" s="8"/>
      <c r="J540" s="8"/>
      <c r="K540" s="8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7"/>
      <c r="D541" s="116"/>
      <c r="E541" s="116"/>
      <c r="F541" s="8"/>
      <c r="G541" s="8"/>
      <c r="H541" s="7"/>
      <c r="I541" s="8"/>
      <c r="J541" s="8"/>
      <c r="K541" s="8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7"/>
      <c r="D542" s="116"/>
      <c r="E542" s="116"/>
      <c r="F542" s="8"/>
      <c r="G542" s="8"/>
      <c r="H542" s="7"/>
      <c r="I542" s="8"/>
      <c r="J542" s="8"/>
      <c r="K542" s="8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7"/>
      <c r="D543" s="116"/>
      <c r="E543" s="116"/>
      <c r="F543" s="8"/>
      <c r="G543" s="8"/>
      <c r="H543" s="7"/>
      <c r="I543" s="8"/>
      <c r="J543" s="8"/>
      <c r="K543" s="8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7"/>
      <c r="D544" s="116"/>
      <c r="E544" s="116"/>
      <c r="F544" s="8"/>
      <c r="G544" s="8"/>
      <c r="H544" s="7"/>
      <c r="I544" s="8"/>
      <c r="J544" s="8"/>
      <c r="K544" s="8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7"/>
      <c r="D545" s="116"/>
      <c r="E545" s="116"/>
      <c r="F545" s="8"/>
      <c r="G545" s="8"/>
      <c r="H545" s="7"/>
      <c r="I545" s="8"/>
      <c r="J545" s="8"/>
      <c r="K545" s="8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7"/>
      <c r="D546" s="116"/>
      <c r="E546" s="116"/>
      <c r="F546" s="8"/>
      <c r="G546" s="8"/>
      <c r="H546" s="7"/>
      <c r="I546" s="8"/>
      <c r="J546" s="8"/>
      <c r="K546" s="8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7"/>
      <c r="D547" s="116"/>
      <c r="E547" s="116"/>
      <c r="F547" s="8"/>
      <c r="G547" s="8"/>
      <c r="H547" s="7"/>
      <c r="I547" s="8"/>
      <c r="J547" s="8"/>
      <c r="K547" s="8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7"/>
      <c r="D548" s="116"/>
      <c r="E548" s="116"/>
      <c r="F548" s="8"/>
      <c r="G548" s="8"/>
      <c r="H548" s="7"/>
      <c r="I548" s="8"/>
      <c r="J548" s="8"/>
      <c r="K548" s="8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7"/>
      <c r="D549" s="116"/>
      <c r="E549" s="116"/>
      <c r="F549" s="8"/>
      <c r="G549" s="8"/>
      <c r="H549" s="7"/>
      <c r="I549" s="8"/>
      <c r="J549" s="8"/>
      <c r="K549" s="8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7"/>
      <c r="D550" s="116"/>
      <c r="E550" s="116"/>
      <c r="F550" s="8"/>
      <c r="G550" s="8"/>
      <c r="H550" s="7"/>
      <c r="I550" s="8"/>
      <c r="J550" s="8"/>
      <c r="K550" s="8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7"/>
      <c r="D551" s="116"/>
      <c r="E551" s="116"/>
      <c r="F551" s="8"/>
      <c r="G551" s="8"/>
      <c r="H551" s="7"/>
      <c r="I551" s="8"/>
      <c r="J551" s="8"/>
      <c r="K551" s="8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7"/>
      <c r="D552" s="116"/>
      <c r="E552" s="116"/>
      <c r="F552" s="8"/>
      <c r="G552" s="8"/>
      <c r="H552" s="7"/>
      <c r="I552" s="8"/>
      <c r="J552" s="8"/>
      <c r="K552" s="8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7"/>
      <c r="D553" s="116"/>
      <c r="E553" s="116"/>
      <c r="F553" s="8"/>
      <c r="G553" s="8"/>
      <c r="H553" s="7"/>
      <c r="I553" s="8"/>
      <c r="J553" s="8"/>
      <c r="K553" s="8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7"/>
      <c r="D554" s="116"/>
      <c r="E554" s="116"/>
      <c r="F554" s="8"/>
      <c r="G554" s="8"/>
      <c r="H554" s="7"/>
      <c r="I554" s="8"/>
      <c r="J554" s="8"/>
      <c r="K554" s="8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7"/>
      <c r="D555" s="116"/>
      <c r="E555" s="116"/>
      <c r="F555" s="8"/>
      <c r="G555" s="8"/>
      <c r="H555" s="7"/>
      <c r="I555" s="8"/>
      <c r="J555" s="8"/>
      <c r="K555" s="8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7"/>
      <c r="D556" s="116"/>
      <c r="E556" s="116"/>
      <c r="F556" s="8"/>
      <c r="G556" s="8"/>
      <c r="H556" s="7"/>
      <c r="I556" s="8"/>
      <c r="J556" s="8"/>
      <c r="K556" s="8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7"/>
      <c r="D557" s="116"/>
      <c r="E557" s="116"/>
      <c r="F557" s="8"/>
      <c r="G557" s="8"/>
      <c r="H557" s="7"/>
      <c r="I557" s="8"/>
      <c r="J557" s="8"/>
      <c r="K557" s="8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7"/>
      <c r="D558" s="116"/>
      <c r="E558" s="116"/>
      <c r="F558" s="8"/>
      <c r="G558" s="8"/>
      <c r="H558" s="7"/>
      <c r="I558" s="8"/>
      <c r="J558" s="8"/>
      <c r="K558" s="8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7"/>
      <c r="D559" s="116"/>
      <c r="E559" s="116"/>
      <c r="F559" s="8"/>
      <c r="G559" s="8"/>
      <c r="H559" s="7"/>
      <c r="I559" s="8"/>
      <c r="J559" s="8"/>
      <c r="K559" s="8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7"/>
      <c r="D560" s="116"/>
      <c r="E560" s="116"/>
      <c r="F560" s="8"/>
      <c r="G560" s="8"/>
      <c r="H560" s="7"/>
      <c r="I560" s="8"/>
      <c r="J560" s="8"/>
      <c r="K560" s="8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7"/>
      <c r="D561" s="116"/>
      <c r="E561" s="116"/>
      <c r="F561" s="8"/>
      <c r="G561" s="8"/>
      <c r="H561" s="7"/>
      <c r="I561" s="8"/>
      <c r="J561" s="8"/>
      <c r="K561" s="8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7"/>
      <c r="D562" s="116"/>
      <c r="E562" s="116"/>
      <c r="F562" s="8"/>
      <c r="G562" s="8"/>
      <c r="H562" s="7"/>
      <c r="I562" s="8"/>
      <c r="J562" s="8"/>
      <c r="K562" s="8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7"/>
      <c r="D563" s="116"/>
      <c r="E563" s="116"/>
      <c r="F563" s="8"/>
      <c r="G563" s="8"/>
      <c r="H563" s="7"/>
      <c r="I563" s="8"/>
      <c r="J563" s="8"/>
      <c r="K563" s="8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7"/>
      <c r="D564" s="116"/>
      <c r="E564" s="116"/>
      <c r="F564" s="8"/>
      <c r="G564" s="8"/>
      <c r="H564" s="7"/>
      <c r="I564" s="8"/>
      <c r="J564" s="8"/>
      <c r="K564" s="8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7"/>
      <c r="D565" s="116"/>
      <c r="E565" s="116"/>
      <c r="F565" s="8"/>
      <c r="G565" s="8"/>
      <c r="H565" s="7"/>
      <c r="I565" s="8"/>
      <c r="J565" s="8"/>
      <c r="K565" s="8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7"/>
      <c r="D566" s="116"/>
      <c r="E566" s="116"/>
      <c r="F566" s="8"/>
      <c r="G566" s="8"/>
      <c r="H566" s="7"/>
      <c r="I566" s="8"/>
      <c r="J566" s="8"/>
      <c r="K566" s="8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7"/>
      <c r="D567" s="116"/>
      <c r="E567" s="116"/>
      <c r="F567" s="8"/>
      <c r="G567" s="8"/>
      <c r="H567" s="7"/>
      <c r="I567" s="8"/>
      <c r="J567" s="8"/>
      <c r="K567" s="8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7"/>
      <c r="D568" s="116"/>
      <c r="E568" s="116"/>
      <c r="F568" s="8"/>
      <c r="G568" s="8"/>
      <c r="H568" s="7"/>
      <c r="I568" s="8"/>
      <c r="J568" s="8"/>
      <c r="K568" s="8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7"/>
      <c r="D569" s="116"/>
      <c r="E569" s="116"/>
      <c r="F569" s="8"/>
      <c r="G569" s="8"/>
      <c r="H569" s="7"/>
      <c r="I569" s="8"/>
      <c r="J569" s="8"/>
      <c r="K569" s="8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7"/>
      <c r="D570" s="116"/>
      <c r="E570" s="116"/>
      <c r="F570" s="8"/>
      <c r="G570" s="8"/>
      <c r="H570" s="7"/>
      <c r="I570" s="8"/>
      <c r="J570" s="8"/>
      <c r="K570" s="8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7"/>
      <c r="D571" s="116"/>
      <c r="E571" s="116"/>
      <c r="F571" s="8"/>
      <c r="G571" s="8"/>
      <c r="H571" s="7"/>
      <c r="I571" s="8"/>
      <c r="J571" s="8"/>
      <c r="K571" s="8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7"/>
      <c r="D572" s="116"/>
      <c r="E572" s="116"/>
      <c r="F572" s="8"/>
      <c r="G572" s="8"/>
      <c r="H572" s="7"/>
      <c r="I572" s="8"/>
      <c r="J572" s="8"/>
      <c r="K572" s="8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7"/>
      <c r="D573" s="116"/>
      <c r="E573" s="116"/>
      <c r="F573" s="8"/>
      <c r="G573" s="8"/>
      <c r="H573" s="7"/>
      <c r="I573" s="8"/>
      <c r="J573" s="8"/>
      <c r="K573" s="8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7"/>
      <c r="D574" s="116"/>
      <c r="E574" s="116"/>
      <c r="F574" s="8"/>
      <c r="G574" s="8"/>
      <c r="H574" s="7"/>
      <c r="I574" s="8"/>
      <c r="J574" s="8"/>
      <c r="K574" s="8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7"/>
      <c r="D575" s="116"/>
      <c r="E575" s="116"/>
      <c r="F575" s="8"/>
      <c r="G575" s="8"/>
      <c r="H575" s="7"/>
      <c r="I575" s="8"/>
      <c r="J575" s="8"/>
      <c r="K575" s="8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7"/>
      <c r="D576" s="116"/>
      <c r="E576" s="116"/>
      <c r="F576" s="8"/>
      <c r="G576" s="8"/>
      <c r="H576" s="7"/>
      <c r="I576" s="8"/>
      <c r="J576" s="8"/>
      <c r="K576" s="8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7"/>
      <c r="D577" s="116"/>
      <c r="E577" s="116"/>
      <c r="F577" s="8"/>
      <c r="G577" s="8"/>
      <c r="H577" s="7"/>
      <c r="I577" s="8"/>
      <c r="J577" s="8"/>
      <c r="K577" s="8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7"/>
      <c r="D578" s="116"/>
      <c r="E578" s="116"/>
      <c r="F578" s="8"/>
      <c r="G578" s="8"/>
      <c r="H578" s="7"/>
      <c r="I578" s="8"/>
      <c r="J578" s="8"/>
      <c r="K578" s="8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7"/>
      <c r="D579" s="116"/>
      <c r="E579" s="116"/>
      <c r="F579" s="8"/>
      <c r="G579" s="8"/>
      <c r="H579" s="7"/>
      <c r="I579" s="8"/>
      <c r="J579" s="8"/>
      <c r="K579" s="8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7"/>
      <c r="D580" s="116"/>
      <c r="E580" s="116"/>
      <c r="F580" s="8"/>
      <c r="G580" s="8"/>
      <c r="H580" s="7"/>
      <c r="I580" s="8"/>
      <c r="J580" s="8"/>
      <c r="K580" s="8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7"/>
      <c r="D581" s="116"/>
      <c r="E581" s="116"/>
      <c r="F581" s="8"/>
      <c r="G581" s="8"/>
      <c r="H581" s="7"/>
      <c r="I581" s="8"/>
      <c r="J581" s="8"/>
      <c r="K581" s="8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7"/>
      <c r="D582" s="116"/>
      <c r="E582" s="116"/>
      <c r="F582" s="8"/>
      <c r="G582" s="8"/>
      <c r="H582" s="7"/>
      <c r="I582" s="8"/>
      <c r="J582" s="8"/>
      <c r="K582" s="8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7"/>
      <c r="D583" s="116"/>
      <c r="E583" s="116"/>
      <c r="F583" s="8"/>
      <c r="G583" s="8"/>
      <c r="H583" s="7"/>
      <c r="I583" s="8"/>
      <c r="J583" s="8"/>
      <c r="K583" s="8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7"/>
      <c r="D584" s="116"/>
      <c r="E584" s="116"/>
      <c r="F584" s="8"/>
      <c r="G584" s="8"/>
      <c r="H584" s="7"/>
      <c r="I584" s="8"/>
      <c r="J584" s="8"/>
      <c r="K584" s="8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7"/>
      <c r="D585" s="116"/>
      <c r="E585" s="116"/>
      <c r="F585" s="8"/>
      <c r="G585" s="8"/>
      <c r="H585" s="7"/>
      <c r="I585" s="8"/>
      <c r="J585" s="8"/>
      <c r="K585" s="8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7"/>
      <c r="D586" s="116"/>
      <c r="E586" s="116"/>
      <c r="F586" s="8"/>
      <c r="G586" s="8"/>
      <c r="H586" s="7"/>
      <c r="I586" s="8"/>
      <c r="J586" s="8"/>
      <c r="K586" s="8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7"/>
      <c r="D587" s="116"/>
      <c r="E587" s="116"/>
      <c r="F587" s="8"/>
      <c r="G587" s="8"/>
      <c r="H587" s="7"/>
      <c r="I587" s="8"/>
      <c r="J587" s="8"/>
      <c r="K587" s="8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7"/>
      <c r="D588" s="116"/>
      <c r="E588" s="116"/>
      <c r="F588" s="8"/>
      <c r="G588" s="8"/>
      <c r="H588" s="7"/>
      <c r="I588" s="8"/>
      <c r="J588" s="8"/>
      <c r="K588" s="8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7"/>
      <c r="D589" s="116"/>
      <c r="E589" s="116"/>
      <c r="F589" s="8"/>
      <c r="G589" s="8"/>
      <c r="H589" s="7"/>
      <c r="I589" s="8"/>
      <c r="J589" s="8"/>
      <c r="K589" s="8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7"/>
      <c r="D590" s="116"/>
      <c r="E590" s="116"/>
      <c r="F590" s="8"/>
      <c r="G590" s="8"/>
      <c r="H590" s="7"/>
      <c r="I590" s="8"/>
      <c r="J590" s="8"/>
      <c r="K590" s="8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7"/>
      <c r="D591" s="116"/>
      <c r="E591" s="116"/>
      <c r="F591" s="8"/>
      <c r="G591" s="8"/>
      <c r="H591" s="7"/>
      <c r="I591" s="8"/>
      <c r="J591" s="8"/>
      <c r="K591" s="8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7"/>
      <c r="D592" s="116"/>
      <c r="E592" s="116"/>
      <c r="F592" s="8"/>
      <c r="G592" s="8"/>
      <c r="H592" s="7"/>
      <c r="I592" s="8"/>
      <c r="J592" s="8"/>
      <c r="K592" s="8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7"/>
      <c r="D593" s="116"/>
      <c r="E593" s="116"/>
      <c r="F593" s="8"/>
      <c r="G593" s="8"/>
      <c r="H593" s="7"/>
      <c r="I593" s="8"/>
      <c r="J593" s="8"/>
      <c r="K593" s="8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7"/>
      <c r="D594" s="116"/>
      <c r="E594" s="116"/>
      <c r="F594" s="8"/>
      <c r="G594" s="8"/>
      <c r="H594" s="7"/>
      <c r="I594" s="8"/>
      <c r="J594" s="8"/>
      <c r="K594" s="8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7"/>
      <c r="D595" s="116"/>
      <c r="E595" s="116"/>
      <c r="F595" s="8"/>
      <c r="G595" s="8"/>
      <c r="H595" s="7"/>
      <c r="I595" s="8"/>
      <c r="J595" s="8"/>
      <c r="K595" s="8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7"/>
      <c r="D596" s="116"/>
      <c r="E596" s="116"/>
      <c r="F596" s="8"/>
      <c r="G596" s="8"/>
      <c r="H596" s="7"/>
      <c r="I596" s="8"/>
      <c r="J596" s="8"/>
      <c r="K596" s="8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7"/>
      <c r="D597" s="116"/>
      <c r="E597" s="116"/>
      <c r="F597" s="8"/>
      <c r="G597" s="8"/>
      <c r="H597" s="7"/>
      <c r="I597" s="8"/>
      <c r="J597" s="8"/>
      <c r="K597" s="8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7"/>
      <c r="D598" s="116"/>
      <c r="E598" s="116"/>
      <c r="F598" s="8"/>
      <c r="G598" s="8"/>
      <c r="H598" s="7"/>
      <c r="I598" s="8"/>
      <c r="J598" s="8"/>
      <c r="K598" s="8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7"/>
      <c r="D599" s="116"/>
      <c r="E599" s="116"/>
      <c r="F599" s="8"/>
      <c r="G599" s="8"/>
      <c r="H599" s="7"/>
      <c r="I599" s="8"/>
      <c r="J599" s="8"/>
      <c r="K599" s="8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7"/>
      <c r="D600" s="116"/>
      <c r="E600" s="116"/>
      <c r="F600" s="8"/>
      <c r="G600" s="8"/>
      <c r="H600" s="7"/>
      <c r="I600" s="8"/>
      <c r="J600" s="8"/>
      <c r="K600" s="8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7"/>
      <c r="D601" s="116"/>
      <c r="E601" s="116"/>
      <c r="F601" s="8"/>
      <c r="G601" s="8"/>
      <c r="H601" s="7"/>
      <c r="I601" s="8"/>
      <c r="J601" s="8"/>
      <c r="K601" s="8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7"/>
      <c r="D602" s="116"/>
      <c r="E602" s="116"/>
      <c r="F602" s="8"/>
      <c r="G602" s="8"/>
      <c r="H602" s="7"/>
      <c r="I602" s="8"/>
      <c r="J602" s="8"/>
      <c r="K602" s="8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7"/>
      <c r="D603" s="116"/>
      <c r="E603" s="116"/>
      <c r="F603" s="8"/>
      <c r="G603" s="8"/>
      <c r="H603" s="7"/>
      <c r="I603" s="8"/>
      <c r="J603" s="8"/>
      <c r="K603" s="8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7"/>
      <c r="D604" s="116"/>
      <c r="E604" s="116"/>
      <c r="F604" s="8"/>
      <c r="G604" s="8"/>
      <c r="H604" s="7"/>
      <c r="I604" s="8"/>
      <c r="J604" s="8"/>
      <c r="K604" s="8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7"/>
      <c r="D605" s="116"/>
      <c r="E605" s="116"/>
      <c r="F605" s="8"/>
      <c r="G605" s="8"/>
      <c r="H605" s="7"/>
      <c r="I605" s="8"/>
      <c r="J605" s="8"/>
      <c r="K605" s="8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7"/>
      <c r="D606" s="116"/>
      <c r="E606" s="116"/>
      <c r="F606" s="8"/>
      <c r="G606" s="8"/>
      <c r="H606" s="7"/>
      <c r="I606" s="8"/>
      <c r="J606" s="8"/>
      <c r="K606" s="8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7"/>
      <c r="D607" s="116"/>
      <c r="E607" s="116"/>
      <c r="F607" s="8"/>
      <c r="G607" s="8"/>
      <c r="H607" s="7"/>
      <c r="I607" s="8"/>
      <c r="J607" s="8"/>
      <c r="K607" s="8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7"/>
      <c r="D608" s="116"/>
      <c r="E608" s="116"/>
      <c r="F608" s="8"/>
      <c r="G608" s="8"/>
      <c r="H608" s="7"/>
      <c r="I608" s="8"/>
      <c r="J608" s="8"/>
      <c r="K608" s="8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7"/>
      <c r="D609" s="116"/>
      <c r="E609" s="116"/>
      <c r="F609" s="8"/>
      <c r="G609" s="8"/>
      <c r="H609" s="7"/>
      <c r="I609" s="8"/>
      <c r="J609" s="8"/>
      <c r="K609" s="8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7"/>
      <c r="D610" s="116"/>
      <c r="E610" s="116"/>
      <c r="F610" s="8"/>
      <c r="G610" s="8"/>
      <c r="H610" s="7"/>
      <c r="I610" s="8"/>
      <c r="J610" s="8"/>
      <c r="K610" s="8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7"/>
      <c r="D611" s="116"/>
      <c r="E611" s="116"/>
      <c r="F611" s="8"/>
      <c r="G611" s="8"/>
      <c r="H611" s="7"/>
      <c r="I611" s="8"/>
      <c r="J611" s="8"/>
      <c r="K611" s="8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7"/>
      <c r="D612" s="116"/>
      <c r="E612" s="116"/>
      <c r="F612" s="8"/>
      <c r="G612" s="8"/>
      <c r="H612" s="7"/>
      <c r="I612" s="8"/>
      <c r="J612" s="8"/>
      <c r="K612" s="8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7"/>
      <c r="D613" s="116"/>
      <c r="E613" s="116"/>
      <c r="F613" s="8"/>
      <c r="G613" s="8"/>
      <c r="H613" s="7"/>
      <c r="I613" s="8"/>
      <c r="J613" s="8"/>
      <c r="K613" s="8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7"/>
      <c r="D614" s="116"/>
      <c r="E614" s="116"/>
      <c r="F614" s="8"/>
      <c r="G614" s="8"/>
      <c r="H614" s="7"/>
      <c r="I614" s="8"/>
      <c r="J614" s="8"/>
      <c r="K614" s="8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7"/>
      <c r="D615" s="116"/>
      <c r="E615" s="116"/>
      <c r="F615" s="8"/>
      <c r="G615" s="8"/>
      <c r="H615" s="7"/>
      <c r="I615" s="8"/>
      <c r="J615" s="8"/>
      <c r="K615" s="8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7"/>
      <c r="D616" s="116"/>
      <c r="E616" s="116"/>
      <c r="F616" s="8"/>
      <c r="G616" s="8"/>
      <c r="H616" s="7"/>
      <c r="I616" s="8"/>
      <c r="J616" s="8"/>
      <c r="K616" s="8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7"/>
      <c r="D617" s="116"/>
      <c r="E617" s="116"/>
      <c r="F617" s="8"/>
      <c r="G617" s="8"/>
      <c r="H617" s="7"/>
      <c r="I617" s="8"/>
      <c r="J617" s="8"/>
      <c r="K617" s="8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7"/>
      <c r="D618" s="116"/>
      <c r="E618" s="116"/>
      <c r="F618" s="8"/>
      <c r="G618" s="8"/>
      <c r="H618" s="7"/>
      <c r="I618" s="8"/>
      <c r="J618" s="8"/>
      <c r="K618" s="8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7"/>
      <c r="D619" s="116"/>
      <c r="E619" s="116"/>
      <c r="F619" s="8"/>
      <c r="G619" s="8"/>
      <c r="H619" s="7"/>
      <c r="I619" s="8"/>
      <c r="J619" s="8"/>
      <c r="K619" s="8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7"/>
      <c r="D620" s="116"/>
      <c r="E620" s="116"/>
      <c r="F620" s="8"/>
      <c r="G620" s="8"/>
      <c r="H620" s="7"/>
      <c r="I620" s="8"/>
      <c r="J620" s="8"/>
      <c r="K620" s="8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7"/>
      <c r="D621" s="116"/>
      <c r="E621" s="116"/>
      <c r="F621" s="8"/>
      <c r="G621" s="8"/>
      <c r="H621" s="7"/>
      <c r="I621" s="8"/>
      <c r="J621" s="8"/>
      <c r="K621" s="8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7"/>
      <c r="D622" s="116"/>
      <c r="E622" s="116"/>
      <c r="F622" s="8"/>
      <c r="G622" s="8"/>
      <c r="H622" s="7"/>
      <c r="I622" s="8"/>
      <c r="J622" s="8"/>
      <c r="K622" s="8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7"/>
      <c r="D623" s="116"/>
      <c r="E623" s="116"/>
      <c r="F623" s="8"/>
      <c r="G623" s="8"/>
      <c r="H623" s="7"/>
      <c r="I623" s="8"/>
      <c r="J623" s="8"/>
      <c r="K623" s="8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7"/>
      <c r="D624" s="116"/>
      <c r="E624" s="116"/>
      <c r="F624" s="8"/>
      <c r="G624" s="8"/>
      <c r="H624" s="7"/>
      <c r="I624" s="8"/>
      <c r="J624" s="8"/>
      <c r="K624" s="8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7"/>
      <c r="D625" s="116"/>
      <c r="E625" s="116"/>
      <c r="F625" s="8"/>
      <c r="G625" s="8"/>
      <c r="H625" s="7"/>
      <c r="I625" s="8"/>
      <c r="J625" s="8"/>
      <c r="K625" s="8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7"/>
      <c r="D626" s="116"/>
      <c r="E626" s="116"/>
      <c r="F626" s="8"/>
      <c r="G626" s="8"/>
      <c r="H626" s="7"/>
      <c r="I626" s="8"/>
      <c r="J626" s="8"/>
      <c r="K626" s="8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7"/>
      <c r="D627" s="116"/>
      <c r="E627" s="116"/>
      <c r="F627" s="8"/>
      <c r="G627" s="8"/>
      <c r="H627" s="7"/>
      <c r="I627" s="8"/>
      <c r="J627" s="8"/>
      <c r="K627" s="8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7"/>
      <c r="D628" s="116"/>
      <c r="E628" s="116"/>
      <c r="F628" s="8"/>
      <c r="G628" s="8"/>
      <c r="H628" s="7"/>
      <c r="I628" s="8"/>
      <c r="J628" s="8"/>
      <c r="K628" s="8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7"/>
      <c r="D629" s="116"/>
      <c r="E629" s="116"/>
      <c r="F629" s="8"/>
      <c r="G629" s="8"/>
      <c r="H629" s="7"/>
      <c r="I629" s="8"/>
      <c r="J629" s="8"/>
      <c r="K629" s="8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7"/>
      <c r="D630" s="116"/>
      <c r="E630" s="116"/>
      <c r="F630" s="8"/>
      <c r="G630" s="8"/>
      <c r="H630" s="7"/>
      <c r="I630" s="8"/>
      <c r="J630" s="8"/>
      <c r="K630" s="8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7"/>
      <c r="D631" s="116"/>
      <c r="E631" s="116"/>
      <c r="F631" s="8"/>
      <c r="G631" s="8"/>
      <c r="H631" s="7"/>
      <c r="I631" s="8"/>
      <c r="J631" s="8"/>
      <c r="K631" s="8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7"/>
      <c r="D632" s="116"/>
      <c r="E632" s="116"/>
      <c r="F632" s="8"/>
      <c r="G632" s="8"/>
      <c r="H632" s="7"/>
      <c r="I632" s="8"/>
      <c r="J632" s="8"/>
      <c r="K632" s="8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7"/>
      <c r="D633" s="116"/>
      <c r="E633" s="116"/>
      <c r="F633" s="8"/>
      <c r="G633" s="8"/>
      <c r="H633" s="7"/>
      <c r="I633" s="8"/>
      <c r="J633" s="8"/>
      <c r="K633" s="8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7"/>
      <c r="D634" s="116"/>
      <c r="E634" s="116"/>
      <c r="F634" s="8"/>
      <c r="G634" s="8"/>
      <c r="H634" s="7"/>
      <c r="I634" s="8"/>
      <c r="J634" s="8"/>
      <c r="K634" s="8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7"/>
      <c r="D635" s="116"/>
      <c r="E635" s="116"/>
      <c r="F635" s="8"/>
      <c r="G635" s="8"/>
      <c r="H635" s="7"/>
      <c r="I635" s="8"/>
      <c r="J635" s="8"/>
      <c r="K635" s="8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7"/>
      <c r="D636" s="116"/>
      <c r="E636" s="116"/>
      <c r="F636" s="8"/>
      <c r="G636" s="8"/>
      <c r="H636" s="7"/>
      <c r="I636" s="8"/>
      <c r="J636" s="8"/>
      <c r="K636" s="8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7"/>
      <c r="D637" s="116"/>
      <c r="E637" s="116"/>
      <c r="F637" s="8"/>
      <c r="G637" s="8"/>
      <c r="H637" s="7"/>
      <c r="I637" s="8"/>
      <c r="J637" s="8"/>
      <c r="K637" s="8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7"/>
      <c r="D638" s="116"/>
      <c r="E638" s="116"/>
      <c r="F638" s="8"/>
      <c r="G638" s="8"/>
      <c r="H638" s="7"/>
      <c r="I638" s="8"/>
      <c r="J638" s="8"/>
      <c r="K638" s="8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7"/>
      <c r="D639" s="116"/>
      <c r="E639" s="116"/>
      <c r="F639" s="8"/>
      <c r="G639" s="8"/>
      <c r="H639" s="7"/>
      <c r="I639" s="8"/>
      <c r="J639" s="8"/>
      <c r="K639" s="8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7"/>
      <c r="D640" s="116"/>
      <c r="E640" s="116"/>
      <c r="F640" s="8"/>
      <c r="G640" s="8"/>
      <c r="H640" s="7"/>
      <c r="I640" s="8"/>
      <c r="J640" s="8"/>
      <c r="K640" s="8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7"/>
      <c r="D641" s="116"/>
      <c r="E641" s="116"/>
      <c r="F641" s="8"/>
      <c r="G641" s="8"/>
      <c r="H641" s="7"/>
      <c r="I641" s="8"/>
      <c r="J641" s="8"/>
      <c r="K641" s="8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7"/>
      <c r="D642" s="116"/>
      <c r="E642" s="116"/>
      <c r="F642" s="8"/>
      <c r="G642" s="8"/>
      <c r="H642" s="7"/>
      <c r="I642" s="8"/>
      <c r="J642" s="8"/>
      <c r="K642" s="8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7"/>
      <c r="D643" s="116"/>
      <c r="E643" s="116"/>
      <c r="F643" s="8"/>
      <c r="G643" s="8"/>
      <c r="H643" s="7"/>
      <c r="I643" s="8"/>
      <c r="J643" s="8"/>
      <c r="K643" s="8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7"/>
      <c r="D644" s="116"/>
      <c r="E644" s="116"/>
      <c r="F644" s="8"/>
      <c r="G644" s="8"/>
      <c r="H644" s="7"/>
      <c r="I644" s="8"/>
      <c r="J644" s="8"/>
      <c r="K644" s="8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7"/>
      <c r="D645" s="116"/>
      <c r="E645" s="116"/>
      <c r="F645" s="8"/>
      <c r="G645" s="8"/>
      <c r="H645" s="7"/>
      <c r="I645" s="8"/>
      <c r="J645" s="8"/>
      <c r="K645" s="8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7"/>
      <c r="D646" s="116"/>
      <c r="E646" s="116"/>
      <c r="F646" s="8"/>
      <c r="G646" s="8"/>
      <c r="H646" s="7"/>
      <c r="I646" s="8"/>
      <c r="J646" s="8"/>
      <c r="K646" s="8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7"/>
      <c r="D647" s="116"/>
      <c r="E647" s="116"/>
      <c r="F647" s="8"/>
      <c r="G647" s="8"/>
      <c r="H647" s="7"/>
      <c r="I647" s="8"/>
      <c r="J647" s="8"/>
      <c r="K647" s="8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7"/>
      <c r="D648" s="116"/>
      <c r="E648" s="116"/>
      <c r="F648" s="8"/>
      <c r="G648" s="8"/>
      <c r="H648" s="7"/>
      <c r="I648" s="8"/>
      <c r="J648" s="8"/>
      <c r="K648" s="8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7"/>
      <c r="D649" s="116"/>
      <c r="E649" s="116"/>
      <c r="F649" s="8"/>
      <c r="G649" s="8"/>
      <c r="H649" s="7"/>
      <c r="I649" s="8"/>
      <c r="J649" s="8"/>
      <c r="K649" s="8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7"/>
      <c r="D650" s="116"/>
      <c r="E650" s="116"/>
      <c r="F650" s="8"/>
      <c r="G650" s="8"/>
      <c r="H650" s="7"/>
      <c r="I650" s="8"/>
      <c r="J650" s="8"/>
      <c r="K650" s="8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7"/>
      <c r="D651" s="116"/>
      <c r="E651" s="116"/>
      <c r="F651" s="8"/>
      <c r="G651" s="8"/>
      <c r="H651" s="7"/>
      <c r="I651" s="8"/>
      <c r="J651" s="8"/>
      <c r="K651" s="8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7"/>
      <c r="D652" s="116"/>
      <c r="E652" s="116"/>
      <c r="F652" s="8"/>
      <c r="G652" s="8"/>
      <c r="H652" s="7"/>
      <c r="I652" s="8"/>
      <c r="J652" s="8"/>
      <c r="K652" s="8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7"/>
      <c r="D653" s="116"/>
      <c r="E653" s="116"/>
      <c r="F653" s="8"/>
      <c r="G653" s="8"/>
      <c r="H653" s="7"/>
      <c r="I653" s="8"/>
      <c r="J653" s="8"/>
      <c r="K653" s="8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7"/>
      <c r="D654" s="116"/>
      <c r="E654" s="116"/>
      <c r="F654" s="8"/>
      <c r="G654" s="8"/>
      <c r="H654" s="7"/>
      <c r="I654" s="8"/>
      <c r="J654" s="8"/>
      <c r="K654" s="8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7"/>
      <c r="D655" s="116"/>
      <c r="E655" s="116"/>
      <c r="F655" s="8"/>
      <c r="G655" s="8"/>
      <c r="H655" s="7"/>
      <c r="I655" s="8"/>
      <c r="J655" s="8"/>
      <c r="K655" s="8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7"/>
      <c r="D656" s="116"/>
      <c r="E656" s="116"/>
      <c r="F656" s="8"/>
      <c r="G656" s="8"/>
      <c r="H656" s="7"/>
      <c r="I656" s="8"/>
      <c r="J656" s="8"/>
      <c r="K656" s="8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7"/>
      <c r="D657" s="116"/>
      <c r="E657" s="116"/>
      <c r="F657" s="8"/>
      <c r="G657" s="8"/>
      <c r="H657" s="7"/>
      <c r="I657" s="8"/>
      <c r="J657" s="8"/>
      <c r="K657" s="8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7"/>
      <c r="D658" s="116"/>
      <c r="E658" s="116"/>
      <c r="F658" s="8"/>
      <c r="G658" s="8"/>
      <c r="H658" s="7"/>
      <c r="I658" s="8"/>
      <c r="J658" s="8"/>
      <c r="K658" s="8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7"/>
      <c r="D659" s="116"/>
      <c r="E659" s="116"/>
      <c r="F659" s="8"/>
      <c r="G659" s="8"/>
      <c r="H659" s="7"/>
      <c r="I659" s="8"/>
      <c r="J659" s="8"/>
      <c r="K659" s="8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7"/>
      <c r="D660" s="116"/>
      <c r="E660" s="116"/>
      <c r="F660" s="8"/>
      <c r="G660" s="8"/>
      <c r="H660" s="7"/>
      <c r="I660" s="8"/>
      <c r="J660" s="8"/>
      <c r="K660" s="8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7"/>
      <c r="D661" s="116"/>
      <c r="E661" s="116"/>
      <c r="F661" s="8"/>
      <c r="G661" s="8"/>
      <c r="H661" s="7"/>
      <c r="I661" s="8"/>
      <c r="J661" s="8"/>
      <c r="K661" s="8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7"/>
      <c r="D662" s="116"/>
      <c r="E662" s="116"/>
      <c r="F662" s="8"/>
      <c r="G662" s="8"/>
      <c r="H662" s="7"/>
      <c r="I662" s="8"/>
      <c r="J662" s="8"/>
      <c r="K662" s="8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7"/>
      <c r="D663" s="116"/>
      <c r="E663" s="116"/>
      <c r="F663" s="8"/>
      <c r="G663" s="8"/>
      <c r="H663" s="7"/>
      <c r="I663" s="8"/>
      <c r="J663" s="8"/>
      <c r="K663" s="8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7"/>
      <c r="D664" s="116"/>
      <c r="E664" s="116"/>
      <c r="F664" s="8"/>
      <c r="G664" s="8"/>
      <c r="H664" s="7"/>
      <c r="I664" s="8"/>
      <c r="J664" s="8"/>
      <c r="K664" s="8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7"/>
      <c r="D665" s="116"/>
      <c r="E665" s="116"/>
      <c r="F665" s="8"/>
      <c r="G665" s="8"/>
      <c r="H665" s="7"/>
      <c r="I665" s="8"/>
      <c r="J665" s="8"/>
      <c r="K665" s="8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7"/>
      <c r="D666" s="116"/>
      <c r="E666" s="116"/>
      <c r="F666" s="8"/>
      <c r="G666" s="8"/>
      <c r="H666" s="7"/>
      <c r="I666" s="8"/>
      <c r="J666" s="8"/>
      <c r="K666" s="8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7"/>
      <c r="D667" s="116"/>
      <c r="E667" s="116"/>
      <c r="F667" s="8"/>
      <c r="G667" s="8"/>
      <c r="H667" s="7"/>
      <c r="I667" s="8"/>
      <c r="J667" s="8"/>
      <c r="K667" s="8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7"/>
      <c r="D668" s="116"/>
      <c r="E668" s="116"/>
      <c r="F668" s="8"/>
      <c r="G668" s="8"/>
      <c r="H668" s="7"/>
      <c r="I668" s="8"/>
      <c r="J668" s="8"/>
      <c r="K668" s="8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7"/>
      <c r="D669" s="116"/>
      <c r="E669" s="116"/>
      <c r="F669" s="8"/>
      <c r="G669" s="8"/>
      <c r="H669" s="7"/>
      <c r="I669" s="8"/>
      <c r="J669" s="8"/>
      <c r="K669" s="8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7"/>
      <c r="D670" s="116"/>
      <c r="E670" s="116"/>
      <c r="F670" s="8"/>
      <c r="G670" s="8"/>
      <c r="H670" s="7"/>
      <c r="I670" s="8"/>
      <c r="J670" s="8"/>
      <c r="K670" s="8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7"/>
      <c r="D671" s="116"/>
      <c r="E671" s="116"/>
      <c r="F671" s="8"/>
      <c r="G671" s="8"/>
      <c r="H671" s="7"/>
      <c r="I671" s="8"/>
      <c r="J671" s="8"/>
      <c r="K671" s="8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7"/>
      <c r="D672" s="116"/>
      <c r="E672" s="116"/>
      <c r="F672" s="8"/>
      <c r="G672" s="8"/>
      <c r="H672" s="7"/>
      <c r="I672" s="8"/>
      <c r="J672" s="8"/>
      <c r="K672" s="8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7"/>
      <c r="D673" s="116"/>
      <c r="E673" s="116"/>
      <c r="F673" s="8"/>
      <c r="G673" s="8"/>
      <c r="H673" s="7"/>
      <c r="I673" s="8"/>
      <c r="J673" s="8"/>
      <c r="K673" s="8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7"/>
      <c r="D674" s="116"/>
      <c r="E674" s="116"/>
      <c r="F674" s="8"/>
      <c r="G674" s="8"/>
      <c r="H674" s="7"/>
      <c r="I674" s="8"/>
      <c r="J674" s="8"/>
      <c r="K674" s="8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7"/>
      <c r="D675" s="116"/>
      <c r="E675" s="116"/>
      <c r="F675" s="8"/>
      <c r="G675" s="8"/>
      <c r="H675" s="7"/>
      <c r="I675" s="8"/>
      <c r="J675" s="8"/>
      <c r="K675" s="8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7"/>
      <c r="D676" s="116"/>
      <c r="E676" s="116"/>
      <c r="F676" s="8"/>
      <c r="G676" s="8"/>
      <c r="H676" s="7"/>
      <c r="I676" s="8"/>
      <c r="J676" s="8"/>
      <c r="K676" s="8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7"/>
      <c r="D677" s="116"/>
      <c r="E677" s="116"/>
      <c r="F677" s="8"/>
      <c r="G677" s="8"/>
      <c r="H677" s="7"/>
      <c r="I677" s="8"/>
      <c r="J677" s="8"/>
      <c r="K677" s="8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7"/>
      <c r="D678" s="116"/>
      <c r="E678" s="116"/>
      <c r="F678" s="8"/>
      <c r="G678" s="8"/>
      <c r="H678" s="7"/>
      <c r="I678" s="8"/>
      <c r="J678" s="8"/>
      <c r="K678" s="8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7"/>
      <c r="D679" s="116"/>
      <c r="E679" s="116"/>
      <c r="F679" s="8"/>
      <c r="G679" s="8"/>
      <c r="H679" s="7"/>
      <c r="I679" s="8"/>
      <c r="J679" s="8"/>
      <c r="K679" s="8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7"/>
      <c r="D680" s="116"/>
      <c r="E680" s="116"/>
      <c r="F680" s="8"/>
      <c r="G680" s="8"/>
      <c r="H680" s="7"/>
      <c r="I680" s="8"/>
      <c r="J680" s="8"/>
      <c r="K680" s="8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7"/>
      <c r="D681" s="116"/>
      <c r="E681" s="116"/>
      <c r="F681" s="8"/>
      <c r="G681" s="8"/>
      <c r="H681" s="7"/>
      <c r="I681" s="8"/>
      <c r="J681" s="8"/>
      <c r="K681" s="8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7"/>
      <c r="D682" s="116"/>
      <c r="E682" s="116"/>
      <c r="F682" s="8"/>
      <c r="G682" s="8"/>
      <c r="H682" s="7"/>
      <c r="I682" s="8"/>
      <c r="J682" s="8"/>
      <c r="K682" s="8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7"/>
      <c r="D683" s="116"/>
      <c r="E683" s="116"/>
      <c r="F683" s="8"/>
      <c r="G683" s="8"/>
      <c r="H683" s="7"/>
      <c r="I683" s="8"/>
      <c r="J683" s="8"/>
      <c r="K683" s="8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7"/>
      <c r="D684" s="116"/>
      <c r="E684" s="116"/>
      <c r="F684" s="8"/>
      <c r="G684" s="8"/>
      <c r="H684" s="7"/>
      <c r="I684" s="8"/>
      <c r="J684" s="8"/>
      <c r="K684" s="8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7"/>
      <c r="D685" s="116"/>
      <c r="E685" s="116"/>
      <c r="F685" s="8"/>
      <c r="G685" s="8"/>
      <c r="H685" s="7"/>
      <c r="I685" s="8"/>
      <c r="J685" s="8"/>
      <c r="K685" s="8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7"/>
      <c r="D686" s="116"/>
      <c r="E686" s="116"/>
      <c r="F686" s="8"/>
      <c r="G686" s="8"/>
      <c r="H686" s="7"/>
      <c r="I686" s="8"/>
      <c r="J686" s="8"/>
      <c r="K686" s="8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7"/>
      <c r="D687" s="116"/>
      <c r="E687" s="116"/>
      <c r="F687" s="8"/>
      <c r="G687" s="8"/>
      <c r="H687" s="7"/>
      <c r="I687" s="8"/>
      <c r="J687" s="8"/>
      <c r="K687" s="8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7"/>
      <c r="D688" s="116"/>
      <c r="E688" s="116"/>
      <c r="F688" s="8"/>
      <c r="G688" s="8"/>
      <c r="H688" s="7"/>
      <c r="I688" s="8"/>
      <c r="J688" s="8"/>
      <c r="K688" s="8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7"/>
      <c r="D689" s="116"/>
      <c r="E689" s="116"/>
      <c r="F689" s="8"/>
      <c r="G689" s="8"/>
      <c r="H689" s="7"/>
      <c r="I689" s="8"/>
      <c r="J689" s="8"/>
      <c r="K689" s="8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7"/>
      <c r="D690" s="116"/>
      <c r="E690" s="116"/>
      <c r="F690" s="8"/>
      <c r="G690" s="8"/>
      <c r="H690" s="7"/>
      <c r="I690" s="8"/>
      <c r="J690" s="8"/>
      <c r="K690" s="8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7"/>
      <c r="D691" s="116"/>
      <c r="E691" s="116"/>
      <c r="F691" s="8"/>
      <c r="G691" s="8"/>
      <c r="H691" s="7"/>
      <c r="I691" s="8"/>
      <c r="J691" s="8"/>
      <c r="K691" s="8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7"/>
      <c r="D692" s="116"/>
      <c r="E692" s="116"/>
      <c r="F692" s="8"/>
      <c r="G692" s="8"/>
      <c r="H692" s="7"/>
      <c r="I692" s="8"/>
      <c r="J692" s="8"/>
      <c r="K692" s="8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7"/>
      <c r="D693" s="116"/>
      <c r="E693" s="116"/>
      <c r="F693" s="8"/>
      <c r="G693" s="8"/>
      <c r="H693" s="7"/>
      <c r="I693" s="8"/>
      <c r="J693" s="8"/>
      <c r="K693" s="8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7"/>
      <c r="D694" s="116"/>
      <c r="E694" s="116"/>
      <c r="F694" s="8"/>
      <c r="G694" s="8"/>
      <c r="H694" s="7"/>
      <c r="I694" s="8"/>
      <c r="J694" s="8"/>
      <c r="K694" s="8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7"/>
      <c r="D695" s="116"/>
      <c r="E695" s="116"/>
      <c r="F695" s="8"/>
      <c r="G695" s="8"/>
      <c r="H695" s="7"/>
      <c r="I695" s="8"/>
      <c r="J695" s="8"/>
      <c r="K695" s="8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7"/>
      <c r="D696" s="116"/>
      <c r="E696" s="116"/>
      <c r="F696" s="8"/>
      <c r="G696" s="8"/>
      <c r="H696" s="7"/>
      <c r="I696" s="8"/>
      <c r="J696" s="8"/>
      <c r="K696" s="8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7"/>
      <c r="D697" s="116"/>
      <c r="E697" s="116"/>
      <c r="F697" s="8"/>
      <c r="G697" s="8"/>
      <c r="H697" s="7"/>
      <c r="I697" s="8"/>
      <c r="J697" s="8"/>
      <c r="K697" s="8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7"/>
      <c r="D698" s="116"/>
      <c r="E698" s="116"/>
      <c r="F698" s="8"/>
      <c r="G698" s="8"/>
      <c r="H698" s="7"/>
      <c r="I698" s="8"/>
      <c r="J698" s="8"/>
      <c r="K698" s="8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7"/>
      <c r="D699" s="116"/>
      <c r="E699" s="116"/>
      <c r="F699" s="8"/>
      <c r="G699" s="8"/>
      <c r="H699" s="7"/>
      <c r="I699" s="8"/>
      <c r="J699" s="8"/>
      <c r="K699" s="8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7"/>
      <c r="D700" s="116"/>
      <c r="E700" s="116"/>
      <c r="F700" s="8"/>
      <c r="G700" s="8"/>
      <c r="H700" s="7"/>
      <c r="I700" s="8"/>
      <c r="J700" s="8"/>
      <c r="K700" s="8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7"/>
      <c r="D701" s="116"/>
      <c r="E701" s="116"/>
      <c r="F701" s="8"/>
      <c r="G701" s="8"/>
      <c r="H701" s="7"/>
      <c r="I701" s="8"/>
      <c r="J701" s="8"/>
      <c r="K701" s="8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7"/>
      <c r="D702" s="116"/>
      <c r="E702" s="116"/>
      <c r="F702" s="8"/>
      <c r="G702" s="8"/>
      <c r="H702" s="7"/>
      <c r="I702" s="8"/>
      <c r="J702" s="8"/>
      <c r="K702" s="8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7"/>
      <c r="D703" s="116"/>
      <c r="E703" s="116"/>
      <c r="F703" s="8"/>
      <c r="G703" s="8"/>
      <c r="H703" s="7"/>
      <c r="I703" s="8"/>
      <c r="J703" s="8"/>
      <c r="K703" s="8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7"/>
      <c r="D704" s="116"/>
      <c r="E704" s="116"/>
      <c r="F704" s="8"/>
      <c r="G704" s="8"/>
      <c r="H704" s="7"/>
      <c r="I704" s="8"/>
      <c r="J704" s="8"/>
      <c r="K704" s="8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7"/>
      <c r="D705" s="116"/>
      <c r="E705" s="116"/>
      <c r="F705" s="8"/>
      <c r="G705" s="8"/>
      <c r="H705" s="7"/>
      <c r="I705" s="8"/>
      <c r="J705" s="8"/>
      <c r="K705" s="8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7"/>
      <c r="D706" s="116"/>
      <c r="E706" s="116"/>
      <c r="F706" s="8"/>
      <c r="G706" s="8"/>
      <c r="H706" s="7"/>
      <c r="I706" s="8"/>
      <c r="J706" s="8"/>
      <c r="K706" s="8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7"/>
      <c r="D707" s="116"/>
      <c r="E707" s="116"/>
      <c r="F707" s="8"/>
      <c r="G707" s="8"/>
      <c r="H707" s="7"/>
      <c r="I707" s="8"/>
      <c r="J707" s="8"/>
      <c r="K707" s="8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7"/>
      <c r="D708" s="116"/>
      <c r="E708" s="116"/>
      <c r="F708" s="8"/>
      <c r="G708" s="8"/>
      <c r="H708" s="7"/>
      <c r="I708" s="8"/>
      <c r="J708" s="8"/>
      <c r="K708" s="8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7"/>
      <c r="D709" s="116"/>
      <c r="E709" s="116"/>
      <c r="F709" s="8"/>
      <c r="G709" s="8"/>
      <c r="H709" s="7"/>
      <c r="I709" s="8"/>
      <c r="J709" s="8"/>
      <c r="K709" s="8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7"/>
      <c r="D710" s="116"/>
      <c r="E710" s="116"/>
      <c r="F710" s="8"/>
      <c r="G710" s="8"/>
      <c r="H710" s="7"/>
      <c r="I710" s="8"/>
      <c r="J710" s="8"/>
      <c r="K710" s="8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7"/>
      <c r="D711" s="116"/>
      <c r="E711" s="116"/>
      <c r="F711" s="8"/>
      <c r="G711" s="8"/>
      <c r="H711" s="7"/>
      <c r="I711" s="8"/>
      <c r="J711" s="8"/>
      <c r="K711" s="8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7"/>
      <c r="D712" s="116"/>
      <c r="E712" s="116"/>
      <c r="F712" s="8"/>
      <c r="G712" s="8"/>
      <c r="H712" s="7"/>
      <c r="I712" s="8"/>
      <c r="J712" s="8"/>
      <c r="K712" s="8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7"/>
      <c r="D713" s="116"/>
      <c r="E713" s="116"/>
      <c r="F713" s="8"/>
      <c r="G713" s="8"/>
      <c r="H713" s="7"/>
      <c r="I713" s="8"/>
      <c r="J713" s="8"/>
      <c r="K713" s="8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7"/>
      <c r="D714" s="116"/>
      <c r="E714" s="116"/>
      <c r="F714" s="8"/>
      <c r="G714" s="8"/>
      <c r="H714" s="7"/>
      <c r="I714" s="8"/>
      <c r="J714" s="8"/>
      <c r="K714" s="8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7"/>
      <c r="D715" s="116"/>
      <c r="E715" s="116"/>
      <c r="F715" s="8"/>
      <c r="G715" s="8"/>
      <c r="H715" s="7"/>
      <c r="I715" s="8"/>
      <c r="J715" s="8"/>
      <c r="K715" s="8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7"/>
      <c r="D716" s="116"/>
      <c r="E716" s="116"/>
      <c r="F716" s="8"/>
      <c r="G716" s="8"/>
      <c r="H716" s="7"/>
      <c r="I716" s="8"/>
      <c r="J716" s="8"/>
      <c r="K716" s="8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7"/>
      <c r="D717" s="116"/>
      <c r="E717" s="116"/>
      <c r="F717" s="8"/>
      <c r="G717" s="8"/>
      <c r="H717" s="7"/>
      <c r="I717" s="8"/>
      <c r="J717" s="8"/>
      <c r="K717" s="8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7"/>
      <c r="D718" s="116"/>
      <c r="E718" s="116"/>
      <c r="F718" s="8"/>
      <c r="G718" s="8"/>
      <c r="H718" s="7"/>
      <c r="I718" s="8"/>
      <c r="J718" s="8"/>
      <c r="K718" s="8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7"/>
      <c r="D719" s="116"/>
      <c r="E719" s="116"/>
      <c r="F719" s="8"/>
      <c r="G719" s="8"/>
      <c r="H719" s="7"/>
      <c r="I719" s="8"/>
      <c r="J719" s="8"/>
      <c r="K719" s="8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7"/>
      <c r="D720" s="116"/>
      <c r="E720" s="116"/>
      <c r="F720" s="8"/>
      <c r="G720" s="8"/>
      <c r="H720" s="7"/>
      <c r="I720" s="8"/>
      <c r="J720" s="8"/>
      <c r="K720" s="8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7"/>
      <c r="D721" s="116"/>
      <c r="E721" s="116"/>
      <c r="F721" s="8"/>
      <c r="G721" s="8"/>
      <c r="H721" s="7"/>
      <c r="I721" s="8"/>
      <c r="J721" s="8"/>
      <c r="K721" s="8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7"/>
      <c r="D722" s="116"/>
      <c r="E722" s="116"/>
      <c r="F722" s="8"/>
      <c r="G722" s="8"/>
      <c r="H722" s="7"/>
      <c r="I722" s="8"/>
      <c r="J722" s="8"/>
      <c r="K722" s="8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7"/>
      <c r="D723" s="116"/>
      <c r="E723" s="116"/>
      <c r="F723" s="8"/>
      <c r="G723" s="8"/>
      <c r="H723" s="7"/>
      <c r="I723" s="8"/>
      <c r="J723" s="8"/>
      <c r="K723" s="8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7"/>
      <c r="D724" s="116"/>
      <c r="E724" s="116"/>
      <c r="F724" s="8"/>
      <c r="G724" s="8"/>
      <c r="H724" s="7"/>
      <c r="I724" s="8"/>
      <c r="J724" s="8"/>
      <c r="K724" s="8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7"/>
      <c r="D725" s="116"/>
      <c r="E725" s="116"/>
      <c r="F725" s="8"/>
      <c r="G725" s="8"/>
      <c r="H725" s="7"/>
      <c r="I725" s="8"/>
      <c r="J725" s="8"/>
      <c r="K725" s="8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7"/>
      <c r="D726" s="116"/>
      <c r="E726" s="116"/>
      <c r="F726" s="8"/>
      <c r="G726" s="8"/>
      <c r="H726" s="7"/>
      <c r="I726" s="8"/>
      <c r="J726" s="8"/>
      <c r="K726" s="8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7"/>
      <c r="D727" s="116"/>
      <c r="E727" s="116"/>
      <c r="F727" s="8"/>
      <c r="G727" s="8"/>
      <c r="H727" s="7"/>
      <c r="I727" s="8"/>
      <c r="J727" s="8"/>
      <c r="K727" s="8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7"/>
      <c r="D728" s="116"/>
      <c r="E728" s="116"/>
      <c r="F728" s="8"/>
      <c r="G728" s="8"/>
      <c r="H728" s="7"/>
      <c r="I728" s="8"/>
      <c r="J728" s="8"/>
      <c r="K728" s="8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7"/>
      <c r="D729" s="116"/>
      <c r="E729" s="116"/>
      <c r="F729" s="8"/>
      <c r="G729" s="8"/>
      <c r="H729" s="7"/>
      <c r="I729" s="8"/>
      <c r="J729" s="8"/>
      <c r="K729" s="8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7"/>
      <c r="D730" s="116"/>
      <c r="E730" s="116"/>
      <c r="F730" s="8"/>
      <c r="G730" s="8"/>
      <c r="H730" s="7"/>
      <c r="I730" s="8"/>
      <c r="J730" s="8"/>
      <c r="K730" s="8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7"/>
      <c r="D731" s="116"/>
      <c r="E731" s="116"/>
      <c r="F731" s="8"/>
      <c r="G731" s="8"/>
      <c r="H731" s="7"/>
      <c r="I731" s="8"/>
      <c r="J731" s="8"/>
      <c r="K731" s="8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7"/>
      <c r="D732" s="116"/>
      <c r="E732" s="116"/>
      <c r="F732" s="8"/>
      <c r="G732" s="8"/>
      <c r="H732" s="7"/>
      <c r="I732" s="8"/>
      <c r="J732" s="8"/>
      <c r="K732" s="8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7"/>
      <c r="D733" s="116"/>
      <c r="E733" s="116"/>
      <c r="F733" s="8"/>
      <c r="G733" s="8"/>
      <c r="H733" s="7"/>
      <c r="I733" s="8"/>
      <c r="J733" s="8"/>
      <c r="K733" s="8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7"/>
      <c r="D734" s="116"/>
      <c r="E734" s="116"/>
      <c r="F734" s="8"/>
      <c r="G734" s="8"/>
      <c r="H734" s="7"/>
      <c r="I734" s="8"/>
      <c r="J734" s="8"/>
      <c r="K734" s="8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7"/>
      <c r="D735" s="116"/>
      <c r="E735" s="116"/>
      <c r="F735" s="8"/>
      <c r="G735" s="8"/>
      <c r="H735" s="7"/>
      <c r="I735" s="8"/>
      <c r="J735" s="8"/>
      <c r="K735" s="8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7"/>
      <c r="D736" s="116"/>
      <c r="E736" s="116"/>
      <c r="F736" s="8"/>
      <c r="G736" s="8"/>
      <c r="H736" s="7"/>
      <c r="I736" s="8"/>
      <c r="J736" s="8"/>
      <c r="K736" s="8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7"/>
      <c r="D737" s="116"/>
      <c r="E737" s="116"/>
      <c r="F737" s="8"/>
      <c r="G737" s="8"/>
      <c r="H737" s="7"/>
      <c r="I737" s="8"/>
      <c r="J737" s="8"/>
      <c r="K737" s="8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7"/>
      <c r="D738" s="116"/>
      <c r="E738" s="116"/>
      <c r="F738" s="8"/>
      <c r="G738" s="8"/>
      <c r="H738" s="7"/>
      <c r="I738" s="8"/>
      <c r="J738" s="8"/>
      <c r="K738" s="8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7"/>
      <c r="D739" s="116"/>
      <c r="E739" s="116"/>
      <c r="F739" s="8"/>
      <c r="G739" s="8"/>
      <c r="H739" s="7"/>
      <c r="I739" s="8"/>
      <c r="J739" s="8"/>
      <c r="K739" s="8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7"/>
      <c r="D740" s="116"/>
      <c r="E740" s="116"/>
      <c r="F740" s="8"/>
      <c r="G740" s="8"/>
      <c r="H740" s="7"/>
      <c r="I740" s="8"/>
      <c r="J740" s="8"/>
      <c r="K740" s="8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7"/>
      <c r="D741" s="116"/>
      <c r="E741" s="116"/>
      <c r="F741" s="8"/>
      <c r="G741" s="8"/>
      <c r="H741" s="7"/>
      <c r="I741" s="8"/>
      <c r="J741" s="8"/>
      <c r="K741" s="8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7"/>
      <c r="D742" s="116"/>
      <c r="E742" s="116"/>
      <c r="F742" s="8"/>
      <c r="G742" s="8"/>
      <c r="H742" s="7"/>
      <c r="I742" s="8"/>
      <c r="J742" s="8"/>
      <c r="K742" s="8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7"/>
      <c r="D743" s="116"/>
      <c r="E743" s="116"/>
      <c r="F743" s="8"/>
      <c r="G743" s="8"/>
      <c r="H743" s="7"/>
      <c r="I743" s="8"/>
      <c r="J743" s="8"/>
      <c r="K743" s="8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7"/>
      <c r="D744" s="116"/>
      <c r="E744" s="116"/>
      <c r="F744" s="8"/>
      <c r="G744" s="8"/>
      <c r="H744" s="7"/>
      <c r="I744" s="8"/>
      <c r="J744" s="8"/>
      <c r="K744" s="8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7"/>
      <c r="D745" s="116"/>
      <c r="E745" s="116"/>
      <c r="F745" s="8"/>
      <c r="G745" s="8"/>
      <c r="H745" s="7"/>
      <c r="I745" s="8"/>
      <c r="J745" s="8"/>
      <c r="K745" s="8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7"/>
      <c r="D746" s="116"/>
      <c r="E746" s="116"/>
      <c r="F746" s="8"/>
      <c r="G746" s="8"/>
      <c r="H746" s="7"/>
      <c r="I746" s="8"/>
      <c r="J746" s="8"/>
      <c r="K746" s="8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7"/>
      <c r="D747" s="116"/>
      <c r="E747" s="116"/>
      <c r="F747" s="8"/>
      <c r="G747" s="8"/>
      <c r="H747" s="7"/>
      <c r="I747" s="8"/>
      <c r="J747" s="8"/>
      <c r="K747" s="8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7"/>
      <c r="D748" s="116"/>
      <c r="E748" s="116"/>
      <c r="F748" s="8"/>
      <c r="G748" s="8"/>
      <c r="H748" s="7"/>
      <c r="I748" s="8"/>
      <c r="J748" s="8"/>
      <c r="K748" s="8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7"/>
      <c r="D749" s="116"/>
      <c r="E749" s="116"/>
      <c r="F749" s="8"/>
      <c r="G749" s="8"/>
      <c r="H749" s="7"/>
      <c r="I749" s="8"/>
      <c r="J749" s="8"/>
      <c r="K749" s="8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7"/>
      <c r="D750" s="116"/>
      <c r="E750" s="116"/>
      <c r="F750" s="8"/>
      <c r="G750" s="8"/>
      <c r="H750" s="7"/>
      <c r="I750" s="8"/>
      <c r="J750" s="8"/>
      <c r="K750" s="8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7"/>
      <c r="D751" s="116"/>
      <c r="E751" s="116"/>
      <c r="F751" s="8"/>
      <c r="G751" s="8"/>
      <c r="H751" s="7"/>
      <c r="I751" s="8"/>
      <c r="J751" s="8"/>
      <c r="K751" s="8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7"/>
      <c r="D752" s="116"/>
      <c r="E752" s="116"/>
      <c r="F752" s="8"/>
      <c r="G752" s="8"/>
      <c r="H752" s="7"/>
      <c r="I752" s="8"/>
      <c r="J752" s="8"/>
      <c r="K752" s="8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7"/>
      <c r="D753" s="116"/>
      <c r="E753" s="116"/>
      <c r="F753" s="8"/>
      <c r="G753" s="8"/>
      <c r="H753" s="7"/>
      <c r="I753" s="8"/>
      <c r="J753" s="8"/>
      <c r="K753" s="8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7"/>
      <c r="D754" s="116"/>
      <c r="E754" s="116"/>
      <c r="F754" s="8"/>
      <c r="G754" s="8"/>
      <c r="H754" s="7"/>
      <c r="I754" s="8"/>
      <c r="J754" s="8"/>
      <c r="K754" s="8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7"/>
      <c r="D755" s="116"/>
      <c r="E755" s="116"/>
      <c r="F755" s="8"/>
      <c r="G755" s="8"/>
      <c r="H755" s="7"/>
      <c r="I755" s="8"/>
      <c r="J755" s="8"/>
      <c r="K755" s="8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7"/>
      <c r="D756" s="116"/>
      <c r="E756" s="116"/>
      <c r="F756" s="8"/>
      <c r="G756" s="8"/>
      <c r="H756" s="7"/>
      <c r="I756" s="8"/>
      <c r="J756" s="8"/>
      <c r="K756" s="8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7"/>
      <c r="D757" s="116"/>
      <c r="E757" s="116"/>
      <c r="F757" s="8"/>
      <c r="G757" s="8"/>
      <c r="H757" s="7"/>
      <c r="I757" s="8"/>
      <c r="J757" s="8"/>
      <c r="K757" s="8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7"/>
      <c r="D758" s="116"/>
      <c r="E758" s="116"/>
      <c r="F758" s="8"/>
      <c r="G758" s="8"/>
      <c r="H758" s="7"/>
      <c r="I758" s="8"/>
      <c r="J758" s="8"/>
      <c r="K758" s="8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7"/>
      <c r="D759" s="116"/>
      <c r="E759" s="116"/>
      <c r="F759" s="8"/>
      <c r="G759" s="8"/>
      <c r="H759" s="7"/>
      <c r="I759" s="8"/>
      <c r="J759" s="8"/>
      <c r="K759" s="8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7"/>
      <c r="D760" s="116"/>
      <c r="E760" s="116"/>
      <c r="F760" s="8"/>
      <c r="G760" s="8"/>
      <c r="H760" s="7"/>
      <c r="I760" s="8"/>
      <c r="J760" s="8"/>
      <c r="K760" s="8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7"/>
      <c r="D761" s="116"/>
      <c r="E761" s="116"/>
      <c r="F761" s="8"/>
      <c r="G761" s="8"/>
      <c r="H761" s="7"/>
      <c r="I761" s="8"/>
      <c r="J761" s="8"/>
      <c r="K761" s="8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7"/>
      <c r="D762" s="116"/>
      <c r="E762" s="116"/>
      <c r="F762" s="8"/>
      <c r="G762" s="8"/>
      <c r="H762" s="7"/>
      <c r="I762" s="8"/>
      <c r="J762" s="8"/>
      <c r="K762" s="8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7"/>
      <c r="D763" s="116"/>
      <c r="E763" s="116"/>
      <c r="F763" s="8"/>
      <c r="G763" s="8"/>
      <c r="H763" s="7"/>
      <c r="I763" s="8"/>
      <c r="J763" s="8"/>
      <c r="K763" s="8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7"/>
      <c r="D764" s="116"/>
      <c r="E764" s="116"/>
      <c r="F764" s="8"/>
      <c r="G764" s="8"/>
      <c r="H764" s="7"/>
      <c r="I764" s="8"/>
      <c r="J764" s="8"/>
      <c r="K764" s="8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7"/>
      <c r="D765" s="116"/>
      <c r="E765" s="116"/>
      <c r="F765" s="8"/>
      <c r="G765" s="8"/>
      <c r="H765" s="7"/>
      <c r="I765" s="8"/>
      <c r="J765" s="8"/>
      <c r="K765" s="8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7"/>
      <c r="D766" s="116"/>
      <c r="E766" s="116"/>
      <c r="F766" s="8"/>
      <c r="G766" s="8"/>
      <c r="H766" s="7"/>
      <c r="I766" s="8"/>
      <c r="J766" s="8"/>
      <c r="K766" s="8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7"/>
      <c r="D767" s="116"/>
      <c r="E767" s="116"/>
      <c r="F767" s="8"/>
      <c r="G767" s="8"/>
      <c r="H767" s="7"/>
      <c r="I767" s="8"/>
      <c r="J767" s="8"/>
      <c r="K767" s="8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7"/>
      <c r="D768" s="116"/>
      <c r="E768" s="116"/>
      <c r="F768" s="8"/>
      <c r="G768" s="8"/>
      <c r="H768" s="7"/>
      <c r="I768" s="8"/>
      <c r="J768" s="8"/>
      <c r="K768" s="8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7"/>
      <c r="D769" s="116"/>
      <c r="E769" s="116"/>
      <c r="F769" s="8"/>
      <c r="G769" s="8"/>
      <c r="H769" s="7"/>
      <c r="I769" s="8"/>
      <c r="J769" s="8"/>
      <c r="K769" s="8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7"/>
      <c r="D770" s="116"/>
      <c r="E770" s="116"/>
      <c r="F770" s="8"/>
      <c r="G770" s="8"/>
      <c r="H770" s="7"/>
      <c r="I770" s="8"/>
      <c r="J770" s="8"/>
      <c r="K770" s="8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7"/>
      <c r="D771" s="116"/>
      <c r="E771" s="116"/>
      <c r="F771" s="8"/>
      <c r="G771" s="8"/>
      <c r="H771" s="7"/>
      <c r="I771" s="8"/>
      <c r="J771" s="8"/>
      <c r="K771" s="8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7"/>
      <c r="D772" s="116"/>
      <c r="E772" s="116"/>
      <c r="F772" s="8"/>
      <c r="G772" s="8"/>
      <c r="H772" s="7"/>
      <c r="I772" s="8"/>
      <c r="J772" s="8"/>
      <c r="K772" s="8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7"/>
      <c r="D773" s="116"/>
      <c r="E773" s="116"/>
      <c r="F773" s="8"/>
      <c r="G773" s="8"/>
      <c r="H773" s="7"/>
      <c r="I773" s="8"/>
      <c r="J773" s="8"/>
      <c r="K773" s="8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7"/>
      <c r="D774" s="116"/>
      <c r="E774" s="116"/>
      <c r="F774" s="8"/>
      <c r="G774" s="8"/>
      <c r="H774" s="7"/>
      <c r="I774" s="8"/>
      <c r="J774" s="8"/>
      <c r="K774" s="8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7"/>
      <c r="D775" s="116"/>
      <c r="E775" s="116"/>
      <c r="F775" s="8"/>
      <c r="G775" s="8"/>
      <c r="H775" s="7"/>
      <c r="I775" s="8"/>
      <c r="J775" s="8"/>
      <c r="K775" s="8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7"/>
      <c r="D776" s="116"/>
      <c r="E776" s="116"/>
      <c r="F776" s="8"/>
      <c r="G776" s="8"/>
      <c r="H776" s="7"/>
      <c r="I776" s="8"/>
      <c r="J776" s="8"/>
      <c r="K776" s="8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7"/>
      <c r="D777" s="116"/>
      <c r="E777" s="116"/>
      <c r="F777" s="8"/>
      <c r="G777" s="8"/>
      <c r="H777" s="7"/>
      <c r="I777" s="8"/>
      <c r="J777" s="8"/>
      <c r="K777" s="8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7"/>
      <c r="D778" s="116"/>
      <c r="E778" s="116"/>
      <c r="F778" s="8"/>
      <c r="G778" s="8"/>
      <c r="H778" s="7"/>
      <c r="I778" s="8"/>
      <c r="J778" s="8"/>
      <c r="K778" s="8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7"/>
      <c r="D779" s="116"/>
      <c r="E779" s="116"/>
      <c r="F779" s="8"/>
      <c r="G779" s="8"/>
      <c r="H779" s="7"/>
      <c r="I779" s="8"/>
      <c r="J779" s="8"/>
      <c r="K779" s="8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7"/>
      <c r="D780" s="116"/>
      <c r="E780" s="116"/>
      <c r="F780" s="8"/>
      <c r="G780" s="8"/>
      <c r="H780" s="7"/>
      <c r="I780" s="8"/>
      <c r="J780" s="8"/>
      <c r="K780" s="8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7"/>
      <c r="D781" s="116"/>
      <c r="E781" s="116"/>
      <c r="F781" s="8"/>
      <c r="G781" s="8"/>
      <c r="H781" s="7"/>
      <c r="I781" s="8"/>
      <c r="J781" s="8"/>
      <c r="K781" s="8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7"/>
      <c r="D782" s="116"/>
      <c r="E782" s="116"/>
      <c r="F782" s="8"/>
      <c r="G782" s="8"/>
      <c r="H782" s="7"/>
      <c r="I782" s="8"/>
      <c r="J782" s="8"/>
      <c r="K782" s="8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7"/>
      <c r="D783" s="116"/>
      <c r="E783" s="116"/>
      <c r="F783" s="8"/>
      <c r="G783" s="8"/>
      <c r="H783" s="7"/>
      <c r="I783" s="8"/>
      <c r="J783" s="8"/>
      <c r="K783" s="8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7"/>
      <c r="D784" s="116"/>
      <c r="E784" s="116"/>
      <c r="F784" s="8"/>
      <c r="G784" s="8"/>
      <c r="H784" s="7"/>
      <c r="I784" s="8"/>
      <c r="J784" s="8"/>
      <c r="K784" s="8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7"/>
      <c r="D785" s="116"/>
      <c r="E785" s="116"/>
      <c r="F785" s="8"/>
      <c r="G785" s="8"/>
      <c r="H785" s="7"/>
      <c r="I785" s="8"/>
      <c r="J785" s="8"/>
      <c r="K785" s="8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7"/>
      <c r="D786" s="116"/>
      <c r="E786" s="116"/>
      <c r="F786" s="8"/>
      <c r="G786" s="8"/>
      <c r="H786" s="7"/>
      <c r="I786" s="8"/>
      <c r="J786" s="8"/>
      <c r="K786" s="8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7"/>
      <c r="D787" s="116"/>
      <c r="E787" s="116"/>
      <c r="F787" s="8"/>
      <c r="G787" s="8"/>
      <c r="H787" s="7"/>
      <c r="I787" s="8"/>
      <c r="J787" s="8"/>
      <c r="K787" s="8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7"/>
      <c r="D788" s="116"/>
      <c r="E788" s="116"/>
      <c r="F788" s="8"/>
      <c r="G788" s="8"/>
      <c r="H788" s="7"/>
      <c r="I788" s="8"/>
      <c r="J788" s="8"/>
      <c r="K788" s="8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7"/>
      <c r="D789" s="116"/>
      <c r="E789" s="116"/>
      <c r="F789" s="8"/>
      <c r="G789" s="8"/>
      <c r="H789" s="7"/>
      <c r="I789" s="8"/>
      <c r="J789" s="8"/>
      <c r="K789" s="8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7"/>
      <c r="D790" s="116"/>
      <c r="E790" s="116"/>
      <c r="F790" s="8"/>
      <c r="G790" s="8"/>
      <c r="H790" s="7"/>
      <c r="I790" s="8"/>
      <c r="J790" s="8"/>
      <c r="K790" s="8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7"/>
      <c r="D791" s="116"/>
      <c r="E791" s="116"/>
      <c r="F791" s="8"/>
      <c r="G791" s="8"/>
      <c r="H791" s="7"/>
      <c r="I791" s="8"/>
      <c r="J791" s="8"/>
      <c r="K791" s="8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7"/>
      <c r="C792" s="7"/>
      <c r="D792" s="116"/>
      <c r="E792" s="116"/>
      <c r="F792" s="8"/>
      <c r="G792" s="8"/>
      <c r="H792" s="7"/>
      <c r="I792" s="8"/>
      <c r="J792" s="8"/>
      <c r="K792" s="8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7"/>
      <c r="C793" s="7"/>
      <c r="D793" s="116"/>
      <c r="E793" s="116"/>
      <c r="F793" s="8"/>
      <c r="G793" s="8"/>
      <c r="H793" s="7"/>
      <c r="I793" s="8"/>
      <c r="J793" s="8"/>
      <c r="K793" s="8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7"/>
      <c r="C794" s="7"/>
      <c r="D794" s="116"/>
      <c r="E794" s="116"/>
      <c r="F794" s="8"/>
      <c r="G794" s="8"/>
      <c r="H794" s="7"/>
      <c r="I794" s="8"/>
      <c r="J794" s="8"/>
      <c r="K794" s="8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7"/>
      <c r="C795" s="7"/>
      <c r="D795" s="116"/>
      <c r="E795" s="116"/>
      <c r="F795" s="8"/>
      <c r="G795" s="8"/>
      <c r="H795" s="7"/>
      <c r="I795" s="8"/>
      <c r="J795" s="8"/>
      <c r="K795" s="8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7"/>
      <c r="C796" s="7"/>
      <c r="D796" s="116"/>
      <c r="E796" s="116"/>
      <c r="F796" s="8"/>
      <c r="G796" s="8"/>
      <c r="H796" s="7"/>
      <c r="I796" s="8"/>
      <c r="J796" s="8"/>
      <c r="K796" s="8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7"/>
      <c r="C797" s="7"/>
      <c r="D797" s="116"/>
      <c r="E797" s="116"/>
      <c r="F797" s="8"/>
      <c r="G797" s="8"/>
      <c r="H797" s="7"/>
      <c r="I797" s="8"/>
      <c r="J797" s="8"/>
      <c r="K797" s="8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7"/>
      <c r="C798" s="7"/>
      <c r="D798" s="116"/>
      <c r="E798" s="116"/>
      <c r="F798" s="8"/>
      <c r="G798" s="8"/>
      <c r="H798" s="7"/>
      <c r="I798" s="8"/>
      <c r="J798" s="8"/>
      <c r="K798" s="8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7"/>
      <c r="C799" s="7"/>
      <c r="D799" s="116"/>
      <c r="E799" s="116"/>
      <c r="F799" s="8"/>
      <c r="G799" s="8"/>
      <c r="H799" s="7"/>
      <c r="I799" s="8"/>
      <c r="J799" s="8"/>
      <c r="K799" s="8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7"/>
      <c r="C800" s="7"/>
      <c r="D800" s="116"/>
      <c r="E800" s="116"/>
      <c r="F800" s="8"/>
      <c r="G800" s="8"/>
      <c r="H800" s="7"/>
      <c r="I800" s="8"/>
      <c r="J800" s="8"/>
      <c r="K800" s="8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7"/>
      <c r="C801" s="7"/>
      <c r="D801" s="116"/>
      <c r="E801" s="116"/>
      <c r="F801" s="8"/>
      <c r="G801" s="8"/>
      <c r="H801" s="7"/>
      <c r="I801" s="8"/>
      <c r="J801" s="8"/>
      <c r="K801" s="8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7"/>
      <c r="C802" s="7"/>
      <c r="D802" s="116"/>
      <c r="E802" s="116"/>
      <c r="F802" s="8"/>
      <c r="G802" s="8"/>
      <c r="H802" s="7"/>
      <c r="I802" s="8"/>
      <c r="J802" s="8"/>
      <c r="K802" s="8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7"/>
      <c r="C803" s="7"/>
      <c r="D803" s="116"/>
      <c r="E803" s="116"/>
      <c r="F803" s="8"/>
      <c r="G803" s="8"/>
      <c r="H803" s="7"/>
      <c r="I803" s="8"/>
      <c r="J803" s="8"/>
      <c r="K803" s="8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7"/>
      <c r="C804" s="7"/>
      <c r="D804" s="116"/>
      <c r="E804" s="116"/>
      <c r="F804" s="8"/>
      <c r="G804" s="8"/>
      <c r="H804" s="7"/>
      <c r="I804" s="8"/>
      <c r="J804" s="8"/>
      <c r="K804" s="8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7"/>
      <c r="C805" s="7"/>
      <c r="D805" s="116"/>
      <c r="E805" s="116"/>
      <c r="F805" s="8"/>
      <c r="G805" s="8"/>
      <c r="H805" s="7"/>
      <c r="I805" s="8"/>
      <c r="J805" s="8"/>
      <c r="K805" s="8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7"/>
      <c r="C806" s="7"/>
      <c r="D806" s="116"/>
      <c r="E806" s="116"/>
      <c r="F806" s="8"/>
      <c r="G806" s="8"/>
      <c r="H806" s="7"/>
      <c r="I806" s="8"/>
      <c r="J806" s="8"/>
      <c r="K806" s="8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7"/>
      <c r="C807" s="7"/>
      <c r="D807" s="116"/>
      <c r="E807" s="116"/>
      <c r="F807" s="8"/>
      <c r="G807" s="8"/>
      <c r="H807" s="7"/>
      <c r="I807" s="8"/>
      <c r="J807" s="8"/>
      <c r="K807" s="8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7"/>
      <c r="C808" s="7"/>
      <c r="D808" s="116"/>
      <c r="E808" s="116"/>
      <c r="F808" s="8"/>
      <c r="G808" s="8"/>
      <c r="H808" s="7"/>
      <c r="I808" s="8"/>
      <c r="J808" s="8"/>
      <c r="K808" s="8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7"/>
      <c r="C809" s="7"/>
      <c r="D809" s="116"/>
      <c r="E809" s="116"/>
      <c r="F809" s="8"/>
      <c r="G809" s="8"/>
      <c r="H809" s="7"/>
      <c r="I809" s="8"/>
      <c r="J809" s="8"/>
      <c r="K809" s="8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7"/>
      <c r="C810" s="7"/>
      <c r="D810" s="116"/>
      <c r="E810" s="116"/>
      <c r="F810" s="8"/>
      <c r="G810" s="8"/>
      <c r="H810" s="7"/>
      <c r="I810" s="8"/>
      <c r="J810" s="8"/>
      <c r="K810" s="8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7"/>
      <c r="C811" s="7"/>
      <c r="D811" s="116"/>
      <c r="E811" s="116"/>
      <c r="F811" s="8"/>
      <c r="G811" s="8"/>
      <c r="H811" s="7"/>
      <c r="I811" s="8"/>
      <c r="J811" s="8"/>
      <c r="K811" s="8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7"/>
      <c r="C812" s="7"/>
      <c r="D812" s="116"/>
      <c r="E812" s="116"/>
      <c r="F812" s="8"/>
      <c r="G812" s="8"/>
      <c r="H812" s="7"/>
      <c r="I812" s="8"/>
      <c r="J812" s="8"/>
      <c r="K812" s="8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7"/>
      <c r="C813" s="7"/>
      <c r="D813" s="116"/>
      <c r="E813" s="116"/>
      <c r="F813" s="8"/>
      <c r="G813" s="8"/>
      <c r="H813" s="7"/>
      <c r="I813" s="8"/>
      <c r="J813" s="8"/>
      <c r="K813" s="8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7"/>
      <c r="C814" s="7"/>
      <c r="D814" s="116"/>
      <c r="E814" s="116"/>
      <c r="F814" s="8"/>
      <c r="G814" s="8"/>
      <c r="H814" s="7"/>
      <c r="I814" s="8"/>
      <c r="J814" s="8"/>
      <c r="K814" s="8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7"/>
      <c r="C815" s="7"/>
      <c r="D815" s="116"/>
      <c r="E815" s="116"/>
      <c r="F815" s="8"/>
      <c r="G815" s="8"/>
      <c r="H815" s="7"/>
      <c r="I815" s="8"/>
      <c r="J815" s="8"/>
      <c r="K815" s="8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7"/>
      <c r="C816" s="7"/>
      <c r="D816" s="116"/>
      <c r="E816" s="116"/>
      <c r="F816" s="8"/>
      <c r="G816" s="8"/>
      <c r="H816" s="7"/>
      <c r="I816" s="8"/>
      <c r="J816" s="8"/>
      <c r="K816" s="8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7"/>
      <c r="C817" s="7"/>
      <c r="D817" s="116"/>
      <c r="E817" s="116"/>
      <c r="F817" s="8"/>
      <c r="G817" s="8"/>
      <c r="H817" s="7"/>
      <c r="I817" s="8"/>
      <c r="J817" s="8"/>
      <c r="K817" s="8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7"/>
      <c r="C818" s="7"/>
      <c r="D818" s="116"/>
      <c r="E818" s="116"/>
      <c r="F818" s="8"/>
      <c r="G818" s="8"/>
      <c r="H818" s="7"/>
      <c r="I818" s="8"/>
      <c r="J818" s="8"/>
      <c r="K818" s="8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7"/>
      <c r="C819" s="7"/>
      <c r="D819" s="116"/>
      <c r="E819" s="116"/>
      <c r="F819" s="8"/>
      <c r="G819" s="8"/>
      <c r="H819" s="7"/>
      <c r="I819" s="8"/>
      <c r="J819" s="8"/>
      <c r="K819" s="8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7"/>
      <c r="C820" s="7"/>
      <c r="D820" s="116"/>
      <c r="E820" s="116"/>
      <c r="F820" s="8"/>
      <c r="G820" s="8"/>
      <c r="H820" s="7"/>
      <c r="I820" s="8"/>
      <c r="J820" s="8"/>
      <c r="K820" s="8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7"/>
      <c r="C821" s="7"/>
      <c r="D821" s="116"/>
      <c r="E821" s="116"/>
      <c r="F821" s="8"/>
      <c r="G821" s="8"/>
      <c r="H821" s="7"/>
      <c r="I821" s="8"/>
      <c r="J821" s="8"/>
      <c r="K821" s="8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7"/>
      <c r="C822" s="7"/>
      <c r="D822" s="116"/>
      <c r="E822" s="116"/>
      <c r="F822" s="8"/>
      <c r="G822" s="8"/>
      <c r="H822" s="7"/>
      <c r="I822" s="8"/>
      <c r="J822" s="8"/>
      <c r="K822" s="8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7"/>
      <c r="C823" s="7"/>
      <c r="D823" s="116"/>
      <c r="E823" s="116"/>
      <c r="F823" s="8"/>
      <c r="G823" s="8"/>
      <c r="H823" s="7"/>
      <c r="I823" s="8"/>
      <c r="J823" s="8"/>
      <c r="K823" s="8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7"/>
      <c r="C824" s="7"/>
      <c r="D824" s="116"/>
      <c r="E824" s="116"/>
      <c r="F824" s="8"/>
      <c r="G824" s="8"/>
      <c r="H824" s="7"/>
      <c r="I824" s="8"/>
      <c r="J824" s="8"/>
      <c r="K824" s="8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7"/>
      <c r="C825" s="7"/>
      <c r="D825" s="116"/>
      <c r="E825" s="116"/>
      <c r="F825" s="8"/>
      <c r="G825" s="8"/>
      <c r="H825" s="7"/>
      <c r="I825" s="8"/>
      <c r="J825" s="8"/>
      <c r="K825" s="8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7"/>
      <c r="C826" s="7"/>
      <c r="D826" s="116"/>
      <c r="E826" s="116"/>
      <c r="F826" s="8"/>
      <c r="G826" s="8"/>
      <c r="H826" s="7"/>
      <c r="I826" s="8"/>
      <c r="J826" s="8"/>
      <c r="K826" s="8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7"/>
      <c r="C827" s="7"/>
      <c r="D827" s="116"/>
      <c r="E827" s="116"/>
      <c r="F827" s="8"/>
      <c r="G827" s="8"/>
      <c r="H827" s="7"/>
      <c r="I827" s="8"/>
      <c r="J827" s="8"/>
      <c r="K827" s="8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7"/>
      <c r="C828" s="7"/>
      <c r="D828" s="116"/>
      <c r="E828" s="116"/>
      <c r="F828" s="8"/>
      <c r="G828" s="8"/>
      <c r="H828" s="7"/>
      <c r="I828" s="8"/>
      <c r="J828" s="8"/>
      <c r="K828" s="8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7"/>
      <c r="C829" s="7"/>
      <c r="D829" s="116"/>
      <c r="E829" s="116"/>
      <c r="F829" s="8"/>
      <c r="G829" s="8"/>
      <c r="H829" s="7"/>
      <c r="I829" s="8"/>
      <c r="J829" s="8"/>
      <c r="K829" s="8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7"/>
      <c r="C830" s="7"/>
      <c r="D830" s="116"/>
      <c r="E830" s="116"/>
      <c r="F830" s="8"/>
      <c r="G830" s="8"/>
      <c r="H830" s="7"/>
      <c r="I830" s="8"/>
      <c r="J830" s="8"/>
      <c r="K830" s="8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7"/>
      <c r="C831" s="7"/>
      <c r="D831" s="116"/>
      <c r="E831" s="116"/>
      <c r="F831" s="8"/>
      <c r="G831" s="8"/>
      <c r="H831" s="7"/>
      <c r="I831" s="8"/>
      <c r="J831" s="8"/>
      <c r="K831" s="8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7"/>
      <c r="C832" s="7"/>
      <c r="D832" s="116"/>
      <c r="E832" s="116"/>
      <c r="F832" s="8"/>
      <c r="G832" s="8"/>
      <c r="H832" s="7"/>
      <c r="I832" s="8"/>
      <c r="J832" s="8"/>
      <c r="K832" s="8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7"/>
      <c r="C833" s="7"/>
      <c r="D833" s="116"/>
      <c r="E833" s="116"/>
      <c r="F833" s="8"/>
      <c r="G833" s="8"/>
      <c r="H833" s="7"/>
      <c r="I833" s="8"/>
      <c r="J833" s="8"/>
      <c r="K833" s="8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7"/>
      <c r="C834" s="7"/>
      <c r="D834" s="116"/>
      <c r="E834" s="116"/>
      <c r="F834" s="8"/>
      <c r="G834" s="8"/>
      <c r="H834" s="7"/>
      <c r="I834" s="8"/>
      <c r="J834" s="8"/>
      <c r="K834" s="8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7"/>
      <c r="C835" s="7"/>
      <c r="D835" s="116"/>
      <c r="E835" s="116"/>
      <c r="F835" s="8"/>
      <c r="G835" s="8"/>
      <c r="H835" s="7"/>
      <c r="I835" s="8"/>
      <c r="J835" s="8"/>
      <c r="K835" s="8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7"/>
      <c r="C836" s="7"/>
      <c r="D836" s="116"/>
      <c r="E836" s="116"/>
      <c r="F836" s="8"/>
      <c r="G836" s="8"/>
      <c r="H836" s="7"/>
      <c r="I836" s="8"/>
      <c r="J836" s="8"/>
      <c r="K836" s="8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7"/>
      <c r="C837" s="7"/>
      <c r="D837" s="116"/>
      <c r="E837" s="116"/>
      <c r="F837" s="8"/>
      <c r="G837" s="8"/>
      <c r="H837" s="7"/>
      <c r="I837" s="8"/>
      <c r="J837" s="8"/>
      <c r="K837" s="8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7"/>
      <c r="C838" s="7"/>
      <c r="D838" s="116"/>
      <c r="E838" s="116"/>
      <c r="F838" s="8"/>
      <c r="G838" s="8"/>
      <c r="H838" s="7"/>
      <c r="I838" s="8"/>
      <c r="J838" s="8"/>
      <c r="K838" s="8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7"/>
      <c r="C839" s="7"/>
      <c r="D839" s="116"/>
      <c r="E839" s="116"/>
      <c r="F839" s="8"/>
      <c r="G839" s="8"/>
      <c r="H839" s="7"/>
      <c r="I839" s="8"/>
      <c r="J839" s="8"/>
      <c r="K839" s="8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7"/>
      <c r="C840" s="7"/>
      <c r="D840" s="116"/>
      <c r="E840" s="116"/>
      <c r="F840" s="8"/>
      <c r="G840" s="8"/>
      <c r="H840" s="7"/>
      <c r="I840" s="8"/>
      <c r="J840" s="8"/>
      <c r="K840" s="8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7"/>
      <c r="C841" s="7"/>
      <c r="D841" s="116"/>
      <c r="E841" s="116"/>
      <c r="F841" s="8"/>
      <c r="G841" s="8"/>
      <c r="H841" s="7"/>
      <c r="I841" s="8"/>
      <c r="J841" s="8"/>
      <c r="K841" s="8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7"/>
      <c r="C842" s="7"/>
      <c r="D842" s="116"/>
      <c r="E842" s="116"/>
      <c r="F842" s="8"/>
      <c r="G842" s="8"/>
      <c r="H842" s="7"/>
      <c r="I842" s="8"/>
      <c r="J842" s="8"/>
      <c r="K842" s="8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7"/>
      <c r="C843" s="7"/>
      <c r="D843" s="116"/>
      <c r="E843" s="116"/>
      <c r="F843" s="8"/>
      <c r="G843" s="8"/>
      <c r="H843" s="7"/>
      <c r="I843" s="8"/>
      <c r="J843" s="8"/>
      <c r="K843" s="8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7"/>
      <c r="C844" s="7"/>
      <c r="D844" s="116"/>
      <c r="E844" s="116"/>
      <c r="F844" s="8"/>
      <c r="G844" s="8"/>
      <c r="H844" s="7"/>
      <c r="I844" s="8"/>
      <c r="J844" s="8"/>
      <c r="K844" s="8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7"/>
      <c r="C845" s="7"/>
      <c r="D845" s="116"/>
      <c r="E845" s="116"/>
      <c r="F845" s="8"/>
      <c r="G845" s="8"/>
      <c r="H845" s="7"/>
      <c r="I845" s="8"/>
      <c r="J845" s="8"/>
      <c r="K845" s="8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7"/>
      <c r="C846" s="7"/>
      <c r="D846" s="116"/>
      <c r="E846" s="116"/>
      <c r="F846" s="8"/>
      <c r="G846" s="8"/>
      <c r="H846" s="7"/>
      <c r="I846" s="8"/>
      <c r="J846" s="8"/>
      <c r="K846" s="8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7"/>
      <c r="C847" s="7"/>
      <c r="D847" s="116"/>
      <c r="E847" s="116"/>
      <c r="F847" s="8"/>
      <c r="G847" s="8"/>
      <c r="H847" s="7"/>
      <c r="I847" s="8"/>
      <c r="J847" s="8"/>
      <c r="K847" s="8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7"/>
      <c r="C848" s="7"/>
      <c r="D848" s="116"/>
      <c r="E848" s="116"/>
      <c r="F848" s="8"/>
      <c r="G848" s="8"/>
      <c r="H848" s="7"/>
      <c r="I848" s="8"/>
      <c r="J848" s="8"/>
      <c r="K848" s="8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7"/>
      <c r="C849" s="7"/>
      <c r="D849" s="116"/>
      <c r="E849" s="116"/>
      <c r="F849" s="8"/>
      <c r="G849" s="8"/>
      <c r="H849" s="7"/>
      <c r="I849" s="8"/>
      <c r="J849" s="8"/>
      <c r="K849" s="8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7"/>
      <c r="C850" s="7"/>
      <c r="D850" s="116"/>
      <c r="E850" s="116"/>
      <c r="F850" s="8"/>
      <c r="G850" s="8"/>
      <c r="H850" s="7"/>
      <c r="I850" s="8"/>
      <c r="J850" s="8"/>
      <c r="K850" s="8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7"/>
      <c r="C851" s="7"/>
      <c r="D851" s="116"/>
      <c r="E851" s="116"/>
      <c r="F851" s="8"/>
      <c r="G851" s="8"/>
      <c r="H851" s="7"/>
      <c r="I851" s="8"/>
      <c r="J851" s="8"/>
      <c r="K851" s="8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7"/>
      <c r="C852" s="7"/>
      <c r="D852" s="116"/>
      <c r="E852" s="116"/>
      <c r="F852" s="8"/>
      <c r="G852" s="8"/>
      <c r="H852" s="7"/>
      <c r="I852" s="8"/>
      <c r="J852" s="8"/>
      <c r="K852" s="8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7"/>
      <c r="C853" s="7"/>
      <c r="D853" s="116"/>
      <c r="E853" s="116"/>
      <c r="F853" s="8"/>
      <c r="G853" s="8"/>
      <c r="H853" s="7"/>
      <c r="I853" s="8"/>
      <c r="J853" s="8"/>
      <c r="K853" s="8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7"/>
      <c r="C854" s="7"/>
      <c r="D854" s="116"/>
      <c r="E854" s="116"/>
      <c r="F854" s="8"/>
      <c r="G854" s="8"/>
      <c r="H854" s="7"/>
      <c r="I854" s="8"/>
      <c r="J854" s="8"/>
      <c r="K854" s="8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7"/>
      <c r="C855" s="7"/>
      <c r="D855" s="116"/>
      <c r="E855" s="116"/>
      <c r="F855" s="8"/>
      <c r="G855" s="8"/>
      <c r="H855" s="7"/>
      <c r="I855" s="8"/>
      <c r="J855" s="8"/>
      <c r="K855" s="8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7"/>
      <c r="C856" s="7"/>
      <c r="D856" s="116"/>
      <c r="E856" s="116"/>
      <c r="F856" s="8"/>
      <c r="G856" s="8"/>
      <c r="H856" s="7"/>
      <c r="I856" s="8"/>
      <c r="J856" s="8"/>
      <c r="K856" s="8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7"/>
      <c r="C857" s="7"/>
      <c r="D857" s="116"/>
      <c r="E857" s="116"/>
      <c r="F857" s="8"/>
      <c r="G857" s="8"/>
      <c r="H857" s="7"/>
      <c r="I857" s="8"/>
      <c r="J857" s="8"/>
      <c r="K857" s="8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7"/>
      <c r="C858" s="7"/>
      <c r="D858" s="116"/>
      <c r="E858" s="116"/>
      <c r="F858" s="8"/>
      <c r="G858" s="8"/>
      <c r="H858" s="7"/>
      <c r="I858" s="8"/>
      <c r="J858" s="8"/>
      <c r="K858" s="8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7"/>
      <c r="C859" s="7"/>
      <c r="D859" s="116"/>
      <c r="E859" s="116"/>
      <c r="F859" s="8"/>
      <c r="G859" s="8"/>
      <c r="H859" s="7"/>
      <c r="I859" s="8"/>
      <c r="J859" s="8"/>
      <c r="K859" s="8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7"/>
      <c r="C860" s="7"/>
      <c r="D860" s="116"/>
      <c r="E860" s="116"/>
      <c r="F860" s="8"/>
      <c r="G860" s="8"/>
      <c r="H860" s="7"/>
      <c r="I860" s="8"/>
      <c r="J860" s="8"/>
      <c r="K860" s="8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7"/>
      <c r="C861" s="7"/>
      <c r="D861" s="116"/>
      <c r="E861" s="116"/>
      <c r="F861" s="8"/>
      <c r="G861" s="8"/>
      <c r="H861" s="7"/>
      <c r="I861" s="8"/>
      <c r="J861" s="8"/>
      <c r="K861" s="8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7"/>
      <c r="C862" s="7"/>
      <c r="D862" s="116"/>
      <c r="E862" s="116"/>
      <c r="F862" s="8"/>
      <c r="G862" s="8"/>
      <c r="H862" s="7"/>
      <c r="I862" s="8"/>
      <c r="J862" s="8"/>
      <c r="K862" s="8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7"/>
      <c r="C863" s="7"/>
      <c r="D863" s="116"/>
      <c r="E863" s="116"/>
      <c r="F863" s="8"/>
      <c r="G863" s="8"/>
      <c r="H863" s="7"/>
      <c r="I863" s="8"/>
      <c r="J863" s="8"/>
      <c r="K863" s="8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7"/>
      <c r="C864" s="7"/>
      <c r="D864" s="116"/>
      <c r="E864" s="116"/>
      <c r="F864" s="8"/>
      <c r="G864" s="8"/>
      <c r="H864" s="7"/>
      <c r="I864" s="8"/>
      <c r="J864" s="8"/>
      <c r="K864" s="8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7"/>
      <c r="C865" s="7"/>
      <c r="D865" s="116"/>
      <c r="E865" s="116"/>
      <c r="F865" s="8"/>
      <c r="G865" s="8"/>
      <c r="H865" s="7"/>
      <c r="I865" s="8"/>
      <c r="J865" s="8"/>
      <c r="K865" s="8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7"/>
      <c r="C866" s="7"/>
      <c r="D866" s="116"/>
      <c r="E866" s="116"/>
      <c r="F866" s="8"/>
      <c r="G866" s="8"/>
      <c r="H866" s="7"/>
      <c r="I866" s="8"/>
      <c r="J866" s="8"/>
      <c r="K866" s="8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7"/>
      <c r="C867" s="7"/>
      <c r="D867" s="116"/>
      <c r="E867" s="116"/>
      <c r="F867" s="8"/>
      <c r="G867" s="8"/>
      <c r="H867" s="7"/>
      <c r="I867" s="8"/>
      <c r="J867" s="8"/>
      <c r="K867" s="8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7"/>
      <c r="C868" s="7"/>
      <c r="D868" s="116"/>
      <c r="E868" s="116"/>
      <c r="F868" s="8"/>
      <c r="G868" s="8"/>
      <c r="H868" s="7"/>
      <c r="I868" s="8"/>
      <c r="J868" s="8"/>
      <c r="K868" s="8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7"/>
      <c r="C869" s="7"/>
      <c r="D869" s="116"/>
      <c r="E869" s="116"/>
      <c r="F869" s="8"/>
      <c r="G869" s="8"/>
      <c r="H869" s="7"/>
      <c r="I869" s="8"/>
      <c r="J869" s="8"/>
      <c r="K869" s="8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7"/>
      <c r="C870" s="7"/>
      <c r="D870" s="116"/>
      <c r="E870" s="116"/>
      <c r="F870" s="8"/>
      <c r="G870" s="8"/>
      <c r="H870" s="7"/>
      <c r="I870" s="8"/>
      <c r="J870" s="8"/>
      <c r="K870" s="8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7"/>
      <c r="C871" s="7"/>
      <c r="D871" s="116"/>
      <c r="E871" s="116"/>
      <c r="F871" s="8"/>
      <c r="G871" s="8"/>
      <c r="H871" s="7"/>
      <c r="I871" s="8"/>
      <c r="J871" s="8"/>
      <c r="K871" s="8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7"/>
      <c r="C872" s="7"/>
      <c r="D872" s="116"/>
      <c r="E872" s="116"/>
      <c r="F872" s="8"/>
      <c r="G872" s="8"/>
      <c r="H872" s="7"/>
      <c r="I872" s="8"/>
      <c r="J872" s="8"/>
      <c r="K872" s="8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7"/>
      <c r="C873" s="7"/>
      <c r="D873" s="116"/>
      <c r="E873" s="116"/>
      <c r="F873" s="8"/>
      <c r="G873" s="8"/>
      <c r="H873" s="7"/>
      <c r="I873" s="8"/>
      <c r="J873" s="8"/>
      <c r="K873" s="8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7"/>
      <c r="C874" s="7"/>
      <c r="D874" s="116"/>
      <c r="E874" s="116"/>
      <c r="F874" s="8"/>
      <c r="G874" s="8"/>
      <c r="H874" s="7"/>
      <c r="I874" s="8"/>
      <c r="J874" s="8"/>
      <c r="K874" s="8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7"/>
      <c r="C875" s="7"/>
      <c r="D875" s="116"/>
      <c r="E875" s="116"/>
      <c r="F875" s="8"/>
      <c r="G875" s="8"/>
      <c r="H875" s="7"/>
      <c r="I875" s="8"/>
      <c r="J875" s="8"/>
      <c r="K875" s="8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7"/>
      <c r="C876" s="7"/>
      <c r="D876" s="116"/>
      <c r="E876" s="116"/>
      <c r="F876" s="8"/>
      <c r="G876" s="8"/>
      <c r="H876" s="7"/>
      <c r="I876" s="8"/>
      <c r="J876" s="8"/>
      <c r="K876" s="8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7"/>
      <c r="C877" s="7"/>
      <c r="D877" s="116"/>
      <c r="E877" s="116"/>
      <c r="F877" s="8"/>
      <c r="G877" s="8"/>
      <c r="H877" s="7"/>
      <c r="I877" s="8"/>
      <c r="J877" s="8"/>
      <c r="K877" s="8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7"/>
      <c r="C878" s="7"/>
      <c r="D878" s="116"/>
      <c r="E878" s="116"/>
      <c r="F878" s="8"/>
      <c r="G878" s="8"/>
      <c r="H878" s="7"/>
      <c r="I878" s="8"/>
      <c r="J878" s="8"/>
      <c r="K878" s="8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7"/>
      <c r="C879" s="7"/>
      <c r="D879" s="116"/>
      <c r="E879" s="116"/>
      <c r="F879" s="8"/>
      <c r="G879" s="8"/>
      <c r="H879" s="7"/>
      <c r="I879" s="8"/>
      <c r="J879" s="8"/>
      <c r="K879" s="8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7"/>
      <c r="C880" s="7"/>
      <c r="D880" s="116"/>
      <c r="E880" s="116"/>
      <c r="F880" s="8"/>
      <c r="G880" s="8"/>
      <c r="H880" s="7"/>
      <c r="I880" s="8"/>
      <c r="J880" s="8"/>
      <c r="K880" s="8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7"/>
      <c r="C881" s="7"/>
      <c r="D881" s="116"/>
      <c r="E881" s="116"/>
      <c r="F881" s="8"/>
      <c r="G881" s="8"/>
      <c r="H881" s="7"/>
      <c r="I881" s="8"/>
      <c r="J881" s="8"/>
      <c r="K881" s="8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7"/>
      <c r="C882" s="7"/>
      <c r="D882" s="116"/>
      <c r="E882" s="116"/>
      <c r="F882" s="8"/>
      <c r="G882" s="8"/>
      <c r="H882" s="7"/>
      <c r="I882" s="8"/>
      <c r="J882" s="8"/>
      <c r="K882" s="8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7"/>
      <c r="C883" s="7"/>
      <c r="D883" s="116"/>
      <c r="E883" s="116"/>
      <c r="F883" s="8"/>
      <c r="G883" s="8"/>
      <c r="H883" s="7"/>
      <c r="I883" s="8"/>
      <c r="J883" s="8"/>
      <c r="K883" s="8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7"/>
      <c r="C884" s="7"/>
      <c r="D884" s="116"/>
      <c r="E884" s="116"/>
      <c r="F884" s="8"/>
      <c r="G884" s="8"/>
      <c r="H884" s="7"/>
      <c r="I884" s="8"/>
      <c r="J884" s="8"/>
      <c r="K884" s="8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7"/>
      <c r="C885" s="7"/>
      <c r="D885" s="116"/>
      <c r="E885" s="116"/>
      <c r="F885" s="8"/>
      <c r="G885" s="8"/>
      <c r="H885" s="7"/>
      <c r="I885" s="8"/>
      <c r="J885" s="8"/>
      <c r="K885" s="8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7"/>
      <c r="C886" s="7"/>
      <c r="D886" s="116"/>
      <c r="E886" s="116"/>
      <c r="F886" s="8"/>
      <c r="G886" s="8"/>
      <c r="H886" s="7"/>
      <c r="I886" s="8"/>
      <c r="J886" s="8"/>
      <c r="K886" s="8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7"/>
      <c r="C887" s="7"/>
      <c r="D887" s="116"/>
      <c r="E887" s="116"/>
      <c r="F887" s="8"/>
      <c r="G887" s="8"/>
      <c r="H887" s="7"/>
      <c r="I887" s="8"/>
      <c r="J887" s="8"/>
      <c r="K887" s="8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7"/>
      <c r="C888" s="7"/>
      <c r="D888" s="116"/>
      <c r="E888" s="116"/>
      <c r="F888" s="8"/>
      <c r="G888" s="8"/>
      <c r="H888" s="7"/>
      <c r="I888" s="8"/>
      <c r="J888" s="8"/>
      <c r="K888" s="8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7"/>
      <c r="C889" s="7"/>
      <c r="D889" s="116"/>
      <c r="E889" s="116"/>
      <c r="F889" s="8"/>
      <c r="G889" s="8"/>
      <c r="H889" s="7"/>
      <c r="I889" s="8"/>
      <c r="J889" s="8"/>
      <c r="K889" s="8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7"/>
      <c r="C890" s="7"/>
      <c r="D890" s="116"/>
      <c r="E890" s="116"/>
      <c r="F890" s="8"/>
      <c r="G890" s="8"/>
      <c r="H890" s="7"/>
      <c r="I890" s="8"/>
      <c r="J890" s="8"/>
      <c r="K890" s="8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7"/>
      <c r="C891" s="7"/>
      <c r="D891" s="116"/>
      <c r="E891" s="116"/>
      <c r="F891" s="8"/>
      <c r="G891" s="8"/>
      <c r="H891" s="7"/>
      <c r="I891" s="8"/>
      <c r="J891" s="8"/>
      <c r="K891" s="8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7"/>
      <c r="C892" s="7"/>
      <c r="D892" s="116"/>
      <c r="E892" s="116"/>
      <c r="F892" s="8"/>
      <c r="G892" s="8"/>
      <c r="H892" s="7"/>
      <c r="I892" s="8"/>
      <c r="J892" s="8"/>
      <c r="K892" s="8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7"/>
      <c r="C893" s="7"/>
      <c r="D893" s="116"/>
      <c r="E893" s="116"/>
      <c r="F893" s="8"/>
      <c r="G893" s="8"/>
      <c r="H893" s="7"/>
      <c r="I893" s="8"/>
      <c r="J893" s="8"/>
      <c r="K893" s="8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7"/>
      <c r="C894" s="7"/>
      <c r="D894" s="116"/>
      <c r="E894" s="116"/>
      <c r="F894" s="8"/>
      <c r="G894" s="8"/>
      <c r="H894" s="7"/>
      <c r="I894" s="8"/>
      <c r="J894" s="8"/>
      <c r="K894" s="8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7"/>
      <c r="C895" s="7"/>
      <c r="D895" s="116"/>
      <c r="E895" s="116"/>
      <c r="F895" s="8"/>
      <c r="G895" s="8"/>
      <c r="H895" s="7"/>
      <c r="I895" s="8"/>
      <c r="J895" s="8"/>
      <c r="K895" s="8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7"/>
      <c r="C896" s="7"/>
      <c r="D896" s="116"/>
      <c r="E896" s="116"/>
      <c r="F896" s="8"/>
      <c r="G896" s="8"/>
      <c r="H896" s="7"/>
      <c r="I896" s="8"/>
      <c r="J896" s="8"/>
      <c r="K896" s="8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7"/>
      <c r="C897" s="7"/>
      <c r="D897" s="116"/>
      <c r="E897" s="116"/>
      <c r="F897" s="8"/>
      <c r="G897" s="8"/>
      <c r="H897" s="7"/>
      <c r="I897" s="8"/>
      <c r="J897" s="8"/>
      <c r="K897" s="8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7"/>
      <c r="C898" s="7"/>
      <c r="D898" s="116"/>
      <c r="E898" s="116"/>
      <c r="F898" s="8"/>
      <c r="G898" s="8"/>
      <c r="H898" s="7"/>
      <c r="I898" s="8"/>
      <c r="J898" s="8"/>
      <c r="K898" s="8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7"/>
      <c r="C899" s="7"/>
      <c r="D899" s="116"/>
      <c r="E899" s="116"/>
      <c r="F899" s="8"/>
      <c r="G899" s="8"/>
      <c r="H899" s="7"/>
      <c r="I899" s="8"/>
      <c r="J899" s="8"/>
      <c r="K899" s="8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7"/>
      <c r="C900" s="7"/>
      <c r="D900" s="116"/>
      <c r="E900" s="116"/>
      <c r="F900" s="8"/>
      <c r="G900" s="8"/>
      <c r="H900" s="7"/>
      <c r="I900" s="8"/>
      <c r="J900" s="8"/>
      <c r="K900" s="8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7"/>
      <c r="C901" s="7"/>
      <c r="D901" s="116"/>
      <c r="E901" s="116"/>
      <c r="F901" s="8"/>
      <c r="G901" s="8"/>
      <c r="H901" s="7"/>
      <c r="I901" s="8"/>
      <c r="J901" s="8"/>
      <c r="K901" s="8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7"/>
      <c r="C902" s="7"/>
      <c r="D902" s="116"/>
      <c r="E902" s="116"/>
      <c r="F902" s="8"/>
      <c r="G902" s="8"/>
      <c r="H902" s="7"/>
      <c r="I902" s="8"/>
      <c r="J902" s="8"/>
      <c r="K902" s="8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7"/>
      <c r="C903" s="7"/>
      <c r="D903" s="116"/>
      <c r="E903" s="116"/>
      <c r="F903" s="8"/>
      <c r="G903" s="8"/>
      <c r="H903" s="7"/>
      <c r="I903" s="8"/>
      <c r="J903" s="8"/>
      <c r="K903" s="8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7"/>
      <c r="C904" s="7"/>
      <c r="D904" s="116"/>
      <c r="E904" s="116"/>
      <c r="F904" s="8"/>
      <c r="G904" s="8"/>
      <c r="H904" s="7"/>
      <c r="I904" s="8"/>
      <c r="J904" s="8"/>
      <c r="K904" s="8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7"/>
      <c r="C905" s="7"/>
      <c r="D905" s="116"/>
      <c r="E905" s="116"/>
      <c r="F905" s="8"/>
      <c r="G905" s="8"/>
      <c r="H905" s="7"/>
      <c r="I905" s="8"/>
      <c r="J905" s="8"/>
      <c r="K905" s="8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7"/>
      <c r="C906" s="7"/>
      <c r="D906" s="116"/>
      <c r="E906" s="116"/>
      <c r="F906" s="8"/>
      <c r="G906" s="8"/>
      <c r="H906" s="7"/>
      <c r="I906" s="8"/>
      <c r="J906" s="8"/>
      <c r="K906" s="8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7"/>
      <c r="C907" s="7"/>
      <c r="D907" s="116"/>
      <c r="E907" s="116"/>
      <c r="F907" s="8"/>
      <c r="G907" s="8"/>
      <c r="H907" s="7"/>
      <c r="I907" s="8"/>
      <c r="J907" s="8"/>
      <c r="K907" s="8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7"/>
      <c r="C908" s="7"/>
      <c r="D908" s="116"/>
      <c r="E908" s="116"/>
      <c r="F908" s="8"/>
      <c r="G908" s="8"/>
      <c r="H908" s="7"/>
      <c r="I908" s="8"/>
      <c r="J908" s="8"/>
      <c r="K908" s="8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7"/>
      <c r="C909" s="7"/>
      <c r="D909" s="116"/>
      <c r="E909" s="116"/>
      <c r="F909" s="8"/>
      <c r="G909" s="8"/>
      <c r="H909" s="7"/>
      <c r="I909" s="8"/>
      <c r="J909" s="8"/>
      <c r="K909" s="8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7"/>
      <c r="C910" s="7"/>
      <c r="D910" s="116"/>
      <c r="E910" s="116"/>
      <c r="F910" s="8"/>
      <c r="G910" s="8"/>
      <c r="H910" s="7"/>
      <c r="I910" s="8"/>
      <c r="J910" s="8"/>
      <c r="K910" s="8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7"/>
      <c r="C911" s="7"/>
      <c r="D911" s="116"/>
      <c r="E911" s="116"/>
      <c r="F911" s="8"/>
      <c r="G911" s="8"/>
      <c r="H911" s="7"/>
      <c r="I911" s="8"/>
      <c r="J911" s="8"/>
      <c r="K911" s="8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7"/>
      <c r="C912" s="7"/>
      <c r="D912" s="116"/>
      <c r="E912" s="116"/>
      <c r="F912" s="8"/>
      <c r="G912" s="8"/>
      <c r="H912" s="7"/>
      <c r="I912" s="8"/>
      <c r="J912" s="8"/>
      <c r="K912" s="8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7"/>
      <c r="C913" s="7"/>
      <c r="D913" s="116"/>
      <c r="E913" s="116"/>
      <c r="F913" s="8"/>
      <c r="G913" s="8"/>
      <c r="H913" s="7"/>
      <c r="I913" s="8"/>
      <c r="J913" s="8"/>
      <c r="K913" s="8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7"/>
      <c r="C914" s="7"/>
      <c r="D914" s="116"/>
      <c r="E914" s="116"/>
      <c r="F914" s="8"/>
      <c r="G914" s="8"/>
      <c r="H914" s="7"/>
      <c r="I914" s="8"/>
      <c r="J914" s="8"/>
      <c r="K914" s="8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7"/>
      <c r="C915" s="7"/>
      <c r="D915" s="116"/>
      <c r="E915" s="116"/>
      <c r="F915" s="8"/>
      <c r="G915" s="8"/>
      <c r="H915" s="7"/>
      <c r="I915" s="8"/>
      <c r="J915" s="8"/>
      <c r="K915" s="8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7"/>
      <c r="C916" s="7"/>
      <c r="D916" s="116"/>
      <c r="E916" s="116"/>
      <c r="F916" s="8"/>
      <c r="G916" s="8"/>
      <c r="H916" s="7"/>
      <c r="I916" s="8"/>
      <c r="J916" s="8"/>
      <c r="K916" s="8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7"/>
      <c r="C917" s="7"/>
      <c r="D917" s="116"/>
      <c r="E917" s="116"/>
      <c r="F917" s="8"/>
      <c r="G917" s="8"/>
      <c r="H917" s="7"/>
      <c r="I917" s="8"/>
      <c r="J917" s="8"/>
      <c r="K917" s="8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7"/>
      <c r="C918" s="7"/>
      <c r="D918" s="116"/>
      <c r="E918" s="116"/>
      <c r="F918" s="8"/>
      <c r="G918" s="8"/>
      <c r="H918" s="7"/>
      <c r="I918" s="8"/>
      <c r="J918" s="8"/>
      <c r="K918" s="8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7"/>
      <c r="C919" s="7"/>
      <c r="D919" s="116"/>
      <c r="E919" s="116"/>
      <c r="F919" s="8"/>
      <c r="G919" s="8"/>
      <c r="H919" s="7"/>
      <c r="I919" s="8"/>
      <c r="J919" s="8"/>
      <c r="K919" s="8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7"/>
      <c r="C920" s="7"/>
      <c r="D920" s="116"/>
      <c r="E920" s="116"/>
      <c r="F920" s="8"/>
      <c r="G920" s="8"/>
      <c r="H920" s="7"/>
      <c r="I920" s="8"/>
      <c r="J920" s="8"/>
      <c r="K920" s="8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7"/>
      <c r="C921" s="7"/>
      <c r="D921" s="116"/>
      <c r="E921" s="116"/>
      <c r="F921" s="8"/>
      <c r="G921" s="8"/>
      <c r="H921" s="7"/>
      <c r="I921" s="8"/>
      <c r="J921" s="8"/>
      <c r="K921" s="8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7"/>
      <c r="C922" s="7"/>
      <c r="D922" s="116"/>
      <c r="E922" s="116"/>
      <c r="F922" s="8"/>
      <c r="G922" s="8"/>
      <c r="H922" s="7"/>
      <c r="I922" s="8"/>
      <c r="J922" s="8"/>
      <c r="K922" s="8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7"/>
      <c r="C923" s="7"/>
      <c r="D923" s="116"/>
      <c r="E923" s="116"/>
      <c r="F923" s="8"/>
      <c r="G923" s="8"/>
      <c r="H923" s="7"/>
      <c r="I923" s="8"/>
      <c r="J923" s="8"/>
      <c r="K923" s="8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7"/>
      <c r="B924" s="7"/>
      <c r="C924" s="7"/>
      <c r="D924" s="116"/>
      <c r="E924" s="116"/>
      <c r="F924" s="8"/>
      <c r="G924" s="8"/>
      <c r="H924" s="7"/>
      <c r="I924" s="8"/>
      <c r="J924" s="8"/>
      <c r="K924" s="8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7"/>
      <c r="B925" s="7"/>
      <c r="C925" s="7"/>
      <c r="D925" s="116"/>
      <c r="E925" s="116"/>
      <c r="F925" s="8"/>
      <c r="G925" s="8"/>
      <c r="H925" s="7"/>
      <c r="I925" s="8"/>
      <c r="J925" s="8"/>
      <c r="K925" s="8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7"/>
      <c r="B926" s="7"/>
      <c r="C926" s="7"/>
      <c r="D926" s="116"/>
      <c r="E926" s="116"/>
      <c r="F926" s="8"/>
      <c r="G926" s="8"/>
      <c r="H926" s="7"/>
      <c r="I926" s="8"/>
      <c r="J926" s="8"/>
      <c r="K926" s="8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7"/>
      <c r="B927" s="7"/>
      <c r="C927" s="7"/>
      <c r="D927" s="116"/>
      <c r="E927" s="116"/>
      <c r="F927" s="8"/>
      <c r="G927" s="8"/>
      <c r="H927" s="7"/>
      <c r="I927" s="8"/>
      <c r="J927" s="8"/>
      <c r="K927" s="8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7"/>
      <c r="B928" s="7"/>
      <c r="C928" s="7"/>
      <c r="D928" s="116"/>
      <c r="E928" s="116"/>
      <c r="F928" s="8"/>
      <c r="G928" s="8"/>
      <c r="H928" s="7"/>
      <c r="I928" s="8"/>
      <c r="J928" s="8"/>
      <c r="K928" s="8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7"/>
      <c r="B929" s="7"/>
      <c r="C929" s="7"/>
      <c r="D929" s="116"/>
      <c r="E929" s="116"/>
      <c r="F929" s="8"/>
      <c r="G929" s="8"/>
      <c r="H929" s="7"/>
      <c r="I929" s="8"/>
      <c r="J929" s="8"/>
      <c r="K929" s="8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7"/>
      <c r="B930" s="7"/>
      <c r="C930" s="7"/>
      <c r="D930" s="116"/>
      <c r="E930" s="116"/>
      <c r="F930" s="8"/>
      <c r="G930" s="8"/>
      <c r="H930" s="7"/>
      <c r="I930" s="8"/>
      <c r="J930" s="8"/>
      <c r="K930" s="8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7"/>
      <c r="B931" s="7"/>
      <c r="C931" s="7"/>
      <c r="D931" s="116"/>
      <c r="E931" s="116"/>
      <c r="F931" s="8"/>
      <c r="G931" s="8"/>
      <c r="H931" s="7"/>
      <c r="I931" s="8"/>
      <c r="J931" s="8"/>
      <c r="K931" s="8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7"/>
      <c r="B932" s="7"/>
      <c r="C932" s="7"/>
      <c r="D932" s="116"/>
      <c r="E932" s="116"/>
      <c r="F932" s="8"/>
      <c r="G932" s="8"/>
      <c r="H932" s="7"/>
      <c r="I932" s="8"/>
      <c r="J932" s="8"/>
      <c r="K932" s="8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7"/>
      <c r="B933" s="7"/>
      <c r="C933" s="7"/>
      <c r="D933" s="116"/>
      <c r="E933" s="116"/>
      <c r="F933" s="8"/>
      <c r="G933" s="8"/>
      <c r="H933" s="7"/>
      <c r="I933" s="8"/>
      <c r="J933" s="8"/>
      <c r="K933" s="8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7"/>
      <c r="B934" s="7"/>
      <c r="C934" s="7"/>
      <c r="D934" s="116"/>
      <c r="E934" s="116"/>
      <c r="F934" s="8"/>
      <c r="G934" s="8"/>
      <c r="H934" s="7"/>
      <c r="I934" s="8"/>
      <c r="J934" s="8"/>
      <c r="K934" s="8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7"/>
      <c r="B935" s="7"/>
      <c r="C935" s="7"/>
      <c r="D935" s="116"/>
      <c r="E935" s="116"/>
      <c r="F935" s="8"/>
      <c r="G935" s="8"/>
      <c r="H935" s="7"/>
      <c r="I935" s="8"/>
      <c r="J935" s="8"/>
      <c r="K935" s="8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7"/>
      <c r="B936" s="7"/>
      <c r="C936" s="7"/>
      <c r="D936" s="116"/>
      <c r="E936" s="116"/>
      <c r="F936" s="8"/>
      <c r="G936" s="8"/>
      <c r="H936" s="7"/>
      <c r="I936" s="8"/>
      <c r="J936" s="8"/>
      <c r="K936" s="8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7"/>
      <c r="B937" s="7"/>
      <c r="C937" s="7"/>
      <c r="D937" s="116"/>
      <c r="E937" s="116"/>
      <c r="F937" s="8"/>
      <c r="G937" s="8"/>
      <c r="H937" s="7"/>
      <c r="I937" s="8"/>
      <c r="J937" s="8"/>
      <c r="K937" s="8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7"/>
      <c r="B938" s="7"/>
      <c r="C938" s="7"/>
      <c r="D938" s="116"/>
      <c r="E938" s="116"/>
      <c r="F938" s="8"/>
      <c r="G938" s="8"/>
      <c r="H938" s="7"/>
      <c r="I938" s="8"/>
      <c r="J938" s="8"/>
      <c r="K938" s="8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7"/>
      <c r="B939" s="7"/>
      <c r="C939" s="7"/>
      <c r="D939" s="116"/>
      <c r="E939" s="116"/>
      <c r="F939" s="8"/>
      <c r="G939" s="8"/>
      <c r="H939" s="7"/>
      <c r="I939" s="8"/>
      <c r="J939" s="8"/>
      <c r="K939" s="8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7"/>
      <c r="B940" s="7"/>
      <c r="C940" s="7"/>
      <c r="D940" s="116"/>
      <c r="E940" s="116"/>
      <c r="F940" s="8"/>
      <c r="G940" s="8"/>
      <c r="H940" s="7"/>
      <c r="I940" s="8"/>
      <c r="J940" s="8"/>
      <c r="K940" s="8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7"/>
      <c r="B941" s="7"/>
      <c r="C941" s="7"/>
      <c r="D941" s="116"/>
      <c r="E941" s="116"/>
      <c r="F941" s="8"/>
      <c r="G941" s="8"/>
      <c r="H941" s="7"/>
      <c r="I941" s="8"/>
      <c r="J941" s="8"/>
      <c r="K941" s="8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7"/>
      <c r="B942" s="7"/>
      <c r="C942" s="7"/>
      <c r="D942" s="116"/>
      <c r="E942" s="116"/>
      <c r="F942" s="8"/>
      <c r="G942" s="8"/>
      <c r="H942" s="7"/>
      <c r="I942" s="8"/>
      <c r="J942" s="8"/>
      <c r="K942" s="8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7"/>
      <c r="B943" s="7"/>
      <c r="C943" s="7"/>
      <c r="D943" s="116"/>
      <c r="E943" s="116"/>
      <c r="F943" s="8"/>
      <c r="G943" s="8"/>
      <c r="H943" s="7"/>
      <c r="I943" s="8"/>
      <c r="J943" s="8"/>
      <c r="K943" s="8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7"/>
      <c r="B944" s="7"/>
      <c r="C944" s="7"/>
      <c r="D944" s="116"/>
      <c r="E944" s="116"/>
      <c r="F944" s="8"/>
      <c r="G944" s="8"/>
      <c r="H944" s="7"/>
      <c r="I944" s="8"/>
      <c r="J944" s="8"/>
      <c r="K944" s="8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7"/>
      <c r="B945" s="7"/>
      <c r="C945" s="7"/>
      <c r="D945" s="116"/>
      <c r="E945" s="116"/>
      <c r="F945" s="8"/>
      <c r="G945" s="8"/>
      <c r="H945" s="7"/>
      <c r="I945" s="8"/>
      <c r="J945" s="8"/>
      <c r="K945" s="8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7"/>
      <c r="B946" s="7"/>
      <c r="C946" s="7"/>
      <c r="D946" s="116"/>
      <c r="E946" s="116"/>
      <c r="F946" s="8"/>
      <c r="G946" s="8"/>
      <c r="H946" s="7"/>
      <c r="I946" s="8"/>
      <c r="J946" s="8"/>
      <c r="K946" s="8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7"/>
      <c r="B947" s="7"/>
      <c r="C947" s="7"/>
      <c r="D947" s="116"/>
      <c r="E947" s="116"/>
      <c r="F947" s="8"/>
      <c r="G947" s="8"/>
      <c r="H947" s="7"/>
      <c r="I947" s="8"/>
      <c r="J947" s="8"/>
      <c r="K947" s="8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7"/>
      <c r="B948" s="7"/>
      <c r="C948" s="7"/>
      <c r="D948" s="116"/>
      <c r="E948" s="116"/>
      <c r="F948" s="8"/>
      <c r="G948" s="8"/>
      <c r="H948" s="7"/>
      <c r="I948" s="8"/>
      <c r="J948" s="8"/>
      <c r="K948" s="8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7"/>
      <c r="B949" s="7"/>
      <c r="C949" s="7"/>
      <c r="D949" s="116"/>
      <c r="E949" s="116"/>
      <c r="F949" s="8"/>
      <c r="G949" s="8"/>
      <c r="H949" s="7"/>
      <c r="I949" s="8"/>
      <c r="J949" s="8"/>
      <c r="K949" s="8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7"/>
      <c r="B950" s="7"/>
      <c r="C950" s="7"/>
      <c r="D950" s="116"/>
      <c r="E950" s="116"/>
      <c r="F950" s="8"/>
      <c r="G950" s="8"/>
      <c r="H950" s="7"/>
      <c r="I950" s="8"/>
      <c r="J950" s="8"/>
      <c r="K950" s="8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7"/>
      <c r="B951" s="7"/>
      <c r="C951" s="7"/>
      <c r="D951" s="116"/>
      <c r="E951" s="116"/>
      <c r="F951" s="8"/>
      <c r="G951" s="8"/>
      <c r="H951" s="7"/>
      <c r="I951" s="8"/>
      <c r="J951" s="8"/>
      <c r="K951" s="8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7"/>
      <c r="B952" s="7"/>
      <c r="C952" s="7"/>
      <c r="D952" s="116"/>
      <c r="E952" s="116"/>
      <c r="F952" s="8"/>
      <c r="G952" s="8"/>
      <c r="H952" s="7"/>
      <c r="I952" s="8"/>
      <c r="J952" s="8"/>
      <c r="K952" s="8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7"/>
      <c r="B953" s="7"/>
      <c r="C953" s="7"/>
      <c r="D953" s="116"/>
      <c r="E953" s="116"/>
      <c r="F953" s="8"/>
      <c r="G953" s="8"/>
      <c r="H953" s="7"/>
      <c r="I953" s="8"/>
      <c r="J953" s="8"/>
      <c r="K953" s="8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7"/>
      <c r="B954" s="7"/>
      <c r="C954" s="7"/>
      <c r="D954" s="116"/>
      <c r="E954" s="116"/>
      <c r="F954" s="8"/>
      <c r="G954" s="8"/>
      <c r="H954" s="7"/>
      <c r="I954" s="8"/>
      <c r="J954" s="8"/>
      <c r="K954" s="8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7"/>
      <c r="B955" s="7"/>
      <c r="C955" s="7"/>
      <c r="D955" s="116"/>
      <c r="E955" s="116"/>
      <c r="F955" s="8"/>
      <c r="G955" s="8"/>
      <c r="H955" s="7"/>
      <c r="I955" s="8"/>
      <c r="J955" s="8"/>
      <c r="K955" s="8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7"/>
      <c r="B956" s="7"/>
      <c r="C956" s="7"/>
      <c r="D956" s="116"/>
      <c r="E956" s="116"/>
      <c r="F956" s="8"/>
      <c r="G956" s="8"/>
      <c r="H956" s="7"/>
      <c r="I956" s="8"/>
      <c r="J956" s="8"/>
      <c r="K956" s="8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7"/>
      <c r="B957" s="7"/>
      <c r="C957" s="7"/>
      <c r="D957" s="116"/>
      <c r="E957" s="116"/>
      <c r="F957" s="8"/>
      <c r="G957" s="8"/>
      <c r="H957" s="7"/>
      <c r="I957" s="8"/>
      <c r="J957" s="8"/>
      <c r="K957" s="8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7"/>
      <c r="B958" s="7"/>
      <c r="C958" s="7"/>
      <c r="D958" s="116"/>
      <c r="E958" s="116"/>
      <c r="F958" s="8"/>
      <c r="G958" s="8"/>
      <c r="H958" s="7"/>
      <c r="I958" s="8"/>
      <c r="J958" s="8"/>
      <c r="K958" s="8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7"/>
      <c r="B959" s="7"/>
      <c r="C959" s="7"/>
      <c r="D959" s="116"/>
      <c r="E959" s="116"/>
      <c r="F959" s="8"/>
      <c r="G959" s="8"/>
      <c r="H959" s="7"/>
      <c r="I959" s="8"/>
      <c r="J959" s="8"/>
      <c r="K959" s="8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7"/>
      <c r="B960" s="7"/>
      <c r="C960" s="7"/>
      <c r="D960" s="116"/>
      <c r="E960" s="116"/>
      <c r="F960" s="8"/>
      <c r="G960" s="8"/>
      <c r="H960" s="7"/>
      <c r="I960" s="8"/>
      <c r="J960" s="8"/>
      <c r="K960" s="8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7"/>
      <c r="B961" s="7"/>
      <c r="C961" s="7"/>
      <c r="D961" s="116"/>
      <c r="E961" s="116"/>
      <c r="F961" s="8"/>
      <c r="G961" s="8"/>
      <c r="H961" s="7"/>
      <c r="I961" s="8"/>
      <c r="J961" s="8"/>
      <c r="K961" s="8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7"/>
      <c r="B962" s="7"/>
      <c r="C962" s="7"/>
      <c r="D962" s="116"/>
      <c r="E962" s="116"/>
      <c r="F962" s="8"/>
      <c r="G962" s="8"/>
      <c r="H962" s="7"/>
      <c r="I962" s="8"/>
      <c r="J962" s="8"/>
      <c r="K962" s="8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7"/>
      <c r="B963" s="7"/>
      <c r="C963" s="7"/>
      <c r="D963" s="116"/>
      <c r="E963" s="116"/>
      <c r="F963" s="8"/>
      <c r="G963" s="8"/>
      <c r="H963" s="7"/>
      <c r="I963" s="8"/>
      <c r="J963" s="8"/>
      <c r="K963" s="8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7"/>
      <c r="B964" s="7"/>
      <c r="C964" s="7"/>
      <c r="D964" s="116"/>
      <c r="E964" s="116"/>
      <c r="F964" s="8"/>
      <c r="G964" s="8"/>
      <c r="H964" s="7"/>
      <c r="I964" s="8"/>
      <c r="J964" s="8"/>
      <c r="K964" s="8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7"/>
      <c r="B965" s="7"/>
      <c r="C965" s="7"/>
      <c r="D965" s="116"/>
      <c r="E965" s="116"/>
      <c r="F965" s="8"/>
      <c r="G965" s="8"/>
      <c r="H965" s="7"/>
      <c r="I965" s="8"/>
      <c r="J965" s="8"/>
      <c r="K965" s="8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7"/>
      <c r="B966" s="7"/>
      <c r="C966" s="7"/>
      <c r="D966" s="116"/>
      <c r="E966" s="116"/>
      <c r="F966" s="8"/>
      <c r="G966" s="8"/>
      <c r="H966" s="7"/>
      <c r="I966" s="8"/>
      <c r="J966" s="8"/>
      <c r="K966" s="8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7"/>
      <c r="B967" s="7"/>
      <c r="C967" s="7"/>
      <c r="D967" s="116"/>
      <c r="E967" s="116"/>
      <c r="F967" s="8"/>
      <c r="G967" s="8"/>
      <c r="H967" s="7"/>
      <c r="I967" s="8"/>
      <c r="J967" s="8"/>
      <c r="K967" s="8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7"/>
      <c r="B968" s="7"/>
      <c r="C968" s="7"/>
      <c r="D968" s="116"/>
      <c r="E968" s="116"/>
      <c r="F968" s="8"/>
      <c r="G968" s="8"/>
      <c r="H968" s="7"/>
      <c r="I968" s="8"/>
      <c r="J968" s="8"/>
      <c r="K968" s="8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7"/>
      <c r="B969" s="7"/>
      <c r="C969" s="7"/>
      <c r="D969" s="116"/>
      <c r="E969" s="116"/>
      <c r="F969" s="8"/>
      <c r="G969" s="8"/>
      <c r="H969" s="7"/>
      <c r="I969" s="8"/>
      <c r="J969" s="8"/>
      <c r="K969" s="8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7"/>
      <c r="B970" s="7"/>
      <c r="C970" s="7"/>
      <c r="D970" s="116"/>
      <c r="E970" s="116"/>
      <c r="F970" s="8"/>
      <c r="G970" s="8"/>
      <c r="H970" s="7"/>
      <c r="I970" s="8"/>
      <c r="J970" s="8"/>
      <c r="K970" s="8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7"/>
      <c r="B971" s="7"/>
      <c r="C971" s="7"/>
      <c r="D971" s="116"/>
      <c r="E971" s="116"/>
      <c r="F971" s="8"/>
      <c r="G971" s="8"/>
      <c r="H971" s="7"/>
      <c r="I971" s="8"/>
      <c r="J971" s="8"/>
      <c r="K971" s="8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7"/>
      <c r="B972" s="7"/>
      <c r="C972" s="7"/>
      <c r="D972" s="116"/>
      <c r="E972" s="116"/>
      <c r="F972" s="8"/>
      <c r="G972" s="8"/>
      <c r="H972" s="7"/>
      <c r="I972" s="8"/>
      <c r="J972" s="8"/>
      <c r="K972" s="8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7"/>
      <c r="B973" s="7"/>
      <c r="C973" s="7"/>
      <c r="D973" s="116"/>
      <c r="E973" s="116"/>
      <c r="F973" s="8"/>
      <c r="G973" s="8"/>
      <c r="H973" s="7"/>
      <c r="I973" s="8"/>
      <c r="J973" s="8"/>
      <c r="K973" s="8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7"/>
      <c r="B974" s="7"/>
      <c r="C974" s="7"/>
      <c r="D974" s="116"/>
      <c r="E974" s="116"/>
      <c r="F974" s="8"/>
      <c r="G974" s="8"/>
      <c r="H974" s="7"/>
      <c r="I974" s="8"/>
      <c r="J974" s="8"/>
      <c r="K974" s="8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7"/>
      <c r="B975" s="7"/>
      <c r="C975" s="7"/>
      <c r="D975" s="116"/>
      <c r="E975" s="116"/>
      <c r="F975" s="8"/>
      <c r="G975" s="8"/>
      <c r="H975" s="7"/>
      <c r="I975" s="8"/>
      <c r="J975" s="8"/>
      <c r="K975" s="8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7"/>
      <c r="B976" s="7"/>
      <c r="C976" s="7"/>
      <c r="D976" s="116"/>
      <c r="E976" s="116"/>
      <c r="F976" s="8"/>
      <c r="G976" s="8"/>
      <c r="H976" s="7"/>
      <c r="I976" s="8"/>
      <c r="J976" s="8"/>
      <c r="K976" s="8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7"/>
      <c r="B977" s="7"/>
      <c r="C977" s="7"/>
      <c r="D977" s="116"/>
      <c r="E977" s="116"/>
      <c r="F977" s="8"/>
      <c r="G977" s="8"/>
      <c r="H977" s="7"/>
      <c r="I977" s="8"/>
      <c r="J977" s="8"/>
      <c r="K977" s="8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7"/>
      <c r="B978" s="7"/>
      <c r="C978" s="7"/>
      <c r="D978" s="116"/>
      <c r="E978" s="116"/>
      <c r="F978" s="8"/>
      <c r="G978" s="8"/>
      <c r="H978" s="7"/>
      <c r="I978" s="8"/>
      <c r="J978" s="8"/>
      <c r="K978" s="8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7"/>
      <c r="B979" s="7"/>
      <c r="C979" s="7"/>
      <c r="D979" s="116"/>
      <c r="E979" s="116"/>
      <c r="F979" s="8"/>
      <c r="G979" s="8"/>
      <c r="H979" s="7"/>
      <c r="I979" s="8"/>
      <c r="J979" s="8"/>
      <c r="K979" s="8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7"/>
      <c r="B980" s="7"/>
      <c r="C980" s="7"/>
      <c r="D980" s="116"/>
      <c r="E980" s="116"/>
      <c r="F980" s="8"/>
      <c r="G980" s="8"/>
      <c r="H980" s="7"/>
      <c r="I980" s="8"/>
      <c r="J980" s="8"/>
      <c r="K980" s="8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7"/>
      <c r="B981" s="7"/>
      <c r="C981" s="7"/>
      <c r="D981" s="116"/>
      <c r="E981" s="116"/>
      <c r="F981" s="8"/>
      <c r="G981" s="8"/>
      <c r="H981" s="7"/>
      <c r="I981" s="8"/>
      <c r="J981" s="8"/>
      <c r="K981" s="8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7"/>
      <c r="B982" s="7"/>
      <c r="C982" s="7"/>
      <c r="D982" s="116"/>
      <c r="E982" s="116"/>
      <c r="F982" s="8"/>
      <c r="G982" s="8"/>
      <c r="H982" s="7"/>
      <c r="I982" s="8"/>
      <c r="J982" s="8"/>
      <c r="K982" s="8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7"/>
      <c r="B983" s="7"/>
      <c r="C983" s="7"/>
      <c r="D983" s="116"/>
      <c r="E983" s="116"/>
      <c r="F983" s="8"/>
      <c r="G983" s="8"/>
      <c r="H983" s="7"/>
      <c r="I983" s="8"/>
      <c r="J983" s="8"/>
      <c r="K983" s="8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7"/>
      <c r="B984" s="7"/>
      <c r="C984" s="7"/>
      <c r="D984" s="116"/>
      <c r="E984" s="116"/>
      <c r="F984" s="8"/>
      <c r="G984" s="8"/>
      <c r="H984" s="7"/>
      <c r="I984" s="8"/>
      <c r="J984" s="8"/>
      <c r="K984" s="8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7"/>
      <c r="B985" s="7"/>
      <c r="C985" s="7"/>
      <c r="D985" s="116"/>
      <c r="E985" s="116"/>
      <c r="F985" s="8"/>
      <c r="G985" s="8"/>
      <c r="H985" s="7"/>
      <c r="I985" s="8"/>
      <c r="J985" s="8"/>
      <c r="K985" s="8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7"/>
      <c r="B986" s="7"/>
      <c r="C986" s="7"/>
      <c r="D986" s="116"/>
      <c r="E986" s="116"/>
      <c r="F986" s="8"/>
      <c r="G986" s="8"/>
      <c r="H986" s="7"/>
      <c r="I986" s="8"/>
      <c r="J986" s="8"/>
      <c r="K986" s="8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7"/>
      <c r="B987" s="7"/>
      <c r="C987" s="7"/>
      <c r="D987" s="116"/>
      <c r="E987" s="116"/>
      <c r="F987" s="8"/>
      <c r="G987" s="8"/>
      <c r="H987" s="7"/>
      <c r="I987" s="8"/>
      <c r="J987" s="8"/>
      <c r="K987" s="8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7"/>
      <c r="B988" s="7"/>
      <c r="C988" s="7"/>
      <c r="D988" s="116"/>
      <c r="E988" s="116"/>
      <c r="F988" s="8"/>
      <c r="G988" s="8"/>
      <c r="H988" s="7"/>
      <c r="I988" s="8"/>
      <c r="J988" s="8"/>
      <c r="K988" s="8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7"/>
      <c r="B989" s="7"/>
      <c r="C989" s="7"/>
      <c r="D989" s="116"/>
      <c r="E989" s="116"/>
      <c r="F989" s="8"/>
      <c r="G989" s="8"/>
      <c r="H989" s="7"/>
      <c r="I989" s="8"/>
      <c r="J989" s="8"/>
      <c r="K989" s="8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7"/>
      <c r="B990" s="7"/>
      <c r="C990" s="7"/>
      <c r="D990" s="116"/>
      <c r="E990" s="116"/>
      <c r="F990" s="8"/>
      <c r="G990" s="8"/>
      <c r="H990" s="7"/>
      <c r="I990" s="8"/>
      <c r="J990" s="8"/>
      <c r="K990" s="8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7"/>
      <c r="B991" s="7"/>
      <c r="C991" s="7"/>
      <c r="D991" s="116"/>
      <c r="E991" s="116"/>
      <c r="F991" s="8"/>
      <c r="G991" s="8"/>
      <c r="H991" s="7"/>
      <c r="I991" s="8"/>
      <c r="J991" s="8"/>
      <c r="K991" s="8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7"/>
      <c r="B992" s="7"/>
      <c r="C992" s="7"/>
      <c r="D992" s="116"/>
      <c r="E992" s="116"/>
      <c r="F992" s="8"/>
      <c r="G992" s="8"/>
      <c r="H992" s="7"/>
      <c r="I992" s="8"/>
      <c r="J992" s="8"/>
      <c r="K992" s="8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7"/>
      <c r="B993" s="7"/>
      <c r="C993" s="7"/>
      <c r="D993" s="116"/>
      <c r="E993" s="116"/>
      <c r="F993" s="8"/>
      <c r="G993" s="8"/>
      <c r="H993" s="7"/>
      <c r="I993" s="8"/>
      <c r="J993" s="8"/>
      <c r="K993" s="8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7"/>
      <c r="B994" s="7"/>
      <c r="C994" s="7"/>
      <c r="D994" s="116"/>
      <c r="E994" s="116"/>
      <c r="F994" s="8"/>
      <c r="G994" s="8"/>
      <c r="H994" s="7"/>
      <c r="I994" s="8"/>
      <c r="J994" s="8"/>
      <c r="K994" s="8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7"/>
      <c r="B995" s="7"/>
      <c r="C995" s="7"/>
      <c r="D995" s="116"/>
      <c r="E995" s="116"/>
      <c r="F995" s="8"/>
      <c r="G995" s="8"/>
      <c r="H995" s="7"/>
      <c r="I995" s="8"/>
      <c r="J995" s="8"/>
      <c r="K995" s="8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7"/>
      <c r="B996" s="7"/>
      <c r="C996" s="7"/>
      <c r="D996" s="116"/>
      <c r="E996" s="116"/>
      <c r="F996" s="8"/>
      <c r="G996" s="8"/>
      <c r="H996" s="7"/>
      <c r="I996" s="8"/>
      <c r="J996" s="8"/>
      <c r="K996" s="8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7"/>
      <c r="B997" s="7"/>
      <c r="C997" s="7"/>
      <c r="D997" s="116"/>
      <c r="E997" s="116"/>
      <c r="F997" s="8"/>
      <c r="G997" s="8"/>
      <c r="H997" s="7"/>
      <c r="I997" s="8"/>
      <c r="J997" s="8"/>
      <c r="K997" s="8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7"/>
      <c r="B998" s="7"/>
      <c r="C998" s="7"/>
      <c r="D998" s="116"/>
      <c r="E998" s="116"/>
      <c r="F998" s="8"/>
      <c r="G998" s="8"/>
      <c r="H998" s="7"/>
      <c r="I998" s="8"/>
      <c r="J998" s="8"/>
      <c r="K998" s="8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7"/>
      <c r="B999" s="7"/>
      <c r="C999" s="7"/>
      <c r="D999" s="116"/>
      <c r="E999" s="116"/>
      <c r="F999" s="8"/>
      <c r="G999" s="8"/>
      <c r="H999" s="7"/>
      <c r="I999" s="8"/>
      <c r="J999" s="8"/>
      <c r="K999" s="8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7"/>
      <c r="B1000" s="7"/>
      <c r="C1000" s="7"/>
      <c r="D1000" s="116"/>
      <c r="E1000" s="116"/>
      <c r="F1000" s="8"/>
      <c r="G1000" s="8"/>
      <c r="H1000" s="7"/>
      <c r="I1000" s="8"/>
      <c r="J1000" s="8"/>
      <c r="K1000" s="8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7"/>
      <c r="B1001" s="7"/>
      <c r="C1001" s="7"/>
      <c r="D1001" s="116"/>
      <c r="E1001" s="116"/>
      <c r="F1001" s="8"/>
      <c r="G1001" s="8"/>
      <c r="H1001" s="7"/>
      <c r="I1001" s="8"/>
      <c r="J1001" s="8"/>
      <c r="K1001" s="8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  <row r="1002">
      <c r="A1002" s="7"/>
      <c r="B1002" s="7"/>
      <c r="C1002" s="7"/>
      <c r="D1002" s="116"/>
      <c r="E1002" s="116"/>
      <c r="F1002" s="8"/>
      <c r="G1002" s="8"/>
      <c r="H1002" s="7"/>
      <c r="I1002" s="8"/>
      <c r="J1002" s="8"/>
      <c r="K1002" s="8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</row>
    <row r="1003">
      <c r="A1003" s="7"/>
      <c r="B1003" s="7"/>
      <c r="C1003" s="7"/>
      <c r="D1003" s="116"/>
      <c r="E1003" s="116"/>
      <c r="F1003" s="8"/>
      <c r="G1003" s="8"/>
      <c r="H1003" s="7"/>
      <c r="I1003" s="8"/>
      <c r="J1003" s="8"/>
      <c r="K1003" s="8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</row>
    <row r="1004">
      <c r="A1004" s="7"/>
      <c r="B1004" s="7"/>
      <c r="C1004" s="7"/>
      <c r="D1004" s="116"/>
      <c r="E1004" s="116"/>
      <c r="F1004" s="8"/>
      <c r="G1004" s="8"/>
      <c r="H1004" s="7"/>
      <c r="I1004" s="8"/>
      <c r="J1004" s="8"/>
      <c r="K1004" s="8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>
      <c r="A1005" s="7"/>
      <c r="B1005" s="7"/>
      <c r="C1005" s="7"/>
      <c r="D1005" s="116"/>
      <c r="E1005" s="116"/>
      <c r="F1005" s="8"/>
      <c r="G1005" s="8"/>
      <c r="H1005" s="7"/>
      <c r="I1005" s="8"/>
      <c r="J1005" s="8"/>
      <c r="K1005" s="8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>
      <c r="A1006" s="7"/>
      <c r="B1006" s="7"/>
      <c r="C1006" s="7"/>
      <c r="D1006" s="116"/>
      <c r="E1006" s="116"/>
      <c r="F1006" s="8"/>
      <c r="G1006" s="8"/>
      <c r="H1006" s="7"/>
      <c r="I1006" s="8"/>
      <c r="J1006" s="8"/>
      <c r="K1006" s="8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>
      <c r="A1007" s="7"/>
      <c r="B1007" s="7"/>
      <c r="C1007" s="7"/>
      <c r="D1007" s="116"/>
      <c r="E1007" s="116"/>
      <c r="F1007" s="8"/>
      <c r="G1007" s="8"/>
      <c r="H1007" s="7"/>
      <c r="I1007" s="8"/>
      <c r="J1007" s="8"/>
      <c r="K1007" s="8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>
      <c r="A1008" s="7"/>
      <c r="B1008" s="7"/>
      <c r="C1008" s="7"/>
      <c r="D1008" s="116"/>
      <c r="E1008" s="116"/>
      <c r="F1008" s="8"/>
      <c r="G1008" s="8"/>
      <c r="H1008" s="7"/>
      <c r="I1008" s="8"/>
      <c r="J1008" s="8"/>
      <c r="K1008" s="8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>
      <c r="A1009" s="7"/>
      <c r="B1009" s="7"/>
      <c r="C1009" s="7"/>
      <c r="D1009" s="116"/>
      <c r="E1009" s="116"/>
      <c r="F1009" s="8"/>
      <c r="G1009" s="8"/>
      <c r="H1009" s="7"/>
      <c r="I1009" s="8"/>
      <c r="J1009" s="8"/>
      <c r="K1009" s="8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>
      <c r="A1010" s="7"/>
      <c r="B1010" s="7"/>
      <c r="C1010" s="7"/>
      <c r="D1010" s="116"/>
      <c r="E1010" s="116"/>
      <c r="F1010" s="8"/>
      <c r="G1010" s="8"/>
      <c r="H1010" s="7"/>
      <c r="I1010" s="8"/>
      <c r="J1010" s="8"/>
      <c r="K1010" s="8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>
      <c r="A1011" s="7"/>
      <c r="B1011" s="7"/>
      <c r="C1011" s="7"/>
      <c r="D1011" s="116"/>
      <c r="E1011" s="116"/>
      <c r="F1011" s="8"/>
      <c r="G1011" s="8"/>
      <c r="H1011" s="7"/>
      <c r="I1011" s="8"/>
      <c r="J1011" s="8"/>
      <c r="K1011" s="8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>
      <c r="A1012" s="7"/>
      <c r="B1012" s="7"/>
      <c r="C1012" s="7"/>
      <c r="D1012" s="116"/>
      <c r="E1012" s="116"/>
      <c r="F1012" s="8"/>
      <c r="G1012" s="8"/>
      <c r="H1012" s="7"/>
      <c r="I1012" s="8"/>
      <c r="J1012" s="8"/>
      <c r="K1012" s="8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>
      <c r="A1013" s="7"/>
      <c r="B1013" s="7"/>
      <c r="C1013" s="7"/>
      <c r="D1013" s="116"/>
      <c r="E1013" s="116"/>
      <c r="F1013" s="8"/>
      <c r="G1013" s="8"/>
      <c r="H1013" s="7"/>
      <c r="I1013" s="8"/>
      <c r="J1013" s="8"/>
      <c r="K1013" s="8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</row>
    <row r="1014">
      <c r="A1014" s="7"/>
      <c r="B1014" s="7"/>
      <c r="C1014" s="7"/>
      <c r="D1014" s="116"/>
      <c r="E1014" s="116"/>
      <c r="F1014" s="8"/>
      <c r="G1014" s="8"/>
      <c r="H1014" s="7"/>
      <c r="I1014" s="8"/>
      <c r="J1014" s="8"/>
      <c r="K1014" s="8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</row>
    <row r="1015">
      <c r="A1015" s="7"/>
      <c r="B1015" s="7"/>
      <c r="C1015" s="7"/>
      <c r="D1015" s="116"/>
      <c r="E1015" s="116"/>
      <c r="F1015" s="8"/>
      <c r="G1015" s="8"/>
      <c r="H1015" s="7"/>
      <c r="I1015" s="8"/>
      <c r="J1015" s="8"/>
      <c r="K1015" s="8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</row>
    <row r="1016">
      <c r="A1016" s="7"/>
      <c r="B1016" s="7"/>
      <c r="C1016" s="7"/>
      <c r="D1016" s="116"/>
      <c r="E1016" s="116"/>
      <c r="F1016" s="8"/>
      <c r="G1016" s="8"/>
      <c r="H1016" s="7"/>
      <c r="I1016" s="8"/>
      <c r="J1016" s="8"/>
      <c r="K1016" s="8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</row>
    <row r="1017">
      <c r="A1017" s="7"/>
      <c r="B1017" s="7"/>
      <c r="C1017" s="7"/>
      <c r="D1017" s="116"/>
      <c r="E1017" s="116"/>
      <c r="F1017" s="8"/>
      <c r="G1017" s="8"/>
      <c r="H1017" s="7"/>
      <c r="I1017" s="8"/>
      <c r="J1017" s="8"/>
      <c r="K1017" s="8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>
      <c r="A1018" s="7"/>
      <c r="B1018" s="7"/>
      <c r="C1018" s="7"/>
      <c r="D1018" s="116"/>
      <c r="E1018" s="116"/>
      <c r="F1018" s="8"/>
      <c r="G1018" s="8"/>
      <c r="H1018" s="7"/>
      <c r="I1018" s="8"/>
      <c r="J1018" s="8"/>
      <c r="K1018" s="8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>
      <c r="A1019" s="7"/>
      <c r="B1019" s="7"/>
      <c r="C1019" s="7"/>
      <c r="D1019" s="116"/>
      <c r="E1019" s="116"/>
      <c r="F1019" s="8"/>
      <c r="G1019" s="8"/>
      <c r="H1019" s="7"/>
      <c r="I1019" s="8"/>
      <c r="J1019" s="8"/>
      <c r="K1019" s="8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>
      <c r="A1020" s="7"/>
      <c r="B1020" s="7"/>
      <c r="C1020" s="7"/>
      <c r="D1020" s="116"/>
      <c r="E1020" s="116"/>
      <c r="F1020" s="8"/>
      <c r="G1020" s="8"/>
      <c r="H1020" s="7"/>
      <c r="I1020" s="8"/>
      <c r="J1020" s="8"/>
      <c r="K1020" s="8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>
      <c r="A1021" s="7"/>
      <c r="B1021" s="7"/>
      <c r="C1021" s="7"/>
      <c r="D1021" s="116"/>
      <c r="E1021" s="116"/>
      <c r="F1021" s="8"/>
      <c r="G1021" s="8"/>
      <c r="H1021" s="7"/>
      <c r="I1021" s="8"/>
      <c r="J1021" s="8"/>
      <c r="K1021" s="8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>
      <c r="A1022" s="7"/>
      <c r="B1022" s="7"/>
      <c r="C1022" s="7"/>
      <c r="D1022" s="116"/>
      <c r="E1022" s="116"/>
      <c r="F1022" s="8"/>
      <c r="G1022" s="8"/>
      <c r="H1022" s="7"/>
      <c r="I1022" s="8"/>
      <c r="J1022" s="8"/>
      <c r="K1022" s="8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>
      <c r="A1023" s="7"/>
      <c r="B1023" s="7"/>
      <c r="C1023" s="7"/>
      <c r="D1023" s="116"/>
      <c r="E1023" s="116"/>
      <c r="F1023" s="8"/>
      <c r="G1023" s="8"/>
      <c r="H1023" s="7"/>
      <c r="I1023" s="8"/>
      <c r="J1023" s="8"/>
      <c r="K1023" s="8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>
      <c r="A1024" s="7"/>
      <c r="B1024" s="7"/>
      <c r="C1024" s="7"/>
      <c r="D1024" s="116"/>
      <c r="E1024" s="116"/>
      <c r="F1024" s="8"/>
      <c r="G1024" s="8"/>
      <c r="H1024" s="7"/>
      <c r="I1024" s="8"/>
      <c r="J1024" s="8"/>
      <c r="K1024" s="8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</row>
    <row r="1025">
      <c r="A1025" s="7"/>
      <c r="B1025" s="7"/>
      <c r="C1025" s="7"/>
      <c r="D1025" s="116"/>
      <c r="E1025" s="116"/>
      <c r="F1025" s="8"/>
      <c r="G1025" s="8"/>
      <c r="H1025" s="7"/>
      <c r="I1025" s="8"/>
      <c r="J1025" s="8"/>
      <c r="K1025" s="8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</row>
    <row r="1026">
      <c r="A1026" s="7"/>
      <c r="B1026" s="7"/>
      <c r="C1026" s="7"/>
      <c r="D1026" s="116"/>
      <c r="E1026" s="116"/>
      <c r="F1026" s="8"/>
      <c r="G1026" s="8"/>
      <c r="H1026" s="7"/>
      <c r="I1026" s="8"/>
      <c r="J1026" s="8"/>
      <c r="K1026" s="8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</row>
    <row r="1027">
      <c r="A1027" s="7"/>
      <c r="B1027" s="7"/>
      <c r="C1027" s="7"/>
      <c r="D1027" s="116"/>
      <c r="E1027" s="116"/>
      <c r="F1027" s="8"/>
      <c r="G1027" s="8"/>
      <c r="H1027" s="7"/>
      <c r="I1027" s="8"/>
      <c r="J1027" s="8"/>
      <c r="K1027" s="8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</row>
    <row r="1028">
      <c r="A1028" s="7"/>
      <c r="B1028" s="7"/>
      <c r="C1028" s="7"/>
      <c r="D1028" s="116"/>
      <c r="E1028" s="116"/>
      <c r="F1028" s="8"/>
      <c r="G1028" s="8"/>
      <c r="H1028" s="7"/>
      <c r="I1028" s="8"/>
      <c r="J1028" s="8"/>
      <c r="K1028" s="8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>
      <c r="A1029" s="7"/>
      <c r="B1029" s="7"/>
      <c r="C1029" s="7"/>
      <c r="D1029" s="116"/>
      <c r="E1029" s="116"/>
      <c r="F1029" s="8"/>
      <c r="G1029" s="8"/>
      <c r="H1029" s="7"/>
      <c r="I1029" s="8"/>
      <c r="J1029" s="8"/>
      <c r="K1029" s="8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>
      <c r="A1030" s="7"/>
      <c r="B1030" s="7"/>
      <c r="C1030" s="7"/>
      <c r="D1030" s="116"/>
      <c r="E1030" s="116"/>
      <c r="F1030" s="8"/>
      <c r="G1030" s="8"/>
      <c r="H1030" s="7"/>
      <c r="I1030" s="8"/>
      <c r="J1030" s="8"/>
      <c r="K1030" s="8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>
      <c r="A1031" s="7"/>
      <c r="B1031" s="7"/>
      <c r="C1031" s="7"/>
      <c r="D1031" s="116"/>
      <c r="E1031" s="116"/>
      <c r="F1031" s="8"/>
      <c r="G1031" s="8"/>
      <c r="H1031" s="7"/>
      <c r="I1031" s="8"/>
      <c r="J1031" s="8"/>
      <c r="K1031" s="8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>
      <c r="A1032" s="7"/>
      <c r="B1032" s="7"/>
      <c r="C1032" s="7"/>
      <c r="D1032" s="116"/>
      <c r="E1032" s="116"/>
      <c r="F1032" s="8"/>
      <c r="G1032" s="8"/>
      <c r="H1032" s="7"/>
      <c r="I1032" s="8"/>
      <c r="J1032" s="8"/>
      <c r="K1032" s="8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>
      <c r="A1033" s="7"/>
      <c r="B1033" s="7"/>
      <c r="C1033" s="7"/>
      <c r="D1033" s="116"/>
      <c r="E1033" s="116"/>
      <c r="F1033" s="8"/>
      <c r="G1033" s="8"/>
      <c r="H1033" s="7"/>
      <c r="I1033" s="8"/>
      <c r="J1033" s="8"/>
      <c r="K1033" s="8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>
      <c r="A1034" s="7"/>
      <c r="B1034" s="7"/>
      <c r="C1034" s="7"/>
      <c r="D1034" s="116"/>
      <c r="E1034" s="116"/>
      <c r="F1034" s="8"/>
      <c r="G1034" s="8"/>
      <c r="H1034" s="7"/>
      <c r="I1034" s="8"/>
      <c r="J1034" s="8"/>
      <c r="K1034" s="8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  <row r="1035">
      <c r="A1035" s="7"/>
      <c r="B1035" s="7"/>
      <c r="C1035" s="7"/>
      <c r="D1035" s="116"/>
      <c r="E1035" s="116"/>
      <c r="F1035" s="8"/>
      <c r="G1035" s="8"/>
      <c r="H1035" s="7"/>
      <c r="I1035" s="8"/>
      <c r="J1035" s="8"/>
      <c r="K1035" s="8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</row>
    <row r="1036">
      <c r="A1036" s="7"/>
      <c r="B1036" s="7"/>
      <c r="C1036" s="7"/>
      <c r="D1036" s="116"/>
      <c r="E1036" s="116"/>
      <c r="F1036" s="8"/>
      <c r="G1036" s="8"/>
      <c r="H1036" s="7"/>
      <c r="I1036" s="8"/>
      <c r="J1036" s="8"/>
      <c r="K1036" s="8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</row>
    <row r="1037">
      <c r="A1037" s="7"/>
      <c r="B1037" s="7"/>
      <c r="C1037" s="7"/>
      <c r="D1037" s="116"/>
      <c r="E1037" s="116"/>
      <c r="F1037" s="8"/>
      <c r="G1037" s="8"/>
      <c r="H1037" s="7"/>
      <c r="I1037" s="8"/>
      <c r="J1037" s="8"/>
      <c r="K1037" s="8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</row>
    <row r="1038">
      <c r="A1038" s="7"/>
      <c r="B1038" s="7"/>
      <c r="C1038" s="7"/>
      <c r="D1038" s="116"/>
      <c r="E1038" s="116"/>
      <c r="F1038" s="8"/>
      <c r="G1038" s="8"/>
      <c r="H1038" s="7"/>
      <c r="I1038" s="8"/>
      <c r="J1038" s="8"/>
      <c r="K1038" s="8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</row>
    <row r="1039">
      <c r="A1039" s="7"/>
      <c r="B1039" s="7"/>
      <c r="C1039" s="7"/>
      <c r="D1039" s="116"/>
      <c r="E1039" s="116"/>
      <c r="F1039" s="8"/>
      <c r="G1039" s="8"/>
      <c r="H1039" s="7"/>
      <c r="I1039" s="8"/>
      <c r="J1039" s="8"/>
      <c r="K1039" s="8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</row>
    <row r="1040">
      <c r="A1040" s="7"/>
      <c r="B1040" s="7"/>
      <c r="C1040" s="7"/>
      <c r="D1040" s="116"/>
      <c r="E1040" s="116"/>
      <c r="F1040" s="8"/>
      <c r="G1040" s="8"/>
      <c r="H1040" s="7"/>
      <c r="I1040" s="8"/>
      <c r="J1040" s="8"/>
      <c r="K1040" s="8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</row>
    <row r="1041">
      <c r="A1041" s="7"/>
      <c r="B1041" s="7"/>
      <c r="C1041" s="7"/>
      <c r="D1041" s="116"/>
      <c r="E1041" s="116"/>
      <c r="F1041" s="8"/>
      <c r="G1041" s="8"/>
      <c r="H1041" s="7"/>
      <c r="I1041" s="8"/>
      <c r="J1041" s="8"/>
      <c r="K1041" s="8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</row>
    <row r="1042">
      <c r="A1042" s="7"/>
      <c r="B1042" s="7"/>
      <c r="C1042" s="7"/>
      <c r="D1042" s="116"/>
      <c r="E1042" s="116"/>
      <c r="F1042" s="8"/>
      <c r="G1042" s="8"/>
      <c r="H1042" s="7"/>
      <c r="I1042" s="8"/>
      <c r="J1042" s="8"/>
      <c r="K1042" s="8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</row>
    <row r="1043">
      <c r="A1043" s="7"/>
      <c r="B1043" s="7"/>
      <c r="C1043" s="7"/>
      <c r="D1043" s="116"/>
      <c r="E1043" s="116"/>
      <c r="F1043" s="8"/>
      <c r="G1043" s="8"/>
      <c r="H1043" s="7"/>
      <c r="I1043" s="8"/>
      <c r="J1043" s="8"/>
      <c r="K1043" s="8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</row>
    <row r="1044">
      <c r="A1044" s="7"/>
      <c r="B1044" s="7"/>
      <c r="C1044" s="7"/>
      <c r="D1044" s="116"/>
      <c r="E1044" s="116"/>
      <c r="F1044" s="8"/>
      <c r="G1044" s="8"/>
      <c r="H1044" s="7"/>
      <c r="I1044" s="8"/>
      <c r="J1044" s="8"/>
      <c r="K1044" s="8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</row>
    <row r="1045">
      <c r="A1045" s="7"/>
      <c r="B1045" s="7"/>
      <c r="C1045" s="7"/>
      <c r="D1045" s="116"/>
      <c r="E1045" s="116"/>
      <c r="F1045" s="8"/>
      <c r="G1045" s="8"/>
      <c r="H1045" s="7"/>
      <c r="I1045" s="8"/>
      <c r="J1045" s="8"/>
      <c r="K1045" s="8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</row>
    <row r="1046">
      <c r="A1046" s="7"/>
      <c r="B1046" s="7"/>
      <c r="C1046" s="7"/>
      <c r="D1046" s="116"/>
      <c r="E1046" s="116"/>
      <c r="F1046" s="8"/>
      <c r="G1046" s="8"/>
      <c r="H1046" s="7"/>
      <c r="I1046" s="8"/>
      <c r="J1046" s="8"/>
      <c r="K1046" s="8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</row>
    <row r="1047">
      <c r="A1047" s="7"/>
      <c r="B1047" s="7"/>
      <c r="C1047" s="7"/>
      <c r="D1047" s="116"/>
      <c r="E1047" s="116"/>
      <c r="F1047" s="8"/>
      <c r="G1047" s="8"/>
      <c r="H1047" s="7"/>
      <c r="I1047" s="8"/>
      <c r="J1047" s="8"/>
      <c r="K1047" s="8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</row>
    <row r="1048">
      <c r="A1048" s="7"/>
      <c r="B1048" s="7"/>
      <c r="C1048" s="7"/>
      <c r="D1048" s="116"/>
      <c r="E1048" s="116"/>
      <c r="F1048" s="8"/>
      <c r="G1048" s="8"/>
      <c r="H1048" s="7"/>
      <c r="I1048" s="8"/>
      <c r="J1048" s="8"/>
      <c r="K1048" s="8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</row>
    <row r="1049">
      <c r="A1049" s="7"/>
      <c r="B1049" s="7"/>
      <c r="C1049" s="7"/>
      <c r="D1049" s="116"/>
      <c r="E1049" s="116"/>
      <c r="F1049" s="8"/>
      <c r="G1049" s="8"/>
      <c r="H1049" s="7"/>
      <c r="I1049" s="8"/>
      <c r="J1049" s="8"/>
      <c r="K1049" s="8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</row>
    <row r="1050">
      <c r="A1050" s="7"/>
      <c r="B1050" s="7"/>
      <c r="C1050" s="7"/>
      <c r="D1050" s="116"/>
      <c r="E1050" s="116"/>
      <c r="F1050" s="8"/>
      <c r="G1050" s="8"/>
      <c r="H1050" s="7"/>
      <c r="I1050" s="8"/>
      <c r="J1050" s="8"/>
      <c r="K1050" s="8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</row>
    <row r="1051">
      <c r="A1051" s="7"/>
      <c r="B1051" s="7"/>
      <c r="C1051" s="7"/>
      <c r="D1051" s="116"/>
      <c r="E1051" s="116"/>
      <c r="F1051" s="8"/>
      <c r="G1051" s="8"/>
      <c r="H1051" s="7"/>
      <c r="I1051" s="8"/>
      <c r="J1051" s="8"/>
      <c r="K1051" s="8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</row>
    <row r="1052">
      <c r="A1052" s="7"/>
      <c r="B1052" s="7"/>
      <c r="C1052" s="7"/>
      <c r="D1052" s="116"/>
      <c r="E1052" s="116"/>
      <c r="F1052" s="8"/>
      <c r="G1052" s="8"/>
      <c r="H1052" s="7"/>
      <c r="I1052" s="8"/>
      <c r="J1052" s="8"/>
      <c r="K1052" s="8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</row>
    <row r="1053">
      <c r="A1053" s="7"/>
      <c r="B1053" s="7"/>
      <c r="C1053" s="7"/>
      <c r="D1053" s="116"/>
      <c r="E1053" s="116"/>
      <c r="F1053" s="8"/>
      <c r="G1053" s="8"/>
      <c r="H1053" s="7"/>
      <c r="I1053" s="8"/>
      <c r="J1053" s="8"/>
      <c r="K1053" s="8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</row>
    <row r="1054">
      <c r="A1054" s="7"/>
      <c r="B1054" s="7"/>
      <c r="C1054" s="7"/>
      <c r="D1054" s="116"/>
      <c r="E1054" s="116"/>
      <c r="F1054" s="8"/>
      <c r="G1054" s="8"/>
      <c r="H1054" s="7"/>
      <c r="I1054" s="8"/>
      <c r="J1054" s="8"/>
      <c r="K1054" s="8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</row>
    <row r="1055">
      <c r="A1055" s="7"/>
      <c r="B1055" s="7"/>
      <c r="C1055" s="7"/>
      <c r="D1055" s="116"/>
      <c r="E1055" s="116"/>
      <c r="F1055" s="8"/>
      <c r="G1055" s="8"/>
      <c r="H1055" s="7"/>
      <c r="I1055" s="8"/>
      <c r="J1055" s="8"/>
      <c r="K1055" s="8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</row>
    <row r="1056">
      <c r="A1056" s="7"/>
      <c r="B1056" s="7"/>
      <c r="C1056" s="7"/>
      <c r="D1056" s="116"/>
      <c r="E1056" s="116"/>
      <c r="F1056" s="8"/>
      <c r="G1056" s="8"/>
      <c r="H1056" s="7"/>
      <c r="I1056" s="8"/>
      <c r="J1056" s="8"/>
      <c r="K1056" s="8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</row>
    <row r="1057">
      <c r="A1057" s="7"/>
      <c r="B1057" s="7"/>
      <c r="C1057" s="7"/>
      <c r="D1057" s="116"/>
      <c r="E1057" s="116"/>
      <c r="F1057" s="8"/>
      <c r="G1057" s="8"/>
      <c r="H1057" s="7"/>
      <c r="I1057" s="8"/>
      <c r="J1057" s="8"/>
      <c r="K1057" s="8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</row>
    <row r="1058">
      <c r="A1058" s="7"/>
      <c r="B1058" s="7"/>
      <c r="C1058" s="7"/>
      <c r="D1058" s="116"/>
      <c r="E1058" s="116"/>
      <c r="F1058" s="8"/>
      <c r="G1058" s="8"/>
      <c r="H1058" s="7"/>
      <c r="I1058" s="8"/>
      <c r="J1058" s="8"/>
      <c r="K1058" s="8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</row>
    <row r="1059">
      <c r="A1059" s="7"/>
      <c r="B1059" s="7"/>
      <c r="C1059" s="7"/>
      <c r="D1059" s="116"/>
      <c r="E1059" s="116"/>
      <c r="F1059" s="8"/>
      <c r="G1059" s="8"/>
      <c r="H1059" s="7"/>
      <c r="I1059" s="8"/>
      <c r="J1059" s="8"/>
      <c r="K1059" s="8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</row>
    <row r="1060">
      <c r="A1060" s="7"/>
      <c r="B1060" s="7"/>
      <c r="C1060" s="7"/>
      <c r="D1060" s="116"/>
      <c r="E1060" s="116"/>
      <c r="F1060" s="8"/>
      <c r="G1060" s="8"/>
      <c r="H1060" s="7"/>
      <c r="I1060" s="8"/>
      <c r="J1060" s="8"/>
      <c r="K1060" s="8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</row>
    <row r="1061">
      <c r="A1061" s="7"/>
      <c r="B1061" s="7"/>
      <c r="C1061" s="7"/>
      <c r="D1061" s="116"/>
      <c r="E1061" s="116"/>
      <c r="F1061" s="8"/>
      <c r="G1061" s="8"/>
      <c r="H1061" s="7"/>
      <c r="I1061" s="8"/>
      <c r="J1061" s="8"/>
      <c r="K1061" s="8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</row>
    <row r="1062">
      <c r="A1062" s="7"/>
      <c r="B1062" s="7"/>
      <c r="C1062" s="7"/>
      <c r="D1062" s="116"/>
      <c r="E1062" s="116"/>
      <c r="F1062" s="8"/>
      <c r="G1062" s="8"/>
      <c r="H1062" s="7"/>
      <c r="I1062" s="8"/>
      <c r="J1062" s="8"/>
      <c r="K1062" s="8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</row>
    <row r="1063">
      <c r="A1063" s="7"/>
      <c r="B1063" s="7"/>
      <c r="C1063" s="7"/>
      <c r="D1063" s="116"/>
      <c r="E1063" s="116"/>
      <c r="F1063" s="8"/>
      <c r="G1063" s="8"/>
      <c r="H1063" s="7"/>
      <c r="I1063" s="8"/>
      <c r="J1063" s="8"/>
      <c r="K1063" s="8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</row>
    <row r="1064">
      <c r="A1064" s="7"/>
      <c r="B1064" s="7"/>
      <c r="C1064" s="7"/>
      <c r="D1064" s="116"/>
      <c r="E1064" s="116"/>
      <c r="F1064" s="8"/>
      <c r="G1064" s="8"/>
      <c r="H1064" s="7"/>
      <c r="I1064" s="8"/>
      <c r="J1064" s="8"/>
      <c r="K1064" s="8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</row>
    <row r="1065">
      <c r="A1065" s="7"/>
      <c r="B1065" s="7"/>
      <c r="C1065" s="7"/>
      <c r="D1065" s="116"/>
      <c r="E1065" s="116"/>
      <c r="F1065" s="8"/>
      <c r="G1065" s="8"/>
      <c r="H1065" s="7"/>
      <c r="I1065" s="8"/>
      <c r="J1065" s="8"/>
      <c r="K1065" s="8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</row>
    <row r="1066">
      <c r="A1066" s="7"/>
      <c r="B1066" s="7"/>
      <c r="C1066" s="7"/>
      <c r="D1066" s="116"/>
      <c r="E1066" s="116"/>
      <c r="F1066" s="8"/>
      <c r="G1066" s="8"/>
      <c r="H1066" s="7"/>
      <c r="I1066" s="8"/>
      <c r="J1066" s="8"/>
      <c r="K1066" s="8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</row>
    <row r="1067">
      <c r="A1067" s="7"/>
      <c r="B1067" s="7"/>
      <c r="C1067" s="7"/>
      <c r="D1067" s="116"/>
      <c r="E1067" s="116"/>
      <c r="F1067" s="8"/>
      <c r="G1067" s="8"/>
      <c r="H1067" s="7"/>
      <c r="I1067" s="8"/>
      <c r="J1067" s="8"/>
      <c r="K1067" s="8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</row>
    <row r="1068">
      <c r="A1068" s="7"/>
      <c r="B1068" s="7"/>
      <c r="C1068" s="7"/>
      <c r="D1068" s="116"/>
      <c r="E1068" s="116"/>
      <c r="F1068" s="8"/>
      <c r="G1068" s="8"/>
      <c r="H1068" s="7"/>
      <c r="I1068" s="8"/>
      <c r="J1068" s="8"/>
      <c r="K1068" s="8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</row>
    <row r="1069">
      <c r="A1069" s="7"/>
      <c r="B1069" s="7"/>
      <c r="C1069" s="7"/>
      <c r="D1069" s="116"/>
      <c r="E1069" s="116"/>
      <c r="F1069" s="8"/>
      <c r="G1069" s="8"/>
      <c r="H1069" s="7"/>
      <c r="I1069" s="8"/>
      <c r="J1069" s="8"/>
      <c r="K1069" s="8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</row>
    <row r="1070">
      <c r="A1070" s="7"/>
      <c r="B1070" s="7"/>
      <c r="C1070" s="7"/>
      <c r="D1070" s="116"/>
      <c r="E1070" s="116"/>
      <c r="F1070" s="8"/>
      <c r="G1070" s="8"/>
      <c r="H1070" s="7"/>
      <c r="I1070" s="8"/>
      <c r="J1070" s="8"/>
      <c r="K1070" s="8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</row>
    <row r="1071">
      <c r="A1071" s="7"/>
      <c r="B1071" s="7"/>
      <c r="C1071" s="7"/>
      <c r="D1071" s="116"/>
      <c r="E1071" s="116"/>
      <c r="F1071" s="8"/>
      <c r="G1071" s="8"/>
      <c r="H1071" s="7"/>
      <c r="I1071" s="8"/>
      <c r="J1071" s="8"/>
      <c r="K1071" s="8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</row>
    <row r="1072">
      <c r="A1072" s="7"/>
      <c r="B1072" s="7"/>
      <c r="C1072" s="7"/>
      <c r="D1072" s="116"/>
      <c r="E1072" s="116"/>
      <c r="F1072" s="8"/>
      <c r="G1072" s="8"/>
      <c r="H1072" s="7"/>
      <c r="I1072" s="8"/>
      <c r="J1072" s="8"/>
      <c r="K1072" s="8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</row>
    <row r="1073">
      <c r="A1073" s="7"/>
      <c r="B1073" s="7"/>
      <c r="C1073" s="7"/>
      <c r="D1073" s="116"/>
      <c r="E1073" s="116"/>
      <c r="F1073" s="8"/>
      <c r="G1073" s="8"/>
      <c r="H1073" s="7"/>
      <c r="I1073" s="8"/>
      <c r="J1073" s="8"/>
      <c r="K1073" s="8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</row>
    <row r="1074">
      <c r="A1074" s="7"/>
      <c r="B1074" s="7"/>
      <c r="C1074" s="7"/>
      <c r="D1074" s="116"/>
      <c r="E1074" s="116"/>
      <c r="F1074" s="8"/>
      <c r="G1074" s="8"/>
      <c r="H1074" s="7"/>
      <c r="I1074" s="8"/>
      <c r="J1074" s="8"/>
      <c r="K1074" s="8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</row>
    <row r="1075">
      <c r="A1075" s="7"/>
      <c r="B1075" s="7"/>
      <c r="C1075" s="7"/>
      <c r="D1075" s="116"/>
      <c r="E1075" s="116"/>
      <c r="F1075" s="8"/>
      <c r="G1075" s="8"/>
      <c r="H1075" s="7"/>
      <c r="I1075" s="8"/>
      <c r="J1075" s="8"/>
      <c r="K1075" s="8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</row>
    <row r="1076">
      <c r="A1076" s="7"/>
      <c r="B1076" s="7"/>
      <c r="C1076" s="7"/>
      <c r="D1076" s="116"/>
      <c r="E1076" s="116"/>
      <c r="F1076" s="8"/>
      <c r="G1076" s="8"/>
      <c r="H1076" s="7"/>
      <c r="I1076" s="8"/>
      <c r="J1076" s="8"/>
      <c r="K1076" s="8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</row>
    <row r="1077">
      <c r="A1077" s="7"/>
      <c r="B1077" s="7"/>
      <c r="C1077" s="7"/>
      <c r="D1077" s="116"/>
      <c r="E1077" s="116"/>
      <c r="F1077" s="8"/>
      <c r="G1077" s="8"/>
      <c r="H1077" s="7"/>
      <c r="I1077" s="8"/>
      <c r="J1077" s="8"/>
      <c r="K1077" s="8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</row>
    <row r="1078">
      <c r="A1078" s="7"/>
      <c r="B1078" s="7"/>
      <c r="C1078" s="7"/>
      <c r="D1078" s="116"/>
      <c r="E1078" s="116"/>
      <c r="F1078" s="8"/>
      <c r="G1078" s="8"/>
      <c r="H1078" s="7"/>
      <c r="I1078" s="8"/>
      <c r="J1078" s="8"/>
      <c r="K1078" s="8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</row>
    <row r="1079">
      <c r="A1079" s="7"/>
      <c r="B1079" s="7"/>
      <c r="C1079" s="7"/>
      <c r="D1079" s="116"/>
      <c r="E1079" s="116"/>
      <c r="F1079" s="8"/>
      <c r="G1079" s="8"/>
      <c r="H1079" s="7"/>
      <c r="I1079" s="8"/>
      <c r="J1079" s="8"/>
      <c r="K1079" s="8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</row>
    <row r="1080">
      <c r="A1080" s="7"/>
      <c r="B1080" s="7"/>
      <c r="C1080" s="7"/>
      <c r="D1080" s="116"/>
      <c r="E1080" s="116"/>
      <c r="F1080" s="8"/>
      <c r="G1080" s="8"/>
      <c r="H1080" s="7"/>
      <c r="I1080" s="8"/>
      <c r="J1080" s="8"/>
      <c r="K1080" s="8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</row>
    <row r="1081">
      <c r="A1081" s="7"/>
      <c r="B1081" s="7"/>
      <c r="C1081" s="7"/>
      <c r="D1081" s="116"/>
      <c r="E1081" s="116"/>
      <c r="F1081" s="8"/>
      <c r="G1081" s="8"/>
      <c r="H1081" s="7"/>
      <c r="I1081" s="8"/>
      <c r="J1081" s="8"/>
      <c r="K1081" s="8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</row>
    <row r="1082">
      <c r="A1082" s="7"/>
      <c r="B1082" s="7"/>
      <c r="C1082" s="7"/>
      <c r="D1082" s="116"/>
      <c r="E1082" s="116"/>
      <c r="F1082" s="8"/>
      <c r="G1082" s="8"/>
      <c r="H1082" s="7"/>
      <c r="I1082" s="8"/>
      <c r="J1082" s="8"/>
      <c r="K1082" s="8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</row>
    <row r="1083">
      <c r="A1083" s="7"/>
      <c r="B1083" s="7"/>
      <c r="C1083" s="7"/>
      <c r="D1083" s="116"/>
      <c r="E1083" s="116"/>
      <c r="F1083" s="8"/>
      <c r="G1083" s="8"/>
      <c r="H1083" s="7"/>
      <c r="I1083" s="8"/>
      <c r="J1083" s="8"/>
      <c r="K1083" s="8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</row>
    <row r="1084">
      <c r="A1084" s="7"/>
      <c r="B1084" s="7"/>
      <c r="C1084" s="7"/>
      <c r="D1084" s="116"/>
      <c r="E1084" s="116"/>
      <c r="F1084" s="8"/>
      <c r="G1084" s="8"/>
      <c r="H1084" s="7"/>
      <c r="I1084" s="8"/>
      <c r="J1084" s="8"/>
      <c r="K1084" s="8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</row>
    <row r="1085">
      <c r="A1085" s="7"/>
      <c r="B1085" s="7"/>
      <c r="C1085" s="7"/>
      <c r="D1085" s="116"/>
      <c r="E1085" s="116"/>
      <c r="F1085" s="8"/>
      <c r="G1085" s="8"/>
      <c r="H1085" s="7"/>
      <c r="I1085" s="8"/>
      <c r="J1085" s="8"/>
      <c r="K1085" s="8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</row>
    <row r="1086">
      <c r="A1086" s="7"/>
      <c r="B1086" s="7"/>
      <c r="C1086" s="7"/>
      <c r="D1086" s="116"/>
      <c r="E1086" s="116"/>
      <c r="F1086" s="8"/>
      <c r="G1086" s="8"/>
      <c r="H1086" s="7"/>
      <c r="I1086" s="8"/>
      <c r="J1086" s="8"/>
      <c r="K1086" s="8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</row>
    <row r="1087">
      <c r="A1087" s="7"/>
      <c r="B1087" s="7"/>
      <c r="C1087" s="7"/>
      <c r="D1087" s="116"/>
      <c r="E1087" s="116"/>
      <c r="F1087" s="8"/>
      <c r="G1087" s="8"/>
      <c r="H1087" s="7"/>
      <c r="I1087" s="8"/>
      <c r="J1087" s="8"/>
      <c r="K1087" s="8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</row>
    <row r="1088">
      <c r="A1088" s="7"/>
      <c r="B1088" s="7"/>
      <c r="C1088" s="7"/>
      <c r="D1088" s="116"/>
      <c r="E1088" s="116"/>
      <c r="F1088" s="8"/>
      <c r="G1088" s="8"/>
      <c r="H1088" s="7"/>
      <c r="I1088" s="8"/>
      <c r="J1088" s="8"/>
      <c r="K1088" s="8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</row>
    <row r="1089">
      <c r="A1089" s="7"/>
      <c r="B1089" s="7"/>
      <c r="C1089" s="7"/>
      <c r="D1089" s="116"/>
      <c r="E1089" s="116"/>
      <c r="F1089" s="8"/>
      <c r="G1089" s="8"/>
      <c r="H1089" s="7"/>
      <c r="I1089" s="8"/>
      <c r="J1089" s="8"/>
      <c r="K1089" s="8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</row>
    <row r="1090">
      <c r="A1090" s="7"/>
      <c r="B1090" s="7"/>
      <c r="C1090" s="7"/>
      <c r="D1090" s="116"/>
      <c r="E1090" s="116"/>
      <c r="F1090" s="8"/>
      <c r="G1090" s="8"/>
      <c r="H1090" s="7"/>
      <c r="I1090" s="8"/>
      <c r="J1090" s="8"/>
      <c r="K1090" s="8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</row>
    <row r="1091">
      <c r="A1091" s="7"/>
      <c r="B1091" s="7"/>
      <c r="C1091" s="7"/>
      <c r="D1091" s="116"/>
      <c r="E1091" s="116"/>
      <c r="F1091" s="8"/>
      <c r="G1091" s="8"/>
      <c r="H1091" s="7"/>
      <c r="I1091" s="8"/>
      <c r="J1091" s="8"/>
      <c r="K1091" s="8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</row>
    <row r="1092">
      <c r="A1092" s="7"/>
      <c r="B1092" s="7"/>
      <c r="C1092" s="7"/>
      <c r="D1092" s="116"/>
      <c r="E1092" s="116"/>
      <c r="F1092" s="8"/>
      <c r="G1092" s="8"/>
      <c r="H1092" s="7"/>
      <c r="I1092" s="8"/>
      <c r="J1092" s="8"/>
      <c r="K1092" s="8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</row>
    <row r="1093">
      <c r="A1093" s="7"/>
      <c r="B1093" s="7"/>
      <c r="C1093" s="7"/>
      <c r="D1093" s="116"/>
      <c r="E1093" s="116"/>
      <c r="F1093" s="8"/>
      <c r="G1093" s="8"/>
      <c r="H1093" s="7"/>
      <c r="I1093" s="8"/>
      <c r="J1093" s="8"/>
      <c r="K1093" s="8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</row>
    <row r="1094">
      <c r="A1094" s="7"/>
      <c r="B1094" s="7"/>
      <c r="C1094" s="7"/>
      <c r="D1094" s="116"/>
      <c r="E1094" s="116"/>
      <c r="F1094" s="8"/>
      <c r="G1094" s="8"/>
      <c r="H1094" s="7"/>
      <c r="I1094" s="8"/>
      <c r="J1094" s="8"/>
      <c r="K1094" s="8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</row>
    <row r="1095">
      <c r="A1095" s="7"/>
      <c r="B1095" s="7"/>
      <c r="C1095" s="7"/>
      <c r="D1095" s="116"/>
      <c r="E1095" s="116"/>
      <c r="F1095" s="8"/>
      <c r="G1095" s="8"/>
      <c r="H1095" s="7"/>
      <c r="I1095" s="8"/>
      <c r="J1095" s="8"/>
      <c r="K1095" s="8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</row>
    <row r="1096">
      <c r="A1096" s="7"/>
      <c r="B1096" s="7"/>
      <c r="C1096" s="7"/>
      <c r="D1096" s="116"/>
      <c r="E1096" s="116"/>
      <c r="F1096" s="8"/>
      <c r="G1096" s="8"/>
      <c r="H1096" s="7"/>
      <c r="I1096" s="8"/>
      <c r="J1096" s="8"/>
      <c r="K1096" s="8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</row>
    <row r="1097">
      <c r="A1097" s="7"/>
      <c r="B1097" s="7"/>
      <c r="C1097" s="7"/>
      <c r="D1097" s="116"/>
      <c r="E1097" s="116"/>
      <c r="F1097" s="8"/>
      <c r="G1097" s="8"/>
      <c r="H1097" s="7"/>
      <c r="I1097" s="8"/>
      <c r="J1097" s="8"/>
      <c r="K1097" s="8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</row>
    <row r="1098">
      <c r="A1098" s="7"/>
      <c r="B1098" s="7"/>
      <c r="C1098" s="7"/>
      <c r="D1098" s="116"/>
      <c r="E1098" s="116"/>
      <c r="F1098" s="8"/>
      <c r="G1098" s="8"/>
      <c r="H1098" s="7"/>
      <c r="I1098" s="8"/>
      <c r="J1098" s="8"/>
      <c r="K1098" s="8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</row>
    <row r="1099">
      <c r="A1099" s="7"/>
      <c r="B1099" s="7"/>
      <c r="C1099" s="7"/>
      <c r="D1099" s="116"/>
      <c r="E1099" s="116"/>
      <c r="F1099" s="8"/>
      <c r="G1099" s="8"/>
      <c r="H1099" s="7"/>
      <c r="I1099" s="8"/>
      <c r="J1099" s="8"/>
      <c r="K1099" s="8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</row>
    <row r="1100">
      <c r="A1100" s="7"/>
      <c r="B1100" s="7"/>
      <c r="C1100" s="7"/>
      <c r="D1100" s="116"/>
      <c r="E1100" s="116"/>
      <c r="F1100" s="8"/>
      <c r="G1100" s="8"/>
      <c r="H1100" s="7"/>
      <c r="I1100" s="8"/>
      <c r="J1100" s="8"/>
      <c r="K1100" s="8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</row>
    <row r="1101">
      <c r="A1101" s="7"/>
      <c r="B1101" s="7"/>
      <c r="C1101" s="7"/>
      <c r="D1101" s="116"/>
      <c r="E1101" s="116"/>
      <c r="F1101" s="8"/>
      <c r="G1101" s="8"/>
      <c r="H1101" s="7"/>
      <c r="I1101" s="8"/>
      <c r="J1101" s="8"/>
      <c r="K1101" s="8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</row>
    <row r="1102">
      <c r="A1102" s="7"/>
      <c r="B1102" s="7"/>
      <c r="C1102" s="7"/>
      <c r="D1102" s="116"/>
      <c r="E1102" s="116"/>
      <c r="F1102" s="8"/>
      <c r="G1102" s="8"/>
      <c r="H1102" s="7"/>
      <c r="I1102" s="8"/>
      <c r="J1102" s="8"/>
      <c r="K1102" s="8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</row>
    <row r="1103">
      <c r="A1103" s="7"/>
      <c r="B1103" s="7"/>
      <c r="C1103" s="7"/>
      <c r="D1103" s="116"/>
      <c r="E1103" s="116"/>
      <c r="F1103" s="8"/>
      <c r="G1103" s="8"/>
      <c r="H1103" s="7"/>
      <c r="I1103" s="8"/>
      <c r="J1103" s="8"/>
      <c r="K1103" s="8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</row>
    <row r="1104">
      <c r="A1104" s="7"/>
      <c r="B1104" s="7"/>
      <c r="C1104" s="7"/>
      <c r="D1104" s="116"/>
      <c r="E1104" s="116"/>
      <c r="F1104" s="8"/>
      <c r="G1104" s="8"/>
      <c r="H1104" s="7"/>
      <c r="I1104" s="8"/>
      <c r="J1104" s="8"/>
      <c r="K1104" s="8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</row>
    <row r="1105">
      <c r="A1105" s="7"/>
      <c r="B1105" s="7"/>
      <c r="C1105" s="7"/>
      <c r="D1105" s="116"/>
      <c r="E1105" s="116"/>
      <c r="F1105" s="8"/>
      <c r="G1105" s="8"/>
      <c r="H1105" s="7"/>
      <c r="I1105" s="8"/>
      <c r="J1105" s="8"/>
      <c r="K1105" s="8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</row>
    <row r="1106">
      <c r="A1106" s="7"/>
      <c r="B1106" s="7"/>
      <c r="C1106" s="7"/>
      <c r="D1106" s="116"/>
      <c r="E1106" s="116"/>
      <c r="F1106" s="8"/>
      <c r="G1106" s="8"/>
      <c r="H1106" s="7"/>
      <c r="I1106" s="8"/>
      <c r="J1106" s="8"/>
      <c r="K1106" s="8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</row>
    <row r="1107">
      <c r="A1107" s="7"/>
      <c r="B1107" s="7"/>
      <c r="C1107" s="7"/>
      <c r="D1107" s="116"/>
      <c r="E1107" s="116"/>
      <c r="F1107" s="8"/>
      <c r="G1107" s="8"/>
      <c r="H1107" s="7"/>
      <c r="I1107" s="8"/>
      <c r="J1107" s="8"/>
      <c r="K1107" s="8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</row>
    <row r="1108">
      <c r="A1108" s="7"/>
      <c r="B1108" s="7"/>
      <c r="C1108" s="7"/>
      <c r="D1108" s="116"/>
      <c r="E1108" s="116"/>
      <c r="F1108" s="8"/>
      <c r="G1108" s="8"/>
      <c r="H1108" s="7"/>
      <c r="I1108" s="8"/>
      <c r="J1108" s="8"/>
      <c r="K1108" s="8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</row>
    <row r="1109">
      <c r="A1109" s="7"/>
      <c r="B1109" s="7"/>
      <c r="C1109" s="7"/>
      <c r="D1109" s="116"/>
      <c r="E1109" s="116"/>
      <c r="F1109" s="8"/>
      <c r="G1109" s="8"/>
      <c r="H1109" s="7"/>
      <c r="I1109" s="8"/>
      <c r="J1109" s="8"/>
      <c r="K1109" s="8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</row>
    <row r="1110">
      <c r="A1110" s="7"/>
      <c r="B1110" s="7"/>
      <c r="C1110" s="7"/>
      <c r="D1110" s="116"/>
      <c r="E1110" s="116"/>
      <c r="F1110" s="8"/>
      <c r="G1110" s="8"/>
      <c r="H1110" s="7"/>
      <c r="I1110" s="8"/>
      <c r="J1110" s="8"/>
      <c r="K1110" s="8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</row>
    <row r="1111">
      <c r="A1111" s="7"/>
      <c r="B1111" s="7"/>
      <c r="C1111" s="7"/>
      <c r="D1111" s="116"/>
      <c r="E1111" s="116"/>
      <c r="F1111" s="8"/>
      <c r="G1111" s="8"/>
      <c r="H1111" s="7"/>
      <c r="I1111" s="8"/>
      <c r="J1111" s="8"/>
      <c r="K1111" s="8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</row>
    <row r="1112">
      <c r="A1112" s="7"/>
      <c r="B1112" s="7"/>
      <c r="C1112" s="7"/>
      <c r="D1112" s="116"/>
      <c r="E1112" s="116"/>
      <c r="F1112" s="8"/>
      <c r="G1112" s="8"/>
      <c r="H1112" s="7"/>
      <c r="I1112" s="8"/>
      <c r="J1112" s="8"/>
      <c r="K1112" s="8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</row>
    <row r="1113">
      <c r="A1113" s="7"/>
      <c r="B1113" s="7"/>
      <c r="C1113" s="7"/>
      <c r="D1113" s="116"/>
      <c r="E1113" s="116"/>
      <c r="F1113" s="8"/>
      <c r="G1113" s="8"/>
      <c r="H1113" s="7"/>
      <c r="I1113" s="8"/>
      <c r="J1113" s="8"/>
      <c r="K1113" s="8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</row>
    <row r="1114">
      <c r="A1114" s="7"/>
      <c r="B1114" s="7"/>
      <c r="C1114" s="7"/>
      <c r="D1114" s="116"/>
      <c r="E1114" s="116"/>
      <c r="F1114" s="8"/>
      <c r="G1114" s="8"/>
      <c r="H1114" s="7"/>
      <c r="I1114" s="8"/>
      <c r="J1114" s="8"/>
      <c r="K1114" s="8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</row>
    <row r="1115">
      <c r="A1115" s="7"/>
      <c r="B1115" s="7"/>
      <c r="C1115" s="7"/>
      <c r="D1115" s="116"/>
      <c r="E1115" s="116"/>
      <c r="F1115" s="8"/>
      <c r="G1115" s="8"/>
      <c r="H1115" s="7"/>
      <c r="I1115" s="8"/>
      <c r="J1115" s="8"/>
      <c r="K1115" s="8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</row>
    <row r="1116">
      <c r="A1116" s="7"/>
      <c r="B1116" s="7"/>
      <c r="C1116" s="7"/>
      <c r="D1116" s="116"/>
      <c r="E1116" s="116"/>
      <c r="F1116" s="8"/>
      <c r="G1116" s="8"/>
      <c r="H1116" s="7"/>
      <c r="I1116" s="8"/>
      <c r="J1116" s="8"/>
      <c r="K1116" s="8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</row>
    <row r="1117">
      <c r="A1117" s="7"/>
      <c r="B1117" s="7"/>
      <c r="C1117" s="7"/>
      <c r="D1117" s="116"/>
      <c r="E1117" s="116"/>
      <c r="F1117" s="8"/>
      <c r="G1117" s="8"/>
      <c r="H1117" s="7"/>
      <c r="I1117" s="8"/>
      <c r="J1117" s="8"/>
      <c r="K1117" s="8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</row>
    <row r="1118">
      <c r="A1118" s="7"/>
      <c r="B1118" s="7"/>
      <c r="C1118" s="7"/>
      <c r="D1118" s="116"/>
      <c r="E1118" s="116"/>
      <c r="F1118" s="8"/>
      <c r="G1118" s="8"/>
      <c r="H1118" s="7"/>
      <c r="I1118" s="8"/>
      <c r="J1118" s="8"/>
      <c r="K1118" s="8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</row>
    <row r="1119">
      <c r="A1119" s="7"/>
      <c r="B1119" s="7"/>
      <c r="C1119" s="7"/>
      <c r="D1119" s="116"/>
      <c r="E1119" s="116"/>
      <c r="F1119" s="8"/>
      <c r="G1119" s="8"/>
      <c r="H1119" s="7"/>
      <c r="I1119" s="8"/>
      <c r="J1119" s="8"/>
      <c r="K1119" s="8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</row>
    <row r="1120">
      <c r="A1120" s="7"/>
      <c r="B1120" s="7"/>
      <c r="C1120" s="7"/>
      <c r="D1120" s="116"/>
      <c r="E1120" s="116"/>
      <c r="F1120" s="8"/>
      <c r="G1120" s="8"/>
      <c r="H1120" s="7"/>
      <c r="I1120" s="8"/>
      <c r="J1120" s="8"/>
      <c r="K1120" s="8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</row>
    <row r="1121">
      <c r="A1121" s="7"/>
      <c r="B1121" s="7"/>
      <c r="C1121" s="7"/>
      <c r="D1121" s="116"/>
      <c r="E1121" s="116"/>
      <c r="F1121" s="8"/>
      <c r="G1121" s="8"/>
      <c r="H1121" s="7"/>
      <c r="I1121" s="8"/>
      <c r="J1121" s="8"/>
      <c r="K1121" s="8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</row>
    <row r="1122">
      <c r="A1122" s="7"/>
      <c r="B1122" s="7"/>
      <c r="C1122" s="7"/>
      <c r="D1122" s="116"/>
      <c r="E1122" s="116"/>
      <c r="F1122" s="8"/>
      <c r="G1122" s="8"/>
      <c r="H1122" s="7"/>
      <c r="I1122" s="8"/>
      <c r="J1122" s="8"/>
      <c r="K1122" s="8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</row>
    <row r="1123">
      <c r="A1123" s="7"/>
      <c r="B1123" s="7"/>
      <c r="C1123" s="7"/>
      <c r="D1123" s="116"/>
      <c r="E1123" s="116"/>
      <c r="F1123" s="8"/>
      <c r="G1123" s="8"/>
      <c r="H1123" s="7"/>
      <c r="I1123" s="8"/>
      <c r="J1123" s="8"/>
      <c r="K1123" s="8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</row>
    <row r="1124">
      <c r="A1124" s="7"/>
      <c r="B1124" s="7"/>
      <c r="C1124" s="7"/>
      <c r="D1124" s="116"/>
      <c r="E1124" s="116"/>
      <c r="F1124" s="8"/>
      <c r="G1124" s="8"/>
      <c r="H1124" s="7"/>
      <c r="I1124" s="8"/>
      <c r="J1124" s="8"/>
      <c r="K1124" s="8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</row>
    <row r="1125">
      <c r="A1125" s="7"/>
      <c r="B1125" s="7"/>
      <c r="C1125" s="7"/>
      <c r="D1125" s="116"/>
      <c r="E1125" s="116"/>
      <c r="F1125" s="8"/>
      <c r="G1125" s="8"/>
      <c r="H1125" s="7"/>
      <c r="I1125" s="8"/>
      <c r="J1125" s="8"/>
      <c r="K1125" s="8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</row>
    <row r="1126">
      <c r="A1126" s="7"/>
      <c r="B1126" s="7"/>
      <c r="C1126" s="7"/>
      <c r="D1126" s="116"/>
      <c r="E1126" s="116"/>
      <c r="F1126" s="8"/>
      <c r="G1126" s="8"/>
      <c r="H1126" s="7"/>
      <c r="I1126" s="8"/>
      <c r="J1126" s="8"/>
      <c r="K1126" s="8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</row>
    <row r="1127">
      <c r="A1127" s="7"/>
      <c r="B1127" s="7"/>
      <c r="C1127" s="7"/>
      <c r="D1127" s="116"/>
      <c r="E1127" s="116"/>
      <c r="F1127" s="8"/>
      <c r="G1127" s="8"/>
      <c r="H1127" s="7"/>
      <c r="I1127" s="8"/>
      <c r="J1127" s="8"/>
      <c r="K1127" s="8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</row>
    <row r="1128">
      <c r="A1128" s="7"/>
      <c r="B1128" s="7"/>
      <c r="C1128" s="7"/>
      <c r="D1128" s="116"/>
      <c r="E1128" s="116"/>
      <c r="F1128" s="8"/>
      <c r="G1128" s="8"/>
      <c r="H1128" s="7"/>
      <c r="I1128" s="8"/>
      <c r="J1128" s="8"/>
      <c r="K1128" s="8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</row>
    <row r="1129">
      <c r="A1129" s="7"/>
      <c r="B1129" s="7"/>
      <c r="C1129" s="7"/>
      <c r="D1129" s="116"/>
      <c r="E1129" s="116"/>
      <c r="F1129" s="8"/>
      <c r="G1129" s="8"/>
      <c r="H1129" s="7"/>
      <c r="I1129" s="8"/>
      <c r="J1129" s="8"/>
      <c r="K1129" s="8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</row>
    <row r="1130">
      <c r="A1130" s="7"/>
      <c r="B1130" s="7"/>
      <c r="C1130" s="7"/>
      <c r="D1130" s="116"/>
      <c r="E1130" s="116"/>
      <c r="F1130" s="8"/>
      <c r="G1130" s="8"/>
      <c r="H1130" s="7"/>
      <c r="I1130" s="8"/>
      <c r="J1130" s="8"/>
      <c r="K1130" s="8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</row>
    <row r="1131">
      <c r="A1131" s="7"/>
      <c r="B1131" s="7"/>
      <c r="C1131" s="7"/>
      <c r="D1131" s="116"/>
      <c r="E1131" s="116"/>
      <c r="F1131" s="8"/>
      <c r="G1131" s="8"/>
      <c r="H1131" s="7"/>
      <c r="I1131" s="8"/>
      <c r="J1131" s="8"/>
      <c r="K1131" s="8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</row>
    <row r="1132">
      <c r="A1132" s="7"/>
      <c r="B1132" s="7"/>
      <c r="C1132" s="7"/>
      <c r="D1132" s="116"/>
      <c r="E1132" s="116"/>
      <c r="F1132" s="8"/>
      <c r="G1132" s="8"/>
      <c r="H1132" s="7"/>
      <c r="I1132" s="8"/>
      <c r="J1132" s="8"/>
      <c r="K1132" s="8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</row>
    <row r="1133">
      <c r="A1133" s="7"/>
      <c r="B1133" s="7"/>
      <c r="C1133" s="7"/>
      <c r="D1133" s="116"/>
      <c r="E1133" s="116"/>
      <c r="F1133" s="8"/>
      <c r="G1133" s="8"/>
      <c r="H1133" s="7"/>
      <c r="I1133" s="8"/>
      <c r="J1133" s="8"/>
      <c r="K1133" s="8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</row>
    <row r="1134">
      <c r="A1134" s="7"/>
      <c r="B1134" s="7"/>
      <c r="C1134" s="7"/>
      <c r="D1134" s="116"/>
      <c r="E1134" s="116"/>
      <c r="F1134" s="8"/>
      <c r="G1134" s="8"/>
      <c r="H1134" s="7"/>
      <c r="I1134" s="8"/>
      <c r="J1134" s="8"/>
      <c r="K1134" s="8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</row>
    <row r="1135">
      <c r="A1135" s="7"/>
      <c r="B1135" s="7"/>
      <c r="C1135" s="7"/>
      <c r="D1135" s="116"/>
      <c r="E1135" s="116"/>
      <c r="F1135" s="8"/>
      <c r="G1135" s="8"/>
      <c r="H1135" s="7"/>
      <c r="I1135" s="8"/>
      <c r="J1135" s="8"/>
      <c r="K1135" s="8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</row>
    <row r="1136">
      <c r="A1136" s="7"/>
      <c r="B1136" s="7"/>
      <c r="C1136" s="7"/>
      <c r="D1136" s="116"/>
      <c r="E1136" s="116"/>
      <c r="F1136" s="8"/>
      <c r="G1136" s="8"/>
      <c r="H1136" s="7"/>
      <c r="I1136" s="8"/>
      <c r="J1136" s="8"/>
      <c r="K1136" s="8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</row>
    <row r="1137">
      <c r="A1137" s="7"/>
      <c r="B1137" s="7"/>
      <c r="C1137" s="7"/>
      <c r="D1137" s="116"/>
      <c r="E1137" s="116"/>
      <c r="F1137" s="8"/>
      <c r="G1137" s="8"/>
      <c r="H1137" s="7"/>
      <c r="I1137" s="8"/>
      <c r="J1137" s="8"/>
      <c r="K1137" s="8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</row>
    <row r="1138">
      <c r="A1138" s="7"/>
      <c r="B1138" s="7"/>
      <c r="C1138" s="7"/>
      <c r="D1138" s="116"/>
      <c r="E1138" s="116"/>
      <c r="F1138" s="8"/>
      <c r="G1138" s="8"/>
      <c r="H1138" s="7"/>
      <c r="I1138" s="8"/>
      <c r="J1138" s="8"/>
      <c r="K1138" s="8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</row>
    <row r="1139">
      <c r="A1139" s="7"/>
      <c r="B1139" s="7"/>
      <c r="C1139" s="7"/>
      <c r="D1139" s="116"/>
      <c r="E1139" s="116"/>
      <c r="F1139" s="8"/>
      <c r="G1139" s="8"/>
      <c r="H1139" s="7"/>
      <c r="I1139" s="8"/>
      <c r="J1139" s="8"/>
      <c r="K1139" s="8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</row>
    <row r="1140">
      <c r="A1140" s="7"/>
      <c r="B1140" s="7"/>
      <c r="C1140" s="7"/>
      <c r="D1140" s="116"/>
      <c r="E1140" s="116"/>
      <c r="F1140" s="8"/>
      <c r="G1140" s="8"/>
      <c r="H1140" s="7"/>
      <c r="I1140" s="8"/>
      <c r="J1140" s="8"/>
      <c r="K1140" s="8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</row>
    <row r="1141">
      <c r="A1141" s="7"/>
      <c r="B1141" s="7"/>
      <c r="C1141" s="7"/>
      <c r="D1141" s="116"/>
      <c r="E1141" s="116"/>
      <c r="F1141" s="8"/>
      <c r="G1141" s="8"/>
      <c r="H1141" s="7"/>
      <c r="I1141" s="8"/>
      <c r="J1141" s="8"/>
      <c r="K1141" s="8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</row>
    <row r="1142">
      <c r="A1142" s="7"/>
      <c r="B1142" s="7"/>
      <c r="C1142" s="7"/>
      <c r="D1142" s="116"/>
      <c r="E1142" s="116"/>
      <c r="F1142" s="8"/>
      <c r="G1142" s="8"/>
      <c r="H1142" s="7"/>
      <c r="I1142" s="8"/>
      <c r="J1142" s="8"/>
      <c r="K1142" s="8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</row>
    <row r="1143">
      <c r="A1143" s="7"/>
      <c r="B1143" s="7"/>
      <c r="C1143" s="7"/>
      <c r="D1143" s="116"/>
      <c r="E1143" s="116"/>
      <c r="F1143" s="8"/>
      <c r="G1143" s="8"/>
      <c r="H1143" s="7"/>
      <c r="I1143" s="8"/>
      <c r="J1143" s="8"/>
      <c r="K1143" s="8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</row>
    <row r="1144">
      <c r="A1144" s="7"/>
      <c r="B1144" s="7"/>
      <c r="C1144" s="7"/>
      <c r="D1144" s="116"/>
      <c r="E1144" s="116"/>
      <c r="F1144" s="8"/>
      <c r="G1144" s="8"/>
      <c r="H1144" s="7"/>
      <c r="I1144" s="8"/>
      <c r="J1144" s="8"/>
      <c r="K1144" s="8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</row>
    <row r="1145">
      <c r="A1145" s="7"/>
      <c r="B1145" s="7"/>
      <c r="C1145" s="7"/>
      <c r="D1145" s="116"/>
      <c r="E1145" s="116"/>
      <c r="F1145" s="8"/>
      <c r="G1145" s="8"/>
      <c r="H1145" s="7"/>
      <c r="I1145" s="8"/>
      <c r="J1145" s="8"/>
      <c r="K1145" s="8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</row>
    <row r="1146">
      <c r="A1146" s="7"/>
      <c r="B1146" s="7"/>
      <c r="C1146" s="7"/>
      <c r="D1146" s="116"/>
      <c r="E1146" s="116"/>
      <c r="F1146" s="8"/>
      <c r="G1146" s="8"/>
      <c r="H1146" s="7"/>
      <c r="I1146" s="8"/>
      <c r="J1146" s="8"/>
      <c r="K1146" s="8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</row>
    <row r="1147">
      <c r="A1147" s="7"/>
      <c r="B1147" s="7"/>
      <c r="C1147" s="7"/>
      <c r="D1147" s="116"/>
      <c r="E1147" s="116"/>
      <c r="F1147" s="8"/>
      <c r="G1147" s="8"/>
      <c r="H1147" s="7"/>
      <c r="I1147" s="8"/>
      <c r="J1147" s="8"/>
      <c r="K1147" s="8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</row>
    <row r="1148">
      <c r="A1148" s="7"/>
      <c r="B1148" s="7"/>
      <c r="C1148" s="7"/>
      <c r="D1148" s="116"/>
      <c r="E1148" s="116"/>
      <c r="F1148" s="8"/>
      <c r="G1148" s="8"/>
      <c r="H1148" s="7"/>
      <c r="I1148" s="8"/>
      <c r="J1148" s="8"/>
      <c r="K1148" s="8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</row>
    <row r="1149">
      <c r="A1149" s="7"/>
      <c r="B1149" s="7"/>
      <c r="C1149" s="7"/>
      <c r="D1149" s="116"/>
      <c r="E1149" s="116"/>
      <c r="F1149" s="8"/>
      <c r="G1149" s="8"/>
      <c r="H1149" s="7"/>
      <c r="I1149" s="8"/>
      <c r="J1149" s="8"/>
      <c r="K1149" s="8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</row>
    <row r="1150">
      <c r="A1150" s="7"/>
      <c r="B1150" s="7"/>
      <c r="C1150" s="7"/>
      <c r="D1150" s="116"/>
      <c r="E1150" s="116"/>
      <c r="F1150" s="8"/>
      <c r="G1150" s="8"/>
      <c r="H1150" s="7"/>
      <c r="I1150" s="8"/>
      <c r="J1150" s="8"/>
      <c r="K1150" s="8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</row>
    <row r="1151">
      <c r="A1151" s="7"/>
      <c r="B1151" s="7"/>
      <c r="C1151" s="7"/>
      <c r="D1151" s="116"/>
      <c r="E1151" s="116"/>
      <c r="F1151" s="8"/>
      <c r="G1151" s="8"/>
      <c r="H1151" s="7"/>
      <c r="I1151" s="8"/>
      <c r="J1151" s="8"/>
      <c r="K1151" s="8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</row>
    <row r="1152">
      <c r="A1152" s="7"/>
      <c r="B1152" s="7"/>
      <c r="C1152" s="7"/>
      <c r="D1152" s="116"/>
      <c r="E1152" s="116"/>
      <c r="F1152" s="8"/>
      <c r="G1152" s="8"/>
      <c r="H1152" s="7"/>
      <c r="I1152" s="8"/>
      <c r="J1152" s="8"/>
      <c r="K1152" s="8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</row>
    <row r="1153">
      <c r="A1153" s="7"/>
      <c r="B1153" s="7"/>
      <c r="C1153" s="7"/>
      <c r="D1153" s="116"/>
      <c r="E1153" s="116"/>
      <c r="F1153" s="8"/>
      <c r="G1153" s="8"/>
      <c r="H1153" s="7"/>
      <c r="I1153" s="8"/>
      <c r="J1153" s="8"/>
      <c r="K1153" s="8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</row>
    <row r="1154">
      <c r="A1154" s="7"/>
      <c r="B1154" s="7"/>
      <c r="C1154" s="7"/>
      <c r="D1154" s="116"/>
      <c r="E1154" s="116"/>
      <c r="F1154" s="8"/>
      <c r="G1154" s="8"/>
      <c r="H1154" s="7"/>
      <c r="I1154" s="8"/>
      <c r="J1154" s="8"/>
      <c r="K1154" s="8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</row>
    <row r="1155">
      <c r="A1155" s="7"/>
      <c r="B1155" s="7"/>
      <c r="C1155" s="7"/>
      <c r="D1155" s="116"/>
      <c r="E1155" s="116"/>
      <c r="F1155" s="8"/>
      <c r="G1155" s="8"/>
      <c r="H1155" s="7"/>
      <c r="I1155" s="8"/>
      <c r="J1155" s="8"/>
      <c r="K1155" s="8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</row>
    <row r="1156">
      <c r="A1156" s="7"/>
      <c r="B1156" s="7"/>
      <c r="C1156" s="7"/>
      <c r="D1156" s="116"/>
      <c r="E1156" s="116"/>
      <c r="F1156" s="8"/>
      <c r="G1156" s="8"/>
      <c r="H1156" s="7"/>
      <c r="I1156" s="8"/>
      <c r="J1156" s="8"/>
      <c r="K1156" s="8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</row>
    <row r="1157">
      <c r="A1157" s="7"/>
      <c r="B1157" s="7"/>
      <c r="C1157" s="7"/>
      <c r="D1157" s="116"/>
      <c r="E1157" s="116"/>
      <c r="F1157" s="8"/>
      <c r="G1157" s="8"/>
      <c r="H1157" s="7"/>
      <c r="I1157" s="8"/>
      <c r="J1157" s="8"/>
      <c r="K1157" s="8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</row>
    <row r="1158">
      <c r="A1158" s="7"/>
      <c r="B1158" s="7"/>
      <c r="C1158" s="7"/>
      <c r="D1158" s="116"/>
      <c r="E1158" s="116"/>
      <c r="F1158" s="8"/>
      <c r="G1158" s="8"/>
      <c r="H1158" s="7"/>
      <c r="I1158" s="8"/>
      <c r="J1158" s="8"/>
      <c r="K1158" s="8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</row>
    <row r="1159">
      <c r="A1159" s="7"/>
      <c r="B1159" s="7"/>
      <c r="C1159" s="7"/>
      <c r="D1159" s="116"/>
      <c r="E1159" s="116"/>
      <c r="F1159" s="8"/>
      <c r="G1159" s="8"/>
      <c r="H1159" s="7"/>
      <c r="I1159" s="8"/>
      <c r="J1159" s="8"/>
      <c r="K1159" s="8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</row>
    <row r="1160">
      <c r="A1160" s="7"/>
      <c r="B1160" s="7"/>
      <c r="C1160" s="7"/>
      <c r="D1160" s="116"/>
      <c r="E1160" s="116"/>
      <c r="F1160" s="8"/>
      <c r="G1160" s="8"/>
      <c r="H1160" s="7"/>
      <c r="I1160" s="8"/>
      <c r="J1160" s="8"/>
      <c r="K1160" s="8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</row>
    <row r="1161">
      <c r="A1161" s="7"/>
      <c r="B1161" s="7"/>
      <c r="C1161" s="7"/>
      <c r="D1161" s="116"/>
      <c r="E1161" s="116"/>
      <c r="F1161" s="8"/>
      <c r="G1161" s="8"/>
      <c r="H1161" s="7"/>
      <c r="I1161" s="8"/>
      <c r="J1161" s="8"/>
      <c r="K1161" s="8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</row>
    <row r="1162">
      <c r="A1162" s="7"/>
      <c r="B1162" s="7"/>
      <c r="C1162" s="7"/>
      <c r="D1162" s="116"/>
      <c r="E1162" s="116"/>
      <c r="F1162" s="8"/>
      <c r="G1162" s="8"/>
      <c r="H1162" s="7"/>
      <c r="I1162" s="8"/>
      <c r="J1162" s="8"/>
      <c r="K1162" s="8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</row>
    <row r="1163">
      <c r="A1163" s="7"/>
      <c r="B1163" s="7"/>
      <c r="C1163" s="7"/>
      <c r="D1163" s="116"/>
      <c r="E1163" s="116"/>
      <c r="F1163" s="8"/>
      <c r="G1163" s="8"/>
      <c r="H1163" s="7"/>
      <c r="I1163" s="8"/>
      <c r="J1163" s="8"/>
      <c r="K1163" s="8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</row>
    <row r="1164">
      <c r="A1164" s="7"/>
      <c r="B1164" s="7"/>
      <c r="C1164" s="7"/>
      <c r="D1164" s="116"/>
      <c r="E1164" s="116"/>
      <c r="F1164" s="8"/>
      <c r="G1164" s="8"/>
      <c r="H1164" s="7"/>
      <c r="I1164" s="8"/>
      <c r="J1164" s="8"/>
      <c r="K1164" s="8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</row>
    <row r="1165">
      <c r="A1165" s="7"/>
      <c r="B1165" s="7"/>
      <c r="C1165" s="7"/>
      <c r="D1165" s="116"/>
      <c r="E1165" s="116"/>
      <c r="F1165" s="8"/>
      <c r="G1165" s="8"/>
      <c r="H1165" s="7"/>
      <c r="I1165" s="8"/>
      <c r="J1165" s="8"/>
      <c r="K1165" s="8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</row>
    <row r="1166">
      <c r="A1166" s="7"/>
      <c r="B1166" s="7"/>
      <c r="C1166" s="7"/>
      <c r="D1166" s="116"/>
      <c r="E1166" s="116"/>
      <c r="F1166" s="8"/>
      <c r="G1166" s="8"/>
      <c r="H1166" s="7"/>
      <c r="I1166" s="8"/>
      <c r="J1166" s="8"/>
      <c r="K1166" s="8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</row>
    <row r="1167">
      <c r="A1167" s="7"/>
      <c r="B1167" s="7"/>
      <c r="C1167" s="7"/>
      <c r="D1167" s="116"/>
      <c r="E1167" s="116"/>
      <c r="F1167" s="8"/>
      <c r="G1167" s="8"/>
      <c r="H1167" s="7"/>
      <c r="I1167" s="8"/>
      <c r="J1167" s="8"/>
      <c r="K1167" s="8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</row>
    <row r="1168">
      <c r="A1168" s="7"/>
      <c r="B1168" s="7"/>
      <c r="C1168" s="7"/>
      <c r="D1168" s="116"/>
      <c r="E1168" s="116"/>
      <c r="F1168" s="8"/>
      <c r="G1168" s="8"/>
      <c r="H1168" s="7"/>
      <c r="I1168" s="8"/>
      <c r="J1168" s="8"/>
      <c r="K1168" s="8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</row>
    <row r="1169">
      <c r="A1169" s="7"/>
      <c r="B1169" s="7"/>
      <c r="C1169" s="7"/>
      <c r="D1169" s="116"/>
      <c r="E1169" s="116"/>
      <c r="F1169" s="8"/>
      <c r="G1169" s="8"/>
      <c r="H1169" s="7"/>
      <c r="I1169" s="8"/>
      <c r="J1169" s="8"/>
      <c r="K1169" s="8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</row>
    <row r="1170">
      <c r="A1170" s="7"/>
      <c r="B1170" s="7"/>
      <c r="C1170" s="7"/>
      <c r="D1170" s="116"/>
      <c r="E1170" s="116"/>
      <c r="F1170" s="8"/>
      <c r="G1170" s="8"/>
      <c r="H1170" s="7"/>
      <c r="I1170" s="8"/>
      <c r="J1170" s="8"/>
      <c r="K1170" s="8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</row>
    <row r="1171">
      <c r="A1171" s="7"/>
      <c r="B1171" s="7"/>
      <c r="C1171" s="7"/>
      <c r="D1171" s="116"/>
      <c r="E1171" s="116"/>
      <c r="F1171" s="8"/>
      <c r="G1171" s="8"/>
      <c r="H1171" s="7"/>
      <c r="I1171" s="8"/>
      <c r="J1171" s="8"/>
      <c r="K1171" s="8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</row>
    <row r="1172">
      <c r="A1172" s="7"/>
      <c r="B1172" s="7"/>
      <c r="C1172" s="7"/>
      <c r="D1172" s="116"/>
      <c r="E1172" s="116"/>
      <c r="F1172" s="8"/>
      <c r="G1172" s="8"/>
      <c r="H1172" s="7"/>
      <c r="I1172" s="8"/>
      <c r="J1172" s="8"/>
      <c r="K1172" s="8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</row>
    <row r="1173">
      <c r="A1173" s="7"/>
      <c r="B1173" s="7"/>
      <c r="C1173" s="7"/>
      <c r="D1173" s="116"/>
      <c r="E1173" s="116"/>
      <c r="F1173" s="8"/>
      <c r="G1173" s="8"/>
      <c r="H1173" s="7"/>
      <c r="I1173" s="8"/>
      <c r="J1173" s="8"/>
      <c r="K1173" s="8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</row>
    <row r="1174">
      <c r="A1174" s="7"/>
      <c r="B1174" s="7"/>
      <c r="C1174" s="7"/>
      <c r="D1174" s="116"/>
      <c r="E1174" s="116"/>
      <c r="F1174" s="8"/>
      <c r="G1174" s="8"/>
      <c r="H1174" s="7"/>
      <c r="I1174" s="8"/>
      <c r="J1174" s="8"/>
      <c r="K1174" s="8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</row>
    <row r="1175">
      <c r="A1175" s="7"/>
      <c r="B1175" s="7"/>
      <c r="C1175" s="7"/>
      <c r="D1175" s="116"/>
      <c r="E1175" s="116"/>
      <c r="F1175" s="8"/>
      <c r="G1175" s="8"/>
      <c r="H1175" s="7"/>
      <c r="I1175" s="8"/>
      <c r="J1175" s="8"/>
      <c r="K1175" s="8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</row>
    <row r="1176">
      <c r="A1176" s="7"/>
      <c r="B1176" s="7"/>
      <c r="C1176" s="7"/>
      <c r="D1176" s="116"/>
      <c r="E1176" s="116"/>
      <c r="F1176" s="8"/>
      <c r="G1176" s="8"/>
      <c r="H1176" s="7"/>
      <c r="I1176" s="8"/>
      <c r="J1176" s="8"/>
      <c r="K1176" s="8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</row>
    <row r="1177">
      <c r="A1177" s="7"/>
      <c r="B1177" s="7"/>
      <c r="C1177" s="7"/>
      <c r="D1177" s="116"/>
      <c r="E1177" s="116"/>
      <c r="F1177" s="8"/>
      <c r="G1177" s="8"/>
      <c r="H1177" s="7"/>
      <c r="I1177" s="8"/>
      <c r="J1177" s="8"/>
      <c r="K1177" s="8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</row>
    <row r="1178">
      <c r="A1178" s="7"/>
      <c r="B1178" s="7"/>
      <c r="C1178" s="7"/>
      <c r="D1178" s="116"/>
      <c r="E1178" s="116"/>
      <c r="F1178" s="8"/>
      <c r="G1178" s="8"/>
      <c r="H1178" s="7"/>
      <c r="I1178" s="8"/>
      <c r="J1178" s="8"/>
      <c r="K1178" s="8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</row>
    <row r="1179">
      <c r="A1179" s="7"/>
      <c r="B1179" s="7"/>
      <c r="C1179" s="7"/>
      <c r="D1179" s="116"/>
      <c r="E1179" s="116"/>
      <c r="F1179" s="8"/>
      <c r="G1179" s="8"/>
      <c r="H1179" s="7"/>
      <c r="I1179" s="8"/>
      <c r="J1179" s="8"/>
      <c r="K1179" s="8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</row>
    <row r="1180">
      <c r="A1180" s="7"/>
      <c r="B1180" s="7"/>
      <c r="C1180" s="7"/>
      <c r="D1180" s="116"/>
      <c r="E1180" s="116"/>
      <c r="F1180" s="8"/>
      <c r="G1180" s="8"/>
      <c r="H1180" s="7"/>
      <c r="I1180" s="8"/>
      <c r="J1180" s="8"/>
      <c r="K1180" s="8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</row>
    <row r="1181">
      <c r="A1181" s="7"/>
      <c r="B1181" s="7"/>
      <c r="C1181" s="7"/>
      <c r="D1181" s="116"/>
      <c r="E1181" s="116"/>
      <c r="F1181" s="8"/>
      <c r="G1181" s="8"/>
      <c r="H1181" s="7"/>
      <c r="I1181" s="8"/>
      <c r="J1181" s="8"/>
      <c r="K1181" s="8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</row>
    <row r="1182">
      <c r="A1182" s="7"/>
      <c r="B1182" s="7"/>
      <c r="C1182" s="7"/>
      <c r="D1182" s="116"/>
      <c r="E1182" s="116"/>
      <c r="F1182" s="8"/>
      <c r="G1182" s="8"/>
      <c r="H1182" s="7"/>
      <c r="I1182" s="8"/>
      <c r="J1182" s="8"/>
      <c r="K1182" s="8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</row>
    <row r="1183">
      <c r="A1183" s="7"/>
      <c r="B1183" s="7"/>
      <c r="C1183" s="7"/>
      <c r="D1183" s="116"/>
      <c r="E1183" s="116"/>
      <c r="F1183" s="8"/>
      <c r="G1183" s="8"/>
      <c r="H1183" s="7"/>
      <c r="I1183" s="8"/>
      <c r="J1183" s="8"/>
      <c r="K1183" s="8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</row>
    <row r="1184">
      <c r="A1184" s="7"/>
      <c r="B1184" s="7"/>
      <c r="C1184" s="7"/>
      <c r="D1184" s="116"/>
      <c r="E1184" s="116"/>
      <c r="F1184" s="8"/>
      <c r="G1184" s="8"/>
      <c r="H1184" s="7"/>
      <c r="I1184" s="8"/>
      <c r="J1184" s="8"/>
      <c r="K1184" s="8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</row>
    <row r="1185">
      <c r="A1185" s="7"/>
      <c r="B1185" s="7"/>
      <c r="C1185" s="7"/>
      <c r="D1185" s="116"/>
      <c r="E1185" s="116"/>
      <c r="F1185" s="8"/>
      <c r="G1185" s="8"/>
      <c r="H1185" s="7"/>
      <c r="I1185" s="8"/>
      <c r="J1185" s="8"/>
      <c r="K1185" s="8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</row>
    <row r="1186">
      <c r="A1186" s="7"/>
      <c r="B1186" s="7"/>
      <c r="C1186" s="7"/>
      <c r="D1186" s="116"/>
      <c r="E1186" s="116"/>
      <c r="F1186" s="8"/>
      <c r="G1186" s="8"/>
      <c r="H1186" s="7"/>
      <c r="I1186" s="8"/>
      <c r="J1186" s="8"/>
      <c r="K1186" s="8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</row>
    <row r="1187">
      <c r="A1187" s="7"/>
      <c r="B1187" s="7"/>
      <c r="C1187" s="7"/>
      <c r="D1187" s="116"/>
      <c r="E1187" s="116"/>
      <c r="F1187" s="8"/>
      <c r="G1187" s="8"/>
      <c r="H1187" s="7"/>
      <c r="I1187" s="8"/>
      <c r="J1187" s="8"/>
      <c r="K1187" s="8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</row>
    <row r="1188">
      <c r="A1188" s="7"/>
      <c r="B1188" s="7"/>
      <c r="C1188" s="7"/>
      <c r="D1188" s="116"/>
      <c r="E1188" s="116"/>
      <c r="F1188" s="8"/>
      <c r="G1188" s="8"/>
      <c r="H1188" s="7"/>
      <c r="I1188" s="8"/>
      <c r="J1188" s="8"/>
      <c r="K1188" s="8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</row>
    <row r="1189">
      <c r="A1189" s="7"/>
      <c r="B1189" s="7"/>
      <c r="C1189" s="7"/>
      <c r="D1189" s="116"/>
      <c r="E1189" s="116"/>
      <c r="F1189" s="8"/>
      <c r="G1189" s="8"/>
      <c r="H1189" s="7"/>
      <c r="I1189" s="8"/>
      <c r="J1189" s="8"/>
      <c r="K1189" s="8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</row>
    <row r="1190">
      <c r="A1190" s="7"/>
      <c r="B1190" s="7"/>
      <c r="C1190" s="7"/>
      <c r="D1190" s="116"/>
      <c r="E1190" s="116"/>
      <c r="F1190" s="8"/>
      <c r="G1190" s="8"/>
      <c r="H1190" s="7"/>
      <c r="I1190" s="8"/>
      <c r="J1190" s="8"/>
      <c r="K1190" s="8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</row>
    <row r="1191">
      <c r="A1191" s="7"/>
      <c r="B1191" s="7"/>
      <c r="C1191" s="7"/>
      <c r="D1191" s="116"/>
      <c r="E1191" s="116"/>
      <c r="F1191" s="8"/>
      <c r="G1191" s="8"/>
      <c r="H1191" s="7"/>
      <c r="I1191" s="8"/>
      <c r="J1191" s="8"/>
      <c r="K1191" s="8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</row>
    <row r="1192">
      <c r="A1192" s="7"/>
      <c r="B1192" s="7"/>
      <c r="C1192" s="7"/>
      <c r="D1192" s="116"/>
      <c r="E1192" s="116"/>
      <c r="F1192" s="8"/>
      <c r="G1192" s="8"/>
      <c r="H1192" s="7"/>
      <c r="I1192" s="8"/>
      <c r="J1192" s="8"/>
      <c r="K1192" s="8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</row>
    <row r="1193">
      <c r="A1193" s="7"/>
      <c r="B1193" s="7"/>
      <c r="C1193" s="7"/>
      <c r="D1193" s="116"/>
      <c r="E1193" s="116"/>
      <c r="F1193" s="8"/>
      <c r="G1193" s="8"/>
      <c r="H1193" s="7"/>
      <c r="I1193" s="8"/>
      <c r="J1193" s="8"/>
      <c r="K1193" s="8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</row>
    <row r="1194">
      <c r="A1194" s="7"/>
      <c r="B1194" s="7"/>
      <c r="C1194" s="7"/>
      <c r="D1194" s="116"/>
      <c r="E1194" s="116"/>
      <c r="F1194" s="8"/>
      <c r="G1194" s="8"/>
      <c r="H1194" s="7"/>
      <c r="I1194" s="8"/>
      <c r="J1194" s="8"/>
      <c r="K1194" s="8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</row>
    <row r="1195">
      <c r="A1195" s="7"/>
      <c r="B1195" s="7"/>
      <c r="C1195" s="7"/>
      <c r="D1195" s="116"/>
      <c r="E1195" s="116"/>
      <c r="F1195" s="8"/>
      <c r="G1195" s="8"/>
      <c r="H1195" s="7"/>
      <c r="I1195" s="8"/>
      <c r="J1195" s="8"/>
      <c r="K1195" s="8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</row>
    <row r="1196">
      <c r="A1196" s="7"/>
      <c r="B1196" s="7"/>
      <c r="C1196" s="7"/>
      <c r="D1196" s="116"/>
      <c r="E1196" s="116"/>
      <c r="F1196" s="8"/>
      <c r="G1196" s="8"/>
      <c r="H1196" s="7"/>
      <c r="I1196" s="8"/>
      <c r="J1196" s="8"/>
      <c r="K1196" s="8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</row>
    <row r="1197">
      <c r="A1197" s="7"/>
      <c r="B1197" s="7"/>
      <c r="C1197" s="7"/>
      <c r="D1197" s="116"/>
      <c r="E1197" s="116"/>
      <c r="F1197" s="8"/>
      <c r="G1197" s="8"/>
      <c r="H1197" s="7"/>
      <c r="I1197" s="8"/>
      <c r="J1197" s="8"/>
      <c r="K1197" s="8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</row>
    <row r="1198">
      <c r="A1198" s="7"/>
      <c r="B1198" s="7"/>
      <c r="C1198" s="7"/>
      <c r="D1198" s="116"/>
      <c r="E1198" s="116"/>
      <c r="F1198" s="8"/>
      <c r="G1198" s="8"/>
      <c r="H1198" s="7"/>
      <c r="I1198" s="8"/>
      <c r="J1198" s="8"/>
      <c r="K1198" s="8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</row>
    <row r="1199">
      <c r="A1199" s="7"/>
      <c r="B1199" s="7"/>
      <c r="C1199" s="7"/>
      <c r="D1199" s="116"/>
      <c r="E1199" s="116"/>
      <c r="F1199" s="8"/>
      <c r="G1199" s="8"/>
      <c r="H1199" s="7"/>
      <c r="I1199" s="8"/>
      <c r="J1199" s="8"/>
      <c r="K1199" s="8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</row>
    <row r="1200">
      <c r="A1200" s="7"/>
      <c r="B1200" s="7"/>
      <c r="C1200" s="7"/>
      <c r="D1200" s="116"/>
      <c r="E1200" s="116"/>
      <c r="F1200" s="8"/>
      <c r="G1200" s="8"/>
      <c r="H1200" s="7"/>
      <c r="I1200" s="8"/>
      <c r="J1200" s="8"/>
      <c r="K1200" s="8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</row>
    <row r="1201">
      <c r="A1201" s="7"/>
      <c r="B1201" s="7"/>
      <c r="C1201" s="7"/>
      <c r="D1201" s="116"/>
      <c r="E1201" s="116"/>
      <c r="F1201" s="8"/>
      <c r="G1201" s="8"/>
      <c r="H1201" s="7"/>
      <c r="I1201" s="8"/>
      <c r="J1201" s="8"/>
      <c r="K1201" s="8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</row>
    <row r="1202">
      <c r="A1202" s="7"/>
      <c r="B1202" s="7"/>
      <c r="C1202" s="7"/>
      <c r="D1202" s="116"/>
      <c r="E1202" s="116"/>
      <c r="F1202" s="8"/>
      <c r="G1202" s="8"/>
      <c r="H1202" s="7"/>
      <c r="I1202" s="8"/>
      <c r="J1202" s="8"/>
      <c r="K1202" s="8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</row>
    <row r="1203">
      <c r="A1203" s="7"/>
      <c r="B1203" s="7"/>
      <c r="C1203" s="7"/>
      <c r="D1203" s="116"/>
      <c r="E1203" s="116"/>
      <c r="F1203" s="8"/>
      <c r="G1203" s="8"/>
      <c r="H1203" s="7"/>
      <c r="I1203" s="8"/>
      <c r="J1203" s="8"/>
      <c r="K1203" s="8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</row>
    <row r="1204">
      <c r="A1204" s="7"/>
      <c r="B1204" s="7"/>
      <c r="C1204" s="7"/>
      <c r="D1204" s="116"/>
      <c r="E1204" s="116"/>
      <c r="F1204" s="8"/>
      <c r="G1204" s="8"/>
      <c r="H1204" s="7"/>
      <c r="I1204" s="8"/>
      <c r="J1204" s="8"/>
      <c r="K1204" s="8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</row>
    <row r="1205">
      <c r="A1205" s="7"/>
      <c r="B1205" s="7"/>
      <c r="C1205" s="7"/>
      <c r="D1205" s="116"/>
      <c r="E1205" s="116"/>
      <c r="F1205" s="8"/>
      <c r="G1205" s="8"/>
      <c r="H1205" s="7"/>
      <c r="I1205" s="8"/>
      <c r="J1205" s="8"/>
      <c r="K1205" s="8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</row>
    <row r="1206">
      <c r="A1206" s="7"/>
      <c r="B1206" s="7"/>
      <c r="C1206" s="7"/>
      <c r="D1206" s="116"/>
      <c r="E1206" s="116"/>
      <c r="F1206" s="8"/>
      <c r="G1206" s="8"/>
      <c r="H1206" s="7"/>
      <c r="I1206" s="8"/>
      <c r="J1206" s="8"/>
      <c r="K1206" s="8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</row>
    <row r="1207">
      <c r="A1207" s="7"/>
      <c r="B1207" s="7"/>
      <c r="C1207" s="7"/>
      <c r="D1207" s="116"/>
      <c r="E1207" s="116"/>
      <c r="F1207" s="8"/>
      <c r="G1207" s="8"/>
      <c r="H1207" s="7"/>
      <c r="I1207" s="8"/>
      <c r="J1207" s="8"/>
      <c r="K1207" s="8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</row>
    <row r="1208">
      <c r="A1208" s="7"/>
      <c r="B1208" s="7"/>
      <c r="C1208" s="7"/>
      <c r="D1208" s="116"/>
      <c r="E1208" s="116"/>
      <c r="F1208" s="8"/>
      <c r="G1208" s="8"/>
      <c r="H1208" s="7"/>
      <c r="I1208" s="8"/>
      <c r="J1208" s="8"/>
      <c r="K1208" s="8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</row>
    <row r="1209">
      <c r="A1209" s="7"/>
      <c r="B1209" s="7"/>
      <c r="C1209" s="7"/>
      <c r="D1209" s="116"/>
      <c r="E1209" s="116"/>
      <c r="F1209" s="8"/>
      <c r="G1209" s="8"/>
      <c r="H1209" s="7"/>
      <c r="I1209" s="8"/>
      <c r="J1209" s="8"/>
      <c r="K1209" s="8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</row>
    <row r="1210">
      <c r="A1210" s="7"/>
      <c r="B1210" s="7"/>
      <c r="C1210" s="7"/>
      <c r="D1210" s="116"/>
      <c r="E1210" s="116"/>
      <c r="F1210" s="8"/>
      <c r="G1210" s="8"/>
      <c r="H1210" s="7"/>
      <c r="I1210" s="8"/>
      <c r="J1210" s="8"/>
      <c r="K1210" s="8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</row>
    <row r="1211">
      <c r="A1211" s="7"/>
      <c r="B1211" s="7"/>
      <c r="C1211" s="7"/>
      <c r="D1211" s="116"/>
      <c r="E1211" s="116"/>
      <c r="F1211" s="8"/>
      <c r="G1211" s="8"/>
      <c r="H1211" s="7"/>
      <c r="I1211" s="8"/>
      <c r="J1211" s="8"/>
      <c r="K1211" s="8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</row>
    <row r="1212">
      <c r="A1212" s="7"/>
      <c r="B1212" s="7"/>
      <c r="C1212" s="7"/>
      <c r="D1212" s="116"/>
      <c r="E1212" s="116"/>
      <c r="F1212" s="8"/>
      <c r="G1212" s="8"/>
      <c r="H1212" s="7"/>
      <c r="I1212" s="8"/>
      <c r="J1212" s="8"/>
      <c r="K1212" s="8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</row>
    <row r="1213">
      <c r="A1213" s="7"/>
      <c r="B1213" s="7"/>
      <c r="C1213" s="7"/>
      <c r="D1213" s="116"/>
      <c r="E1213" s="116"/>
      <c r="F1213" s="8"/>
      <c r="G1213" s="8"/>
      <c r="H1213" s="7"/>
      <c r="I1213" s="8"/>
      <c r="J1213" s="8"/>
      <c r="K1213" s="8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</row>
    <row r="1214">
      <c r="A1214" s="7"/>
      <c r="B1214" s="7"/>
      <c r="C1214" s="7"/>
      <c r="D1214" s="116"/>
      <c r="E1214" s="116"/>
      <c r="F1214" s="8"/>
      <c r="G1214" s="8"/>
      <c r="H1214" s="7"/>
      <c r="I1214" s="8"/>
      <c r="J1214" s="8"/>
      <c r="K1214" s="8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</row>
    <row r="1215">
      <c r="A1215" s="7"/>
      <c r="B1215" s="7"/>
      <c r="C1215" s="7"/>
      <c r="D1215" s="116"/>
      <c r="E1215" s="116"/>
      <c r="F1215" s="8"/>
      <c r="G1215" s="8"/>
      <c r="H1215" s="7"/>
      <c r="I1215" s="8"/>
      <c r="J1215" s="8"/>
      <c r="K1215" s="8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</row>
    <row r="1216">
      <c r="A1216" s="7"/>
      <c r="B1216" s="7"/>
      <c r="C1216" s="7"/>
      <c r="D1216" s="116"/>
      <c r="E1216" s="116"/>
      <c r="F1216" s="8"/>
      <c r="G1216" s="8"/>
      <c r="H1216" s="7"/>
      <c r="I1216" s="8"/>
      <c r="J1216" s="8"/>
      <c r="K1216" s="8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</row>
    <row r="1217">
      <c r="A1217" s="7"/>
      <c r="B1217" s="7"/>
      <c r="C1217" s="7"/>
      <c r="D1217" s="116"/>
      <c r="E1217" s="116"/>
      <c r="F1217" s="8"/>
      <c r="G1217" s="8"/>
      <c r="H1217" s="7"/>
      <c r="I1217" s="8"/>
      <c r="J1217" s="8"/>
      <c r="K1217" s="8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</row>
    <row r="1218">
      <c r="A1218" s="7"/>
      <c r="B1218" s="7"/>
      <c r="C1218" s="7"/>
      <c r="D1218" s="116"/>
      <c r="E1218" s="116"/>
      <c r="F1218" s="8"/>
      <c r="G1218" s="8"/>
      <c r="H1218" s="7"/>
      <c r="I1218" s="8"/>
      <c r="J1218" s="8"/>
      <c r="K1218" s="8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</row>
    <row r="1219">
      <c r="A1219" s="7"/>
      <c r="B1219" s="7"/>
      <c r="C1219" s="7"/>
      <c r="D1219" s="116"/>
      <c r="E1219" s="116"/>
      <c r="F1219" s="8"/>
      <c r="G1219" s="8"/>
      <c r="H1219" s="7"/>
      <c r="I1219" s="8"/>
      <c r="J1219" s="8"/>
      <c r="K1219" s="8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</row>
    <row r="1220">
      <c r="A1220" s="7"/>
      <c r="B1220" s="7"/>
      <c r="C1220" s="7"/>
      <c r="D1220" s="116"/>
      <c r="E1220" s="116"/>
      <c r="F1220" s="8"/>
      <c r="G1220" s="8"/>
      <c r="H1220" s="7"/>
      <c r="I1220" s="8"/>
      <c r="J1220" s="8"/>
      <c r="K1220" s="8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</row>
    <row r="1221">
      <c r="A1221" s="7"/>
      <c r="B1221" s="7"/>
      <c r="C1221" s="7"/>
      <c r="D1221" s="116"/>
      <c r="E1221" s="116"/>
      <c r="F1221" s="8"/>
      <c r="G1221" s="8"/>
      <c r="H1221" s="7"/>
      <c r="I1221" s="8"/>
      <c r="J1221" s="8"/>
      <c r="K1221" s="8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</row>
    <row r="1222">
      <c r="A1222" s="7"/>
      <c r="B1222" s="7"/>
      <c r="C1222" s="7"/>
      <c r="D1222" s="116"/>
      <c r="E1222" s="116"/>
      <c r="F1222" s="8"/>
      <c r="G1222" s="8"/>
      <c r="H1222" s="7"/>
      <c r="I1222" s="8"/>
      <c r="J1222" s="8"/>
      <c r="K1222" s="8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</row>
    <row r="1223">
      <c r="A1223" s="7"/>
      <c r="B1223" s="7"/>
      <c r="C1223" s="7"/>
      <c r="D1223" s="116"/>
      <c r="E1223" s="116"/>
      <c r="F1223" s="8"/>
      <c r="G1223" s="8"/>
      <c r="H1223" s="7"/>
      <c r="I1223" s="8"/>
      <c r="J1223" s="8"/>
      <c r="K1223" s="8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</row>
    <row r="1224">
      <c r="A1224" s="7"/>
      <c r="B1224" s="7"/>
      <c r="C1224" s="7"/>
      <c r="D1224" s="116"/>
      <c r="E1224" s="116"/>
      <c r="F1224" s="8"/>
      <c r="G1224" s="8"/>
      <c r="H1224" s="7"/>
      <c r="I1224" s="8"/>
      <c r="J1224" s="8"/>
      <c r="K1224" s="8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</row>
    <row r="1225">
      <c r="A1225" s="7"/>
      <c r="B1225" s="7"/>
      <c r="C1225" s="7"/>
      <c r="D1225" s="116"/>
      <c r="E1225" s="116"/>
      <c r="F1225" s="8"/>
      <c r="G1225" s="8"/>
      <c r="H1225" s="7"/>
      <c r="I1225" s="8"/>
      <c r="J1225" s="8"/>
      <c r="K1225" s="8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</row>
    <row r="1226">
      <c r="A1226" s="7"/>
      <c r="B1226" s="7"/>
      <c r="C1226" s="7"/>
      <c r="D1226" s="116"/>
      <c r="E1226" s="116"/>
      <c r="F1226" s="8"/>
      <c r="G1226" s="8"/>
      <c r="H1226" s="7"/>
      <c r="I1226" s="8"/>
      <c r="J1226" s="8"/>
      <c r="K1226" s="8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</row>
    <row r="1227">
      <c r="A1227" s="7"/>
      <c r="B1227" s="7"/>
      <c r="C1227" s="7"/>
      <c r="D1227" s="116"/>
      <c r="E1227" s="116"/>
      <c r="F1227" s="8"/>
      <c r="G1227" s="8"/>
      <c r="H1227" s="7"/>
      <c r="I1227" s="8"/>
      <c r="J1227" s="8"/>
      <c r="K1227" s="8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</row>
    <row r="1228">
      <c r="A1228" s="7"/>
      <c r="B1228" s="7"/>
      <c r="C1228" s="7"/>
      <c r="D1228" s="116"/>
      <c r="E1228" s="116"/>
      <c r="F1228" s="8"/>
      <c r="G1228" s="8"/>
      <c r="H1228" s="7"/>
      <c r="I1228" s="8"/>
      <c r="J1228" s="8"/>
      <c r="K1228" s="8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</row>
    <row r="1229">
      <c r="A1229" s="7"/>
      <c r="B1229" s="7"/>
      <c r="C1229" s="7"/>
      <c r="D1229" s="116"/>
      <c r="E1229" s="116"/>
      <c r="F1229" s="8"/>
      <c r="G1229" s="8"/>
      <c r="H1229" s="7"/>
      <c r="I1229" s="8"/>
      <c r="J1229" s="8"/>
      <c r="K1229" s="8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</row>
    <row r="1230">
      <c r="A1230" s="7"/>
      <c r="B1230" s="7"/>
      <c r="C1230" s="7"/>
      <c r="D1230" s="116"/>
      <c r="E1230" s="116"/>
      <c r="F1230" s="8"/>
      <c r="G1230" s="8"/>
      <c r="H1230" s="7"/>
      <c r="I1230" s="8"/>
      <c r="J1230" s="8"/>
      <c r="K1230" s="8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</row>
    <row r="1231">
      <c r="A1231" s="7"/>
      <c r="B1231" s="7"/>
      <c r="C1231" s="7"/>
      <c r="D1231" s="116"/>
      <c r="E1231" s="116"/>
      <c r="F1231" s="8"/>
      <c r="G1231" s="8"/>
      <c r="H1231" s="7"/>
      <c r="I1231" s="8"/>
      <c r="J1231" s="8"/>
      <c r="K1231" s="8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</row>
    <row r="1232">
      <c r="A1232" s="7"/>
      <c r="B1232" s="7"/>
      <c r="C1232" s="7"/>
      <c r="D1232" s="116"/>
      <c r="E1232" s="116"/>
      <c r="F1232" s="8"/>
      <c r="G1232" s="8"/>
      <c r="H1232" s="7"/>
      <c r="I1232" s="8"/>
      <c r="J1232" s="8"/>
      <c r="K1232" s="8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</row>
    <row r="1233">
      <c r="A1233" s="7"/>
      <c r="B1233" s="7"/>
      <c r="C1233" s="7"/>
      <c r="D1233" s="116"/>
      <c r="E1233" s="116"/>
      <c r="F1233" s="8"/>
      <c r="G1233" s="8"/>
      <c r="H1233" s="7"/>
      <c r="I1233" s="8"/>
      <c r="J1233" s="8"/>
      <c r="K1233" s="8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</row>
    <row r="1234">
      <c r="A1234" s="7"/>
      <c r="B1234" s="7"/>
      <c r="C1234" s="7"/>
      <c r="D1234" s="116"/>
      <c r="E1234" s="116"/>
      <c r="F1234" s="8"/>
      <c r="G1234" s="8"/>
      <c r="H1234" s="7"/>
      <c r="I1234" s="8"/>
      <c r="J1234" s="8"/>
      <c r="K1234" s="8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</row>
    <row r="1235">
      <c r="A1235" s="7"/>
      <c r="B1235" s="7"/>
      <c r="C1235" s="7"/>
      <c r="D1235" s="116"/>
      <c r="E1235" s="116"/>
      <c r="F1235" s="8"/>
      <c r="G1235" s="8"/>
      <c r="H1235" s="7"/>
      <c r="I1235" s="8"/>
      <c r="J1235" s="8"/>
      <c r="K1235" s="8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</row>
    <row r="1236">
      <c r="A1236" s="7"/>
      <c r="B1236" s="7"/>
      <c r="C1236" s="7"/>
      <c r="D1236" s="116"/>
      <c r="E1236" s="116"/>
      <c r="F1236" s="8"/>
      <c r="G1236" s="8"/>
      <c r="H1236" s="7"/>
      <c r="I1236" s="8"/>
      <c r="J1236" s="8"/>
      <c r="K1236" s="8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</row>
    <row r="1237">
      <c r="A1237" s="7"/>
      <c r="B1237" s="7"/>
      <c r="C1237" s="7"/>
      <c r="D1237" s="116"/>
      <c r="E1237" s="116"/>
      <c r="F1237" s="8"/>
      <c r="G1237" s="8"/>
      <c r="H1237" s="7"/>
      <c r="I1237" s="8"/>
      <c r="J1237" s="8"/>
      <c r="K1237" s="8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</row>
    <row r="1238">
      <c r="A1238" s="7"/>
      <c r="B1238" s="7"/>
      <c r="C1238" s="7"/>
      <c r="D1238" s="116"/>
      <c r="E1238" s="116"/>
      <c r="F1238" s="8"/>
      <c r="G1238" s="8"/>
      <c r="H1238" s="7"/>
      <c r="I1238" s="8"/>
      <c r="J1238" s="8"/>
      <c r="K1238" s="8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</row>
    <row r="1239">
      <c r="A1239" s="7"/>
      <c r="B1239" s="7"/>
      <c r="C1239" s="7"/>
      <c r="D1239" s="116"/>
      <c r="E1239" s="116"/>
      <c r="F1239" s="8"/>
      <c r="G1239" s="8"/>
      <c r="H1239" s="7"/>
      <c r="I1239" s="8"/>
      <c r="J1239" s="8"/>
      <c r="K1239" s="8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</row>
    <row r="1240">
      <c r="A1240" s="7"/>
      <c r="B1240" s="7"/>
      <c r="C1240" s="7"/>
      <c r="D1240" s="116"/>
      <c r="E1240" s="116"/>
      <c r="F1240" s="8"/>
      <c r="G1240" s="8"/>
      <c r="H1240" s="7"/>
      <c r="I1240" s="8"/>
      <c r="J1240" s="8"/>
      <c r="K1240" s="8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</row>
    <row r="1241">
      <c r="A1241" s="7"/>
      <c r="B1241" s="7"/>
      <c r="C1241" s="7"/>
      <c r="D1241" s="116"/>
      <c r="E1241" s="116"/>
      <c r="F1241" s="8"/>
      <c r="G1241" s="8"/>
      <c r="H1241" s="7"/>
      <c r="I1241" s="8"/>
      <c r="J1241" s="8"/>
      <c r="K1241" s="8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</row>
    <row r="1242">
      <c r="A1242" s="7"/>
      <c r="B1242" s="7"/>
      <c r="C1242" s="7"/>
      <c r="D1242" s="116"/>
      <c r="E1242" s="116"/>
      <c r="F1242" s="8"/>
      <c r="G1242" s="8"/>
      <c r="H1242" s="7"/>
      <c r="I1242" s="8"/>
      <c r="J1242" s="8"/>
      <c r="K1242" s="8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</row>
    <row r="1243">
      <c r="A1243" s="7"/>
      <c r="B1243" s="7"/>
      <c r="C1243" s="7"/>
      <c r="D1243" s="116"/>
      <c r="E1243" s="116"/>
      <c r="F1243" s="8"/>
      <c r="G1243" s="8"/>
      <c r="H1243" s="7"/>
      <c r="I1243" s="8"/>
      <c r="J1243" s="8"/>
      <c r="K1243" s="8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</row>
    <row r="1244">
      <c r="A1244" s="7"/>
      <c r="B1244" s="7"/>
      <c r="C1244" s="7"/>
      <c r="D1244" s="116"/>
      <c r="E1244" s="116"/>
      <c r="F1244" s="8"/>
      <c r="G1244" s="8"/>
      <c r="H1244" s="7"/>
      <c r="I1244" s="8"/>
      <c r="J1244" s="8"/>
      <c r="K1244" s="8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</row>
    <row r="1245">
      <c r="A1245" s="7"/>
      <c r="B1245" s="7"/>
      <c r="C1245" s="7"/>
      <c r="D1245" s="116"/>
      <c r="E1245" s="116"/>
      <c r="F1245" s="8"/>
      <c r="G1245" s="8"/>
      <c r="H1245" s="7"/>
      <c r="I1245" s="8"/>
      <c r="J1245" s="8"/>
      <c r="K1245" s="8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</row>
    <row r="1246">
      <c r="A1246" s="7"/>
      <c r="B1246" s="7"/>
      <c r="C1246" s="7"/>
      <c r="D1246" s="116"/>
      <c r="E1246" s="116"/>
      <c r="F1246" s="8"/>
      <c r="G1246" s="8"/>
      <c r="H1246" s="7"/>
      <c r="I1246" s="8"/>
      <c r="J1246" s="8"/>
      <c r="K1246" s="8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</row>
    <row r="1247">
      <c r="A1247" s="7"/>
      <c r="B1247" s="7"/>
      <c r="C1247" s="7"/>
      <c r="D1247" s="116"/>
      <c r="E1247" s="116"/>
      <c r="F1247" s="8"/>
      <c r="G1247" s="8"/>
      <c r="H1247" s="7"/>
      <c r="I1247" s="8"/>
      <c r="J1247" s="8"/>
      <c r="K1247" s="8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</row>
    <row r="1248">
      <c r="A1248" s="7"/>
      <c r="B1248" s="7"/>
      <c r="C1248" s="7"/>
      <c r="D1248" s="116"/>
      <c r="E1248" s="116"/>
      <c r="F1248" s="8"/>
      <c r="G1248" s="8"/>
      <c r="H1248" s="7"/>
      <c r="I1248" s="8"/>
      <c r="J1248" s="8"/>
      <c r="K1248" s="8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</row>
    <row r="1249">
      <c r="A1249" s="7"/>
      <c r="B1249" s="7"/>
      <c r="C1249" s="7"/>
      <c r="D1249" s="116"/>
      <c r="E1249" s="116"/>
      <c r="F1249" s="8"/>
      <c r="G1249" s="8"/>
      <c r="H1249" s="7"/>
      <c r="I1249" s="8"/>
      <c r="J1249" s="8"/>
      <c r="K1249" s="8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</row>
    <row r="1250">
      <c r="A1250" s="7"/>
      <c r="B1250" s="7"/>
      <c r="C1250" s="7"/>
      <c r="D1250" s="116"/>
      <c r="E1250" s="116"/>
      <c r="F1250" s="8"/>
      <c r="G1250" s="8"/>
      <c r="H1250" s="7"/>
      <c r="I1250" s="8"/>
      <c r="J1250" s="8"/>
      <c r="K1250" s="8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</row>
    <row r="1251">
      <c r="A1251" s="7"/>
      <c r="B1251" s="7"/>
      <c r="C1251" s="7"/>
      <c r="D1251" s="116"/>
      <c r="E1251" s="116"/>
      <c r="F1251" s="8"/>
      <c r="G1251" s="8"/>
      <c r="H1251" s="7"/>
      <c r="I1251" s="8"/>
      <c r="J1251" s="8"/>
      <c r="K1251" s="8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</row>
    <row r="1252">
      <c r="A1252" s="7"/>
      <c r="B1252" s="7"/>
      <c r="C1252" s="7"/>
      <c r="D1252" s="116"/>
      <c r="E1252" s="116"/>
      <c r="F1252" s="8"/>
      <c r="G1252" s="8"/>
      <c r="H1252" s="7"/>
      <c r="I1252" s="8"/>
      <c r="J1252" s="8"/>
      <c r="K1252" s="8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</row>
    <row r="1253">
      <c r="A1253" s="7"/>
      <c r="B1253" s="7"/>
      <c r="C1253" s="7"/>
      <c r="D1253" s="116"/>
      <c r="E1253" s="116"/>
      <c r="F1253" s="8"/>
      <c r="G1253" s="8"/>
      <c r="H1253" s="7"/>
      <c r="I1253" s="8"/>
      <c r="J1253" s="8"/>
      <c r="K1253" s="8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</row>
    <row r="1254">
      <c r="A1254" s="7"/>
      <c r="B1254" s="7"/>
      <c r="C1254" s="7"/>
      <c r="D1254" s="116"/>
      <c r="E1254" s="116"/>
      <c r="F1254" s="8"/>
      <c r="G1254" s="8"/>
      <c r="H1254" s="7"/>
      <c r="I1254" s="8"/>
      <c r="J1254" s="8"/>
      <c r="K1254" s="8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</row>
    <row r="1255">
      <c r="A1255" s="7"/>
      <c r="B1255" s="7"/>
      <c r="C1255" s="7"/>
      <c r="D1255" s="116"/>
      <c r="E1255" s="116"/>
      <c r="F1255" s="8"/>
      <c r="G1255" s="8"/>
      <c r="H1255" s="7"/>
      <c r="I1255" s="8"/>
      <c r="J1255" s="8"/>
      <c r="K1255" s="8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</row>
    <row r="1256">
      <c r="A1256" s="7"/>
      <c r="B1256" s="7"/>
      <c r="C1256" s="7"/>
      <c r="D1256" s="116"/>
      <c r="E1256" s="116"/>
      <c r="F1256" s="8"/>
      <c r="G1256" s="8"/>
      <c r="H1256" s="7"/>
      <c r="I1256" s="8"/>
      <c r="J1256" s="8"/>
      <c r="K1256" s="8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</row>
    <row r="1257">
      <c r="A1257" s="7"/>
      <c r="B1257" s="7"/>
      <c r="C1257" s="7"/>
      <c r="D1257" s="116"/>
      <c r="E1257" s="116"/>
      <c r="F1257" s="8"/>
      <c r="G1257" s="8"/>
      <c r="H1257" s="7"/>
      <c r="I1257" s="8"/>
      <c r="J1257" s="8"/>
      <c r="K1257" s="8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</row>
    <row r="1258">
      <c r="A1258" s="7"/>
      <c r="B1258" s="7"/>
      <c r="C1258" s="7"/>
      <c r="D1258" s="116"/>
      <c r="E1258" s="116"/>
      <c r="F1258" s="8"/>
      <c r="G1258" s="8"/>
      <c r="H1258" s="7"/>
      <c r="I1258" s="8"/>
      <c r="J1258" s="8"/>
      <c r="K1258" s="8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</row>
    <row r="1259">
      <c r="A1259" s="7"/>
      <c r="B1259" s="7"/>
      <c r="C1259" s="7"/>
      <c r="D1259" s="116"/>
      <c r="E1259" s="116"/>
      <c r="F1259" s="8"/>
      <c r="G1259" s="8"/>
      <c r="H1259" s="7"/>
      <c r="I1259" s="8"/>
      <c r="J1259" s="8"/>
      <c r="K1259" s="8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</row>
    <row r="1260">
      <c r="A1260" s="7"/>
      <c r="B1260" s="7"/>
      <c r="C1260" s="7"/>
      <c r="D1260" s="116"/>
      <c r="E1260" s="116"/>
      <c r="F1260" s="8"/>
      <c r="G1260" s="8"/>
      <c r="H1260" s="7"/>
      <c r="I1260" s="8"/>
      <c r="J1260" s="8"/>
      <c r="K1260" s="8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</row>
    <row r="1261">
      <c r="A1261" s="7"/>
      <c r="B1261" s="7"/>
      <c r="C1261" s="7"/>
      <c r="D1261" s="116"/>
      <c r="E1261" s="116"/>
      <c r="F1261" s="8"/>
      <c r="G1261" s="8"/>
      <c r="H1261" s="7"/>
      <c r="I1261" s="8"/>
      <c r="J1261" s="8"/>
      <c r="K1261" s="8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</row>
    <row r="1262">
      <c r="A1262" s="7"/>
      <c r="B1262" s="7"/>
      <c r="C1262" s="7"/>
      <c r="D1262" s="116"/>
      <c r="E1262" s="116"/>
      <c r="F1262" s="8"/>
      <c r="G1262" s="8"/>
      <c r="H1262" s="7"/>
      <c r="I1262" s="8"/>
      <c r="J1262" s="8"/>
      <c r="K1262" s="8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</row>
    <row r="1263">
      <c r="A1263" s="7"/>
      <c r="B1263" s="7"/>
      <c r="C1263" s="7"/>
      <c r="D1263" s="116"/>
      <c r="E1263" s="116"/>
      <c r="F1263" s="8"/>
      <c r="G1263" s="8"/>
      <c r="H1263" s="7"/>
      <c r="I1263" s="8"/>
      <c r="J1263" s="8"/>
      <c r="K1263" s="8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</row>
    <row r="1264">
      <c r="A1264" s="7"/>
      <c r="B1264" s="7"/>
      <c r="C1264" s="7"/>
      <c r="D1264" s="116"/>
      <c r="E1264" s="116"/>
      <c r="F1264" s="8"/>
      <c r="G1264" s="8"/>
      <c r="H1264" s="7"/>
      <c r="I1264" s="8"/>
      <c r="J1264" s="8"/>
      <c r="K1264" s="8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</row>
    <row r="1265">
      <c r="A1265" s="7"/>
      <c r="B1265" s="7"/>
      <c r="C1265" s="7"/>
      <c r="D1265" s="116"/>
      <c r="E1265" s="116"/>
      <c r="F1265" s="8"/>
      <c r="G1265" s="8"/>
      <c r="H1265" s="7"/>
      <c r="I1265" s="8"/>
      <c r="J1265" s="8"/>
      <c r="K1265" s="8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</row>
    <row r="1266">
      <c r="A1266" s="7"/>
      <c r="B1266" s="7"/>
      <c r="C1266" s="7"/>
      <c r="D1266" s="116"/>
      <c r="E1266" s="116"/>
      <c r="F1266" s="8"/>
      <c r="G1266" s="8"/>
      <c r="H1266" s="7"/>
      <c r="I1266" s="8"/>
      <c r="J1266" s="8"/>
      <c r="K1266" s="8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</row>
    <row r="1267">
      <c r="A1267" s="7"/>
      <c r="B1267" s="7"/>
      <c r="C1267" s="7"/>
      <c r="D1267" s="116"/>
      <c r="E1267" s="116"/>
      <c r="F1267" s="8"/>
      <c r="G1267" s="8"/>
      <c r="H1267" s="7"/>
      <c r="I1267" s="8"/>
      <c r="J1267" s="8"/>
      <c r="K1267" s="8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</row>
    <row r="1268">
      <c r="A1268" s="7"/>
      <c r="B1268" s="7"/>
      <c r="C1268" s="7"/>
      <c r="D1268" s="116"/>
      <c r="E1268" s="116"/>
      <c r="F1268" s="8"/>
      <c r="G1268" s="8"/>
      <c r="H1268" s="7"/>
      <c r="I1268" s="8"/>
      <c r="J1268" s="8"/>
      <c r="K1268" s="8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</row>
    <row r="1269">
      <c r="A1269" s="7"/>
      <c r="B1269" s="7"/>
      <c r="C1269" s="7"/>
      <c r="D1269" s="116"/>
      <c r="E1269" s="116"/>
      <c r="F1269" s="8"/>
      <c r="G1269" s="8"/>
      <c r="H1269" s="7"/>
      <c r="I1269" s="8"/>
      <c r="J1269" s="8"/>
      <c r="K1269" s="8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</row>
    <row r="1270">
      <c r="A1270" s="7"/>
      <c r="B1270" s="7"/>
      <c r="C1270" s="7"/>
      <c r="D1270" s="116"/>
      <c r="E1270" s="116"/>
      <c r="F1270" s="8"/>
      <c r="G1270" s="8"/>
      <c r="H1270" s="7"/>
      <c r="I1270" s="8"/>
      <c r="J1270" s="8"/>
      <c r="K1270" s="8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</row>
    <row r="1271">
      <c r="A1271" s="7"/>
      <c r="B1271" s="7"/>
      <c r="C1271" s="7"/>
      <c r="D1271" s="116"/>
      <c r="E1271" s="116"/>
      <c r="F1271" s="8"/>
      <c r="G1271" s="8"/>
      <c r="H1271" s="7"/>
      <c r="I1271" s="8"/>
      <c r="J1271" s="8"/>
      <c r="K1271" s="8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</row>
    <row r="1272">
      <c r="A1272" s="7"/>
      <c r="B1272" s="7"/>
      <c r="C1272" s="7"/>
      <c r="D1272" s="116"/>
      <c r="E1272" s="116"/>
      <c r="F1272" s="8"/>
      <c r="G1272" s="8"/>
      <c r="H1272" s="7"/>
      <c r="I1272" s="8"/>
      <c r="J1272" s="8"/>
      <c r="K1272" s="8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</row>
    <row r="1273">
      <c r="A1273" s="7"/>
      <c r="B1273" s="7"/>
      <c r="C1273" s="7"/>
      <c r="D1273" s="116"/>
      <c r="E1273" s="116"/>
      <c r="F1273" s="8"/>
      <c r="G1273" s="8"/>
      <c r="H1273" s="7"/>
      <c r="I1273" s="8"/>
      <c r="J1273" s="8"/>
      <c r="K1273" s="8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</row>
    <row r="1274">
      <c r="A1274" s="7"/>
      <c r="B1274" s="7"/>
      <c r="C1274" s="7"/>
      <c r="D1274" s="116"/>
      <c r="E1274" s="116"/>
      <c r="F1274" s="8"/>
      <c r="G1274" s="8"/>
      <c r="H1274" s="7"/>
      <c r="I1274" s="8"/>
      <c r="J1274" s="8"/>
      <c r="K1274" s="8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</row>
    <row r="1275">
      <c r="A1275" s="7"/>
      <c r="B1275" s="7"/>
      <c r="C1275" s="7"/>
      <c r="D1275" s="116"/>
      <c r="E1275" s="116"/>
      <c r="F1275" s="8"/>
      <c r="G1275" s="8"/>
      <c r="H1275" s="7"/>
      <c r="I1275" s="8"/>
      <c r="J1275" s="8"/>
      <c r="K1275" s="8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</row>
    <row r="1276">
      <c r="A1276" s="7"/>
      <c r="B1276" s="7"/>
      <c r="C1276" s="7"/>
      <c r="D1276" s="116"/>
      <c r="E1276" s="116"/>
      <c r="F1276" s="8"/>
      <c r="G1276" s="8"/>
      <c r="H1276" s="7"/>
      <c r="I1276" s="8"/>
      <c r="J1276" s="8"/>
      <c r="K1276" s="8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</row>
    <row r="1277">
      <c r="A1277" s="7"/>
      <c r="B1277" s="7"/>
      <c r="C1277" s="7"/>
      <c r="D1277" s="116"/>
      <c r="E1277" s="116"/>
      <c r="F1277" s="8"/>
      <c r="G1277" s="8"/>
      <c r="H1277" s="7"/>
      <c r="I1277" s="8"/>
      <c r="J1277" s="8"/>
      <c r="K1277" s="8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</row>
    <row r="1278">
      <c r="A1278" s="7"/>
      <c r="B1278" s="7"/>
      <c r="C1278" s="7"/>
      <c r="D1278" s="116"/>
      <c r="E1278" s="116"/>
      <c r="F1278" s="8"/>
      <c r="G1278" s="8"/>
      <c r="H1278" s="7"/>
      <c r="I1278" s="8"/>
      <c r="J1278" s="8"/>
      <c r="K1278" s="8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</row>
    <row r="1279">
      <c r="A1279" s="7"/>
      <c r="B1279" s="7"/>
      <c r="C1279" s="7"/>
      <c r="D1279" s="116"/>
      <c r="E1279" s="116"/>
      <c r="F1279" s="8"/>
      <c r="G1279" s="8"/>
      <c r="H1279" s="7"/>
      <c r="I1279" s="8"/>
      <c r="J1279" s="8"/>
      <c r="K1279" s="8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</row>
    <row r="1280">
      <c r="A1280" s="7"/>
      <c r="B1280" s="7"/>
      <c r="C1280" s="7"/>
      <c r="D1280" s="116"/>
      <c r="E1280" s="116"/>
      <c r="F1280" s="8"/>
      <c r="G1280" s="8"/>
      <c r="H1280" s="7"/>
      <c r="I1280" s="8"/>
      <c r="J1280" s="8"/>
      <c r="K1280" s="8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</row>
    <row r="1281">
      <c r="A1281" s="7"/>
      <c r="B1281" s="7"/>
      <c r="C1281" s="7"/>
      <c r="D1281" s="116"/>
      <c r="E1281" s="116"/>
      <c r="F1281" s="8"/>
      <c r="G1281" s="8"/>
      <c r="H1281" s="7"/>
      <c r="I1281" s="8"/>
      <c r="J1281" s="8"/>
      <c r="K1281" s="8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</row>
    <row r="1282">
      <c r="A1282" s="7"/>
      <c r="B1282" s="7"/>
      <c r="C1282" s="7"/>
      <c r="D1282" s="116"/>
      <c r="E1282" s="116"/>
      <c r="F1282" s="8"/>
      <c r="G1282" s="8"/>
      <c r="H1282" s="7"/>
      <c r="I1282" s="8"/>
      <c r="J1282" s="8"/>
      <c r="K1282" s="8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</row>
    <row r="1283">
      <c r="A1283" s="7"/>
      <c r="B1283" s="7"/>
      <c r="C1283" s="7"/>
      <c r="D1283" s="116"/>
      <c r="E1283" s="116"/>
      <c r="F1283" s="8"/>
      <c r="G1283" s="8"/>
      <c r="H1283" s="7"/>
      <c r="I1283" s="8"/>
      <c r="J1283" s="8"/>
      <c r="K1283" s="8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</row>
    <row r="1284">
      <c r="A1284" s="7"/>
      <c r="B1284" s="7"/>
      <c r="C1284" s="7"/>
      <c r="D1284" s="116"/>
      <c r="E1284" s="116"/>
      <c r="F1284" s="8"/>
      <c r="G1284" s="8"/>
      <c r="H1284" s="7"/>
      <c r="I1284" s="8"/>
      <c r="J1284" s="8"/>
      <c r="K1284" s="8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</row>
    <row r="1285">
      <c r="A1285" s="7"/>
      <c r="B1285" s="7"/>
      <c r="C1285" s="7"/>
      <c r="D1285" s="116"/>
      <c r="E1285" s="116"/>
      <c r="F1285" s="8"/>
      <c r="G1285" s="8"/>
      <c r="H1285" s="7"/>
      <c r="I1285" s="8"/>
      <c r="J1285" s="8"/>
      <c r="K1285" s="8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</row>
    <row r="1286">
      <c r="A1286" s="7"/>
      <c r="B1286" s="7"/>
      <c r="C1286" s="7"/>
      <c r="D1286" s="116"/>
      <c r="E1286" s="116"/>
      <c r="F1286" s="8"/>
      <c r="G1286" s="8"/>
      <c r="H1286" s="7"/>
      <c r="I1286" s="8"/>
      <c r="J1286" s="8"/>
      <c r="K1286" s="8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</row>
    <row r="1287">
      <c r="A1287" s="7"/>
      <c r="B1287" s="7"/>
      <c r="C1287" s="7"/>
      <c r="D1287" s="116"/>
      <c r="E1287" s="116"/>
      <c r="F1287" s="8"/>
      <c r="G1287" s="8"/>
      <c r="H1287" s="7"/>
      <c r="I1287" s="8"/>
      <c r="J1287" s="8"/>
      <c r="K1287" s="8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</row>
    <row r="1288">
      <c r="A1288" s="7"/>
      <c r="B1288" s="7"/>
      <c r="C1288" s="7"/>
      <c r="D1288" s="116"/>
      <c r="E1288" s="116"/>
      <c r="F1288" s="8"/>
      <c r="G1288" s="8"/>
      <c r="H1288" s="7"/>
      <c r="I1288" s="8"/>
      <c r="J1288" s="8"/>
      <c r="K1288" s="8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</row>
    <row r="1289">
      <c r="A1289" s="7"/>
      <c r="B1289" s="7"/>
      <c r="C1289" s="7"/>
      <c r="D1289" s="116"/>
      <c r="E1289" s="116"/>
      <c r="F1289" s="8"/>
      <c r="G1289" s="8"/>
      <c r="H1289" s="7"/>
      <c r="I1289" s="8"/>
      <c r="J1289" s="8"/>
      <c r="K1289" s="8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</row>
    <row r="1290">
      <c r="A1290" s="7"/>
      <c r="B1290" s="7"/>
      <c r="C1290" s="7"/>
      <c r="D1290" s="116"/>
      <c r="E1290" s="116"/>
      <c r="F1290" s="8"/>
      <c r="G1290" s="8"/>
      <c r="H1290" s="7"/>
      <c r="I1290" s="8"/>
      <c r="J1290" s="8"/>
      <c r="K1290" s="8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</row>
    <row r="1291">
      <c r="A1291" s="7"/>
      <c r="B1291" s="7"/>
      <c r="C1291" s="7"/>
      <c r="D1291" s="116"/>
      <c r="E1291" s="116"/>
      <c r="F1291" s="8"/>
      <c r="G1291" s="8"/>
      <c r="H1291" s="7"/>
      <c r="I1291" s="8"/>
      <c r="J1291" s="8"/>
      <c r="K1291" s="8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</row>
    <row r="1292">
      <c r="A1292" s="7"/>
      <c r="B1292" s="7"/>
      <c r="C1292" s="7"/>
      <c r="D1292" s="116"/>
      <c r="E1292" s="116"/>
      <c r="F1292" s="8"/>
      <c r="G1292" s="8"/>
      <c r="H1292" s="7"/>
      <c r="I1292" s="8"/>
      <c r="J1292" s="8"/>
      <c r="K1292" s="8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</row>
    <row r="1293">
      <c r="A1293" s="7"/>
      <c r="B1293" s="7"/>
      <c r="C1293" s="7"/>
      <c r="D1293" s="116"/>
      <c r="E1293" s="116"/>
      <c r="F1293" s="8"/>
      <c r="G1293" s="8"/>
      <c r="H1293" s="7"/>
      <c r="I1293" s="8"/>
      <c r="J1293" s="8"/>
      <c r="K1293" s="8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</row>
    <row r="1294">
      <c r="A1294" s="7"/>
      <c r="B1294" s="7"/>
      <c r="C1294" s="7"/>
      <c r="D1294" s="116"/>
      <c r="E1294" s="116"/>
      <c r="F1294" s="8"/>
      <c r="G1294" s="8"/>
      <c r="H1294" s="7"/>
      <c r="I1294" s="8"/>
      <c r="J1294" s="8"/>
      <c r="K1294" s="8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</row>
    <row r="1295">
      <c r="A1295" s="7"/>
      <c r="B1295" s="7"/>
      <c r="C1295" s="7"/>
      <c r="D1295" s="116"/>
      <c r="E1295" s="116"/>
      <c r="F1295" s="8"/>
      <c r="G1295" s="8"/>
      <c r="H1295" s="7"/>
      <c r="I1295" s="8"/>
      <c r="J1295" s="8"/>
      <c r="K1295" s="8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</row>
    <row r="1296">
      <c r="A1296" s="7"/>
      <c r="B1296" s="7"/>
      <c r="C1296" s="7"/>
      <c r="D1296" s="116"/>
      <c r="E1296" s="116"/>
      <c r="F1296" s="8"/>
      <c r="G1296" s="8"/>
      <c r="H1296" s="7"/>
      <c r="I1296" s="8"/>
      <c r="J1296" s="8"/>
      <c r="K1296" s="8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</row>
    <row r="1297">
      <c r="A1297" s="7"/>
      <c r="B1297" s="7"/>
      <c r="C1297" s="7"/>
      <c r="D1297" s="116"/>
      <c r="E1297" s="116"/>
      <c r="F1297" s="8"/>
      <c r="G1297" s="8"/>
      <c r="H1297" s="7"/>
      <c r="I1297" s="8"/>
      <c r="J1297" s="8"/>
      <c r="K1297" s="8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</row>
    <row r="1298">
      <c r="A1298" s="7"/>
      <c r="B1298" s="7"/>
      <c r="C1298" s="7"/>
      <c r="D1298" s="116"/>
      <c r="E1298" s="116"/>
      <c r="F1298" s="8"/>
      <c r="G1298" s="8"/>
      <c r="H1298" s="7"/>
      <c r="I1298" s="8"/>
      <c r="J1298" s="8"/>
      <c r="K1298" s="8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</row>
    <row r="1299">
      <c r="A1299" s="7"/>
      <c r="B1299" s="7"/>
      <c r="C1299" s="7"/>
      <c r="D1299" s="116"/>
      <c r="E1299" s="116"/>
      <c r="F1299" s="8"/>
      <c r="G1299" s="8"/>
      <c r="H1299" s="7"/>
      <c r="I1299" s="8"/>
      <c r="J1299" s="8"/>
      <c r="K1299" s="8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</row>
    <row r="1300">
      <c r="A1300" s="7"/>
      <c r="B1300" s="7"/>
      <c r="C1300" s="7"/>
      <c r="D1300" s="116"/>
      <c r="E1300" s="116"/>
      <c r="F1300" s="8"/>
      <c r="G1300" s="8"/>
      <c r="H1300" s="7"/>
      <c r="I1300" s="8"/>
      <c r="J1300" s="8"/>
      <c r="K1300" s="8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</row>
    <row r="1301">
      <c r="A1301" s="7"/>
      <c r="B1301" s="7"/>
      <c r="C1301" s="7"/>
      <c r="D1301" s="116"/>
      <c r="E1301" s="116"/>
      <c r="F1301" s="8"/>
      <c r="G1301" s="8"/>
      <c r="H1301" s="7"/>
      <c r="I1301" s="8"/>
      <c r="J1301" s="8"/>
      <c r="K1301" s="8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</row>
    <row r="1302">
      <c r="A1302" s="7"/>
      <c r="B1302" s="7"/>
      <c r="C1302" s="7"/>
      <c r="D1302" s="116"/>
      <c r="E1302" s="116"/>
      <c r="F1302" s="8"/>
      <c r="G1302" s="8"/>
      <c r="H1302" s="7"/>
      <c r="I1302" s="8"/>
      <c r="J1302" s="8"/>
      <c r="K1302" s="8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</row>
    <row r="1303">
      <c r="A1303" s="7"/>
      <c r="B1303" s="7"/>
      <c r="C1303" s="7"/>
      <c r="D1303" s="116"/>
      <c r="E1303" s="116"/>
      <c r="F1303" s="8"/>
      <c r="G1303" s="8"/>
      <c r="H1303" s="7"/>
      <c r="I1303" s="8"/>
      <c r="J1303" s="8"/>
      <c r="K1303" s="8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</row>
    <row r="1304">
      <c r="A1304" s="7"/>
      <c r="B1304" s="7"/>
      <c r="C1304" s="7"/>
      <c r="D1304" s="116"/>
      <c r="E1304" s="116"/>
      <c r="F1304" s="8"/>
      <c r="G1304" s="8"/>
      <c r="H1304" s="7"/>
      <c r="I1304" s="8"/>
      <c r="J1304" s="8"/>
      <c r="K1304" s="8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</row>
    <row r="1305">
      <c r="A1305" s="7"/>
      <c r="B1305" s="7"/>
      <c r="C1305" s="7"/>
      <c r="D1305" s="116"/>
      <c r="E1305" s="116"/>
      <c r="F1305" s="8"/>
      <c r="G1305" s="8"/>
      <c r="H1305" s="7"/>
      <c r="I1305" s="8"/>
      <c r="J1305" s="8"/>
      <c r="K1305" s="8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</row>
    <row r="1306">
      <c r="A1306" s="7"/>
      <c r="B1306" s="7"/>
      <c r="C1306" s="7"/>
      <c r="D1306" s="116"/>
      <c r="E1306" s="116"/>
      <c r="F1306" s="8"/>
      <c r="G1306" s="8"/>
      <c r="H1306" s="7"/>
      <c r="I1306" s="8"/>
      <c r="J1306" s="8"/>
      <c r="K1306" s="8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</row>
    <row r="1307">
      <c r="A1307" s="7"/>
      <c r="B1307" s="7"/>
      <c r="C1307" s="7"/>
      <c r="D1307" s="116"/>
      <c r="E1307" s="116"/>
      <c r="F1307" s="8"/>
      <c r="G1307" s="8"/>
      <c r="H1307" s="7"/>
      <c r="I1307" s="8"/>
      <c r="J1307" s="8"/>
      <c r="K1307" s="8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</row>
    <row r="1308">
      <c r="A1308" s="7"/>
      <c r="B1308" s="7"/>
      <c r="C1308" s="7"/>
      <c r="D1308" s="116"/>
      <c r="E1308" s="116"/>
      <c r="F1308" s="8"/>
      <c r="G1308" s="8"/>
      <c r="H1308" s="7"/>
      <c r="I1308" s="8"/>
      <c r="J1308" s="8"/>
      <c r="K1308" s="8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</row>
    <row r="1309">
      <c r="A1309" s="7"/>
      <c r="B1309" s="7"/>
      <c r="C1309" s="7"/>
      <c r="D1309" s="116"/>
      <c r="E1309" s="116"/>
      <c r="F1309" s="8"/>
      <c r="G1309" s="8"/>
      <c r="H1309" s="7"/>
      <c r="I1309" s="8"/>
      <c r="J1309" s="8"/>
      <c r="K1309" s="8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</row>
    <row r="1310">
      <c r="A1310" s="7"/>
      <c r="B1310" s="7"/>
      <c r="C1310" s="7"/>
      <c r="D1310" s="116"/>
      <c r="E1310" s="116"/>
      <c r="F1310" s="8"/>
      <c r="G1310" s="8"/>
      <c r="H1310" s="7"/>
      <c r="I1310" s="8"/>
      <c r="J1310" s="8"/>
      <c r="K1310" s="8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</row>
    <row r="1311">
      <c r="A1311" s="7"/>
      <c r="B1311" s="7"/>
      <c r="C1311" s="7"/>
      <c r="D1311" s="116"/>
      <c r="E1311" s="116"/>
      <c r="F1311" s="8"/>
      <c r="G1311" s="8"/>
      <c r="H1311" s="7"/>
      <c r="I1311" s="8"/>
      <c r="J1311" s="8"/>
      <c r="K1311" s="8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</row>
    <row r="1312">
      <c r="A1312" s="7"/>
      <c r="B1312" s="7"/>
      <c r="C1312" s="7"/>
      <c r="D1312" s="116"/>
      <c r="E1312" s="116"/>
      <c r="F1312" s="8"/>
      <c r="G1312" s="8"/>
      <c r="H1312" s="7"/>
      <c r="I1312" s="8"/>
      <c r="J1312" s="8"/>
      <c r="K1312" s="8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</row>
    <row r="1313">
      <c r="A1313" s="7"/>
      <c r="B1313" s="7"/>
      <c r="C1313" s="7"/>
      <c r="D1313" s="116"/>
      <c r="E1313" s="116"/>
      <c r="F1313" s="8"/>
      <c r="G1313" s="8"/>
      <c r="H1313" s="7"/>
      <c r="I1313" s="8"/>
      <c r="J1313" s="8"/>
      <c r="K1313" s="8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</row>
    <row r="1314">
      <c r="A1314" s="7"/>
      <c r="B1314" s="7"/>
      <c r="C1314" s="7"/>
      <c r="D1314" s="116"/>
      <c r="E1314" s="116"/>
      <c r="F1314" s="8"/>
      <c r="G1314" s="8"/>
      <c r="H1314" s="7"/>
      <c r="I1314" s="8"/>
      <c r="J1314" s="8"/>
      <c r="K1314" s="8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</row>
    <row r="1315">
      <c r="A1315" s="7"/>
      <c r="B1315" s="7"/>
      <c r="C1315" s="7"/>
      <c r="D1315" s="116"/>
      <c r="E1315" s="116"/>
      <c r="F1315" s="8"/>
      <c r="G1315" s="8"/>
      <c r="H1315" s="7"/>
      <c r="I1315" s="8"/>
      <c r="J1315" s="8"/>
      <c r="K1315" s="8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</row>
    <row r="1316">
      <c r="A1316" s="7"/>
      <c r="B1316" s="7"/>
      <c r="C1316" s="7"/>
      <c r="D1316" s="116"/>
      <c r="E1316" s="116"/>
      <c r="F1316" s="8"/>
      <c r="G1316" s="8"/>
      <c r="H1316" s="7"/>
      <c r="I1316" s="8"/>
      <c r="J1316" s="8"/>
      <c r="K1316" s="8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</row>
    <row r="1317">
      <c r="A1317" s="7"/>
      <c r="B1317" s="7"/>
      <c r="C1317" s="7"/>
      <c r="D1317" s="116"/>
      <c r="E1317" s="116"/>
      <c r="F1317" s="8"/>
      <c r="G1317" s="8"/>
      <c r="H1317" s="7"/>
      <c r="I1317" s="8"/>
      <c r="J1317" s="8"/>
      <c r="K1317" s="8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</row>
    <row r="1318">
      <c r="A1318" s="7"/>
      <c r="B1318" s="7"/>
      <c r="C1318" s="7"/>
      <c r="D1318" s="116"/>
      <c r="E1318" s="116"/>
      <c r="F1318" s="8"/>
      <c r="G1318" s="8"/>
      <c r="H1318" s="7"/>
      <c r="I1318" s="8"/>
      <c r="J1318" s="8"/>
      <c r="K1318" s="8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</row>
    <row r="1319">
      <c r="A1319" s="7"/>
      <c r="B1319" s="7"/>
      <c r="C1319" s="7"/>
      <c r="D1319" s="116"/>
      <c r="E1319" s="116"/>
      <c r="F1319" s="8"/>
      <c r="G1319" s="8"/>
      <c r="H1319" s="7"/>
      <c r="I1319" s="8"/>
      <c r="J1319" s="8"/>
      <c r="K1319" s="8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</row>
    <row r="1320">
      <c r="A1320" s="7"/>
      <c r="B1320" s="7"/>
      <c r="C1320" s="7"/>
      <c r="D1320" s="116"/>
      <c r="E1320" s="116"/>
      <c r="F1320" s="8"/>
      <c r="G1320" s="8"/>
      <c r="H1320" s="7"/>
      <c r="I1320" s="8"/>
      <c r="J1320" s="8"/>
      <c r="K1320" s="8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</row>
    <row r="1321">
      <c r="A1321" s="7"/>
      <c r="B1321" s="7"/>
      <c r="C1321" s="7"/>
      <c r="D1321" s="116"/>
      <c r="E1321" s="116"/>
      <c r="F1321" s="8"/>
      <c r="G1321" s="8"/>
      <c r="H1321" s="7"/>
      <c r="I1321" s="8"/>
      <c r="J1321" s="8"/>
      <c r="K1321" s="8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</row>
    <row r="1322">
      <c r="A1322" s="7"/>
      <c r="B1322" s="7"/>
      <c r="C1322" s="7"/>
      <c r="D1322" s="116"/>
      <c r="E1322" s="116"/>
      <c r="F1322" s="8"/>
      <c r="G1322" s="8"/>
      <c r="H1322" s="7"/>
      <c r="I1322" s="8"/>
      <c r="J1322" s="8"/>
      <c r="K1322" s="8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</row>
    <row r="1323">
      <c r="A1323" s="7"/>
      <c r="B1323" s="7"/>
      <c r="C1323" s="7"/>
      <c r="D1323" s="116"/>
      <c r="E1323" s="116"/>
      <c r="F1323" s="8"/>
      <c r="G1323" s="8"/>
      <c r="H1323" s="7"/>
      <c r="I1323" s="8"/>
      <c r="J1323" s="8"/>
      <c r="K1323" s="8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</row>
    <row r="1324">
      <c r="A1324" s="7"/>
      <c r="B1324" s="7"/>
      <c r="C1324" s="7"/>
      <c r="D1324" s="116"/>
      <c r="E1324" s="116"/>
      <c r="F1324" s="8"/>
      <c r="G1324" s="8"/>
      <c r="H1324" s="7"/>
      <c r="I1324" s="8"/>
      <c r="J1324" s="8"/>
      <c r="K1324" s="8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</row>
    <row r="1325">
      <c r="A1325" s="7"/>
      <c r="B1325" s="7"/>
      <c r="C1325" s="7"/>
      <c r="D1325" s="116"/>
      <c r="E1325" s="116"/>
      <c r="F1325" s="8"/>
      <c r="G1325" s="8"/>
      <c r="H1325" s="7"/>
      <c r="I1325" s="8"/>
      <c r="J1325" s="8"/>
      <c r="K1325" s="8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</row>
    <row r="1326">
      <c r="A1326" s="7"/>
      <c r="B1326" s="7"/>
      <c r="C1326" s="7"/>
      <c r="D1326" s="116"/>
      <c r="E1326" s="116"/>
      <c r="F1326" s="8"/>
      <c r="G1326" s="8"/>
      <c r="H1326" s="7"/>
      <c r="I1326" s="8"/>
      <c r="J1326" s="8"/>
      <c r="K1326" s="8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</row>
    <row r="1327">
      <c r="A1327" s="7"/>
      <c r="B1327" s="7"/>
      <c r="C1327" s="7"/>
      <c r="D1327" s="116"/>
      <c r="E1327" s="116"/>
      <c r="F1327" s="8"/>
      <c r="G1327" s="8"/>
      <c r="H1327" s="7"/>
      <c r="I1327" s="8"/>
      <c r="J1327" s="8"/>
      <c r="K1327" s="8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</row>
    <row r="1328">
      <c r="A1328" s="7"/>
      <c r="B1328" s="7"/>
      <c r="C1328" s="7"/>
      <c r="D1328" s="116"/>
      <c r="E1328" s="116"/>
      <c r="F1328" s="8"/>
      <c r="G1328" s="8"/>
      <c r="H1328" s="7"/>
      <c r="I1328" s="8"/>
      <c r="J1328" s="8"/>
      <c r="K1328" s="8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</row>
    <row r="1329">
      <c r="A1329" s="7"/>
      <c r="B1329" s="7"/>
      <c r="C1329" s="7"/>
      <c r="D1329" s="116"/>
      <c r="E1329" s="116"/>
      <c r="F1329" s="8"/>
      <c r="G1329" s="8"/>
      <c r="H1329" s="7"/>
      <c r="I1329" s="8"/>
      <c r="J1329" s="8"/>
      <c r="K1329" s="8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</row>
    <row r="1330">
      <c r="A1330" s="7"/>
      <c r="B1330" s="7"/>
      <c r="C1330" s="7"/>
      <c r="D1330" s="116"/>
      <c r="E1330" s="116"/>
      <c r="F1330" s="8"/>
      <c r="G1330" s="8"/>
      <c r="H1330" s="7"/>
      <c r="I1330" s="8"/>
      <c r="J1330" s="8"/>
      <c r="K1330" s="8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</row>
    <row r="1331">
      <c r="A1331" s="7"/>
      <c r="B1331" s="7"/>
      <c r="C1331" s="7"/>
      <c r="D1331" s="116"/>
      <c r="E1331" s="116"/>
      <c r="F1331" s="8"/>
      <c r="G1331" s="8"/>
      <c r="H1331" s="7"/>
      <c r="I1331" s="8"/>
      <c r="J1331" s="8"/>
      <c r="K1331" s="8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</row>
    <row r="1332">
      <c r="A1332" s="7"/>
      <c r="B1332" s="7"/>
      <c r="C1332" s="7"/>
      <c r="D1332" s="116"/>
      <c r="E1332" s="116"/>
      <c r="F1332" s="8"/>
      <c r="G1332" s="8"/>
      <c r="H1332" s="7"/>
      <c r="I1332" s="8"/>
      <c r="J1332" s="8"/>
      <c r="K1332" s="8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</row>
    <row r="1333">
      <c r="A1333" s="7"/>
      <c r="B1333" s="7"/>
      <c r="C1333" s="7"/>
      <c r="D1333" s="116"/>
      <c r="E1333" s="116"/>
      <c r="F1333" s="8"/>
      <c r="G1333" s="8"/>
      <c r="H1333" s="7"/>
      <c r="I1333" s="8"/>
      <c r="J1333" s="8"/>
      <c r="K1333" s="8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</row>
    <row r="1334">
      <c r="A1334" s="7"/>
      <c r="B1334" s="7"/>
      <c r="C1334" s="7"/>
      <c r="D1334" s="116"/>
      <c r="E1334" s="116"/>
      <c r="F1334" s="8"/>
      <c r="G1334" s="8"/>
      <c r="H1334" s="7"/>
      <c r="I1334" s="8"/>
      <c r="J1334" s="8"/>
      <c r="K1334" s="8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</row>
    <row r="1335">
      <c r="A1335" s="7"/>
      <c r="B1335" s="7"/>
      <c r="C1335" s="7"/>
      <c r="D1335" s="116"/>
      <c r="E1335" s="116"/>
      <c r="F1335" s="8"/>
      <c r="G1335" s="8"/>
      <c r="H1335" s="7"/>
      <c r="I1335" s="8"/>
      <c r="J1335" s="8"/>
      <c r="K1335" s="8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</row>
    <row r="1336">
      <c r="A1336" s="7"/>
      <c r="B1336" s="7"/>
      <c r="C1336" s="7"/>
      <c r="D1336" s="116"/>
      <c r="E1336" s="116"/>
      <c r="F1336" s="8"/>
      <c r="G1336" s="8"/>
      <c r="H1336" s="7"/>
      <c r="I1336" s="8"/>
      <c r="J1336" s="8"/>
      <c r="K1336" s="8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</row>
    <row r="1337">
      <c r="A1337" s="7"/>
      <c r="B1337" s="7"/>
      <c r="C1337" s="7"/>
      <c r="D1337" s="116"/>
      <c r="E1337" s="116"/>
      <c r="F1337" s="8"/>
      <c r="G1337" s="8"/>
      <c r="H1337" s="7"/>
      <c r="I1337" s="8"/>
      <c r="J1337" s="8"/>
      <c r="K1337" s="8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</row>
    <row r="1338">
      <c r="A1338" s="7"/>
      <c r="B1338" s="7"/>
      <c r="C1338" s="7"/>
      <c r="D1338" s="116"/>
      <c r="E1338" s="116"/>
      <c r="F1338" s="8"/>
      <c r="G1338" s="8"/>
      <c r="H1338" s="7"/>
      <c r="I1338" s="8"/>
      <c r="J1338" s="8"/>
      <c r="K1338" s="8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</row>
    <row r="1339">
      <c r="A1339" s="7"/>
      <c r="B1339" s="7"/>
      <c r="C1339" s="7"/>
      <c r="D1339" s="116"/>
      <c r="E1339" s="116"/>
      <c r="F1339" s="8"/>
      <c r="G1339" s="8"/>
      <c r="H1339" s="7"/>
      <c r="I1339" s="8"/>
      <c r="J1339" s="8"/>
      <c r="K1339" s="8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</row>
    <row r="1340">
      <c r="A1340" s="7"/>
      <c r="B1340" s="7"/>
      <c r="C1340" s="7"/>
      <c r="D1340" s="116"/>
      <c r="E1340" s="116"/>
      <c r="F1340" s="8"/>
      <c r="G1340" s="8"/>
      <c r="H1340" s="7"/>
      <c r="I1340" s="8"/>
      <c r="J1340" s="8"/>
      <c r="K1340" s="8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</row>
    <row r="1341">
      <c r="A1341" s="7"/>
      <c r="B1341" s="7"/>
      <c r="C1341" s="7"/>
      <c r="D1341" s="116"/>
      <c r="E1341" s="116"/>
      <c r="F1341" s="8"/>
      <c r="G1341" s="8"/>
      <c r="H1341" s="7"/>
      <c r="I1341" s="8"/>
      <c r="J1341" s="8"/>
      <c r="K1341" s="8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</row>
    <row r="1342">
      <c r="A1342" s="7"/>
      <c r="B1342" s="7"/>
      <c r="C1342" s="7"/>
      <c r="D1342" s="116"/>
      <c r="E1342" s="116"/>
      <c r="F1342" s="8"/>
      <c r="G1342" s="8"/>
      <c r="H1342" s="7"/>
      <c r="I1342" s="8"/>
      <c r="J1342" s="8"/>
      <c r="K1342" s="8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</row>
    <row r="1343">
      <c r="A1343" s="7"/>
      <c r="B1343" s="7"/>
      <c r="C1343" s="7"/>
      <c r="D1343" s="116"/>
      <c r="E1343" s="116"/>
      <c r="F1343" s="8"/>
      <c r="G1343" s="8"/>
      <c r="H1343" s="7"/>
      <c r="I1343" s="8"/>
      <c r="J1343" s="8"/>
      <c r="K1343" s="8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</row>
    <row r="1344">
      <c r="A1344" s="7"/>
      <c r="B1344" s="7"/>
      <c r="C1344" s="7"/>
      <c r="D1344" s="116"/>
      <c r="E1344" s="116"/>
      <c r="F1344" s="8"/>
      <c r="G1344" s="8"/>
      <c r="H1344" s="7"/>
      <c r="I1344" s="8"/>
      <c r="J1344" s="8"/>
      <c r="K1344" s="8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</row>
    <row r="1345">
      <c r="A1345" s="7"/>
      <c r="B1345" s="7"/>
      <c r="C1345" s="7"/>
      <c r="D1345" s="116"/>
      <c r="E1345" s="116"/>
      <c r="F1345" s="8"/>
      <c r="G1345" s="8"/>
      <c r="H1345" s="7"/>
      <c r="I1345" s="8"/>
      <c r="J1345" s="8"/>
      <c r="K1345" s="8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</row>
    <row r="1346">
      <c r="A1346" s="7"/>
      <c r="B1346" s="7"/>
      <c r="C1346" s="7"/>
      <c r="D1346" s="116"/>
      <c r="E1346" s="116"/>
      <c r="F1346" s="8"/>
      <c r="G1346" s="8"/>
      <c r="H1346" s="7"/>
      <c r="I1346" s="8"/>
      <c r="J1346" s="8"/>
      <c r="K1346" s="8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</row>
    <row r="1347">
      <c r="A1347" s="7"/>
      <c r="B1347" s="7"/>
      <c r="C1347" s="7"/>
      <c r="D1347" s="116"/>
      <c r="E1347" s="116"/>
      <c r="F1347" s="8"/>
      <c r="G1347" s="8"/>
      <c r="H1347" s="7"/>
      <c r="I1347" s="8"/>
      <c r="J1347" s="8"/>
      <c r="K1347" s="8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</row>
    <row r="1348">
      <c r="A1348" s="7"/>
      <c r="B1348" s="7"/>
      <c r="C1348" s="7"/>
      <c r="D1348" s="116"/>
      <c r="E1348" s="116"/>
      <c r="F1348" s="8"/>
      <c r="G1348" s="8"/>
      <c r="H1348" s="7"/>
      <c r="I1348" s="8"/>
      <c r="J1348" s="8"/>
      <c r="K1348" s="8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23.5"/>
    <col customWidth="1" min="4" max="4" width="37.63"/>
    <col customWidth="1" min="5" max="5" width="17.25"/>
    <col customWidth="1" min="6" max="6" width="18.13"/>
    <col customWidth="1" min="10" max="11" width="16.88"/>
    <col hidden="1" min="16" max="21" width="12.63"/>
  </cols>
  <sheetData>
    <row r="1">
      <c r="A1" s="111" t="s">
        <v>29</v>
      </c>
      <c r="B1" s="111" t="s">
        <v>87</v>
      </c>
      <c r="C1" s="111" t="s">
        <v>88</v>
      </c>
      <c r="D1" s="111"/>
      <c r="E1" s="61" t="s">
        <v>89</v>
      </c>
      <c r="F1" s="61" t="s">
        <v>90</v>
      </c>
      <c r="G1" s="60" t="s">
        <v>30</v>
      </c>
      <c r="H1" s="60" t="s">
        <v>91</v>
      </c>
      <c r="I1" s="60" t="s">
        <v>93</v>
      </c>
      <c r="J1" s="112" t="s">
        <v>94</v>
      </c>
      <c r="K1" s="60" t="s">
        <v>39</v>
      </c>
      <c r="L1" s="111" t="s">
        <v>40</v>
      </c>
      <c r="M1" s="111" t="s">
        <v>41</v>
      </c>
      <c r="N1" s="111" t="s">
        <v>42</v>
      </c>
      <c r="O1" s="111" t="s">
        <v>43</v>
      </c>
      <c r="P1" s="111" t="s">
        <v>485</v>
      </c>
      <c r="Q1" s="111" t="s">
        <v>486</v>
      </c>
      <c r="R1" s="111" t="s">
        <v>487</v>
      </c>
      <c r="S1" s="111" t="s">
        <v>488</v>
      </c>
      <c r="T1" s="111" t="s">
        <v>489</v>
      </c>
      <c r="U1" s="111" t="s">
        <v>45</v>
      </c>
    </row>
    <row r="2">
      <c r="A2" s="45">
        <v>45926.5655787037</v>
      </c>
      <c r="B2" s="7" t="s">
        <v>107</v>
      </c>
      <c r="C2" s="7" t="s">
        <v>2198</v>
      </c>
      <c r="D2" s="7"/>
      <c r="E2" s="64">
        <v>1.0</v>
      </c>
      <c r="F2" s="7"/>
      <c r="G2" s="47">
        <v>24.99</v>
      </c>
      <c r="H2" s="47">
        <v>0.0</v>
      </c>
      <c r="I2" s="47">
        <v>1.02</v>
      </c>
      <c r="J2" s="8">
        <f t="shared" ref="J2:J340" si="1">G2-I2</f>
        <v>23.97</v>
      </c>
      <c r="K2" s="8"/>
      <c r="L2" s="7"/>
      <c r="M2" s="7"/>
      <c r="N2" s="7"/>
      <c r="O2" s="7"/>
      <c r="P2" s="7" t="s">
        <v>490</v>
      </c>
      <c r="Q2" s="7" t="s">
        <v>810</v>
      </c>
      <c r="R2" s="7"/>
      <c r="S2" s="7" t="s">
        <v>811</v>
      </c>
      <c r="T2" s="7" t="s">
        <v>493</v>
      </c>
      <c r="U2" s="65">
        <v>4467.0</v>
      </c>
    </row>
    <row r="3">
      <c r="A3" s="45">
        <v>45926.00912037037</v>
      </c>
      <c r="B3" s="7" t="s">
        <v>256</v>
      </c>
      <c r="C3" s="7" t="s">
        <v>2198</v>
      </c>
      <c r="D3" s="7"/>
      <c r="E3" s="64">
        <v>1.0</v>
      </c>
      <c r="F3" s="7"/>
      <c r="G3" s="47">
        <v>24.99</v>
      </c>
      <c r="H3" s="47">
        <v>0.0</v>
      </c>
      <c r="I3" s="47">
        <v>1.02</v>
      </c>
      <c r="J3" s="8">
        <f t="shared" si="1"/>
        <v>23.97</v>
      </c>
      <c r="K3" s="8"/>
      <c r="L3" s="7"/>
      <c r="M3" s="7"/>
      <c r="N3" s="7"/>
      <c r="O3" s="7"/>
      <c r="P3" s="7" t="s">
        <v>490</v>
      </c>
      <c r="Q3" s="7" t="s">
        <v>1789</v>
      </c>
      <c r="R3" s="7" t="s">
        <v>1790</v>
      </c>
      <c r="S3" s="7" t="s">
        <v>572</v>
      </c>
      <c r="T3" s="7" t="s">
        <v>493</v>
      </c>
      <c r="U3" s="65">
        <v>4464.0</v>
      </c>
    </row>
    <row r="4">
      <c r="A4" s="45">
        <v>45925.74706018518</v>
      </c>
      <c r="B4" s="7" t="s">
        <v>984</v>
      </c>
      <c r="C4" s="7" t="s">
        <v>2198</v>
      </c>
      <c r="D4" s="7"/>
      <c r="E4" s="64">
        <v>1.0</v>
      </c>
      <c r="F4" s="7"/>
      <c r="G4" s="47">
        <v>24.99</v>
      </c>
      <c r="H4" s="47">
        <v>0.0</v>
      </c>
      <c r="I4" s="47">
        <v>1.02</v>
      </c>
      <c r="J4" s="8">
        <f t="shared" si="1"/>
        <v>23.97</v>
      </c>
      <c r="K4" s="8"/>
      <c r="L4" s="7"/>
      <c r="M4" s="7"/>
      <c r="N4" s="7"/>
      <c r="O4" s="7"/>
      <c r="P4" s="7" t="s">
        <v>490</v>
      </c>
      <c r="Q4" s="7" t="s">
        <v>985</v>
      </c>
      <c r="R4" s="7"/>
      <c r="S4" s="7" t="s">
        <v>986</v>
      </c>
      <c r="T4" s="7" t="s">
        <v>493</v>
      </c>
      <c r="U4" s="65">
        <v>4463.0</v>
      </c>
    </row>
    <row r="5">
      <c r="A5" s="45">
        <v>45925.46908564815</v>
      </c>
      <c r="B5" s="7" t="s">
        <v>139</v>
      </c>
      <c r="C5" s="7" t="s">
        <v>2198</v>
      </c>
      <c r="D5" s="7"/>
      <c r="E5" s="64">
        <v>1.0</v>
      </c>
      <c r="F5" s="7"/>
      <c r="G5" s="47">
        <v>24.99</v>
      </c>
      <c r="H5" s="47">
        <v>0.0</v>
      </c>
      <c r="I5" s="47">
        <v>1.02</v>
      </c>
      <c r="J5" s="8">
        <f t="shared" si="1"/>
        <v>23.97</v>
      </c>
      <c r="K5" s="8"/>
      <c r="L5" s="7"/>
      <c r="M5" s="7"/>
      <c r="N5" s="7"/>
      <c r="O5" s="7"/>
      <c r="P5" s="7" t="s">
        <v>490</v>
      </c>
      <c r="Q5" s="7" t="s">
        <v>1310</v>
      </c>
      <c r="R5" s="7"/>
      <c r="S5" s="7" t="s">
        <v>1311</v>
      </c>
      <c r="T5" s="7" t="s">
        <v>493</v>
      </c>
      <c r="U5" s="65">
        <v>4460.0</v>
      </c>
    </row>
    <row r="6">
      <c r="A6" s="45">
        <v>45925.34012731481</v>
      </c>
      <c r="B6" s="7" t="s">
        <v>526</v>
      </c>
      <c r="C6" s="7" t="s">
        <v>2198</v>
      </c>
      <c r="D6" s="7"/>
      <c r="E6" s="64">
        <v>1.0</v>
      </c>
      <c r="F6" s="7"/>
      <c r="G6" s="47">
        <v>24.99</v>
      </c>
      <c r="H6" s="47">
        <v>0.0</v>
      </c>
      <c r="I6" s="47">
        <v>1.4</v>
      </c>
      <c r="J6" s="8">
        <f t="shared" si="1"/>
        <v>23.59</v>
      </c>
      <c r="K6" s="8"/>
      <c r="L6" s="7"/>
      <c r="M6" s="7"/>
      <c r="N6" s="7"/>
      <c r="O6" s="7"/>
      <c r="P6" s="7" t="s">
        <v>490</v>
      </c>
      <c r="Q6" s="7" t="s">
        <v>527</v>
      </c>
      <c r="R6" s="7"/>
      <c r="S6" s="7" t="s">
        <v>528</v>
      </c>
      <c r="T6" s="7" t="s">
        <v>525</v>
      </c>
      <c r="U6" s="65">
        <v>4459.0</v>
      </c>
    </row>
    <row r="7">
      <c r="A7" s="45">
        <v>45925.28159722222</v>
      </c>
      <c r="B7" s="7" t="s">
        <v>251</v>
      </c>
      <c r="C7" s="7" t="s">
        <v>2198</v>
      </c>
      <c r="D7" s="7"/>
      <c r="E7" s="64">
        <v>1.0</v>
      </c>
      <c r="F7" s="7"/>
      <c r="G7" s="47">
        <v>24.99</v>
      </c>
      <c r="H7" s="47">
        <v>0.0</v>
      </c>
      <c r="I7" s="47">
        <v>1.4</v>
      </c>
      <c r="J7" s="8">
        <f t="shared" si="1"/>
        <v>23.59</v>
      </c>
      <c r="K7" s="8"/>
      <c r="L7" s="7"/>
      <c r="M7" s="7"/>
      <c r="N7" s="7"/>
      <c r="O7" s="7"/>
      <c r="P7" s="7" t="s">
        <v>490</v>
      </c>
      <c r="Q7" s="7" t="s">
        <v>1592</v>
      </c>
      <c r="R7" s="7" t="s">
        <v>1593</v>
      </c>
      <c r="S7" s="7" t="s">
        <v>572</v>
      </c>
      <c r="T7" s="7" t="s">
        <v>510</v>
      </c>
      <c r="U7" s="65">
        <v>4455.0</v>
      </c>
    </row>
    <row r="8">
      <c r="A8" s="45">
        <v>45925.253541666665</v>
      </c>
      <c r="B8" s="7" t="s">
        <v>786</v>
      </c>
      <c r="C8" s="7" t="s">
        <v>2198</v>
      </c>
      <c r="D8" s="7"/>
      <c r="E8" s="64">
        <v>1.0</v>
      </c>
      <c r="F8" s="7"/>
      <c r="G8" s="47">
        <v>24.99</v>
      </c>
      <c r="H8" s="47">
        <v>0.0</v>
      </c>
      <c r="I8" s="47">
        <v>1.4</v>
      </c>
      <c r="J8" s="8">
        <f t="shared" si="1"/>
        <v>23.59</v>
      </c>
      <c r="K8" s="8"/>
      <c r="L8" s="7"/>
      <c r="M8" s="7"/>
      <c r="N8" s="7"/>
      <c r="O8" s="7"/>
      <c r="P8" s="7" t="s">
        <v>490</v>
      </c>
      <c r="Q8" s="7" t="s">
        <v>787</v>
      </c>
      <c r="R8" s="7" t="s">
        <v>2045</v>
      </c>
      <c r="S8" s="7" t="s">
        <v>789</v>
      </c>
      <c r="T8" s="7" t="s">
        <v>617</v>
      </c>
      <c r="U8" s="65">
        <v>4454.0</v>
      </c>
    </row>
    <row r="9">
      <c r="A9" s="45">
        <v>45925.0483912037</v>
      </c>
      <c r="B9" s="7" t="s">
        <v>271</v>
      </c>
      <c r="C9" s="7" t="s">
        <v>2198</v>
      </c>
      <c r="D9" s="7"/>
      <c r="E9" s="64">
        <v>1.0</v>
      </c>
      <c r="F9" s="7"/>
      <c r="G9" s="47">
        <v>34.46</v>
      </c>
      <c r="H9" s="47">
        <v>0.0</v>
      </c>
      <c r="I9" s="47">
        <v>1.3</v>
      </c>
      <c r="J9" s="8">
        <f t="shared" si="1"/>
        <v>33.16</v>
      </c>
      <c r="K9" s="8"/>
      <c r="L9" s="7"/>
      <c r="M9" s="7"/>
      <c r="N9" s="7"/>
      <c r="O9" s="7"/>
      <c r="P9" s="7" t="s">
        <v>490</v>
      </c>
      <c r="Q9" s="7" t="s">
        <v>2199</v>
      </c>
      <c r="R9" s="7" t="s">
        <v>2200</v>
      </c>
      <c r="S9" s="7" t="s">
        <v>2201</v>
      </c>
      <c r="T9" s="7" t="s">
        <v>493</v>
      </c>
      <c r="U9" s="65">
        <v>4453.0</v>
      </c>
    </row>
    <row r="10">
      <c r="A10" s="45">
        <v>45924.720601851855</v>
      </c>
      <c r="B10" s="7" t="s">
        <v>2202</v>
      </c>
      <c r="C10" s="7" t="s">
        <v>2198</v>
      </c>
      <c r="D10" s="7"/>
      <c r="E10" s="64">
        <v>1.0</v>
      </c>
      <c r="F10" s="7"/>
      <c r="G10" s="47">
        <v>34.46</v>
      </c>
      <c r="H10" s="47">
        <v>0.0</v>
      </c>
      <c r="I10" s="47">
        <v>1.3</v>
      </c>
      <c r="J10" s="8">
        <f t="shared" si="1"/>
        <v>33.16</v>
      </c>
      <c r="K10" s="8"/>
      <c r="L10" s="7"/>
      <c r="M10" s="7"/>
      <c r="N10" s="7"/>
      <c r="O10" s="7"/>
      <c r="P10" s="7" t="s">
        <v>490</v>
      </c>
      <c r="Q10" s="7" t="s">
        <v>2203</v>
      </c>
      <c r="R10" s="7"/>
      <c r="S10" s="7" t="s">
        <v>1082</v>
      </c>
      <c r="T10" s="7" t="s">
        <v>493</v>
      </c>
      <c r="U10" s="65">
        <v>4452.0</v>
      </c>
    </row>
    <row r="11">
      <c r="A11" s="45">
        <v>45924.57519675926</v>
      </c>
      <c r="B11" s="7" t="s">
        <v>111</v>
      </c>
      <c r="C11" s="7" t="s">
        <v>2198</v>
      </c>
      <c r="D11" s="7"/>
      <c r="E11" s="64">
        <v>1.0</v>
      </c>
      <c r="F11" s="7"/>
      <c r="G11" s="47">
        <v>27.68</v>
      </c>
      <c r="H11" s="47">
        <v>0.0</v>
      </c>
      <c r="I11" s="47">
        <v>1.1</v>
      </c>
      <c r="J11" s="8">
        <f t="shared" si="1"/>
        <v>26.58</v>
      </c>
      <c r="K11" s="8"/>
      <c r="L11" s="7"/>
      <c r="M11" s="7"/>
      <c r="N11" s="7"/>
      <c r="O11" s="7"/>
      <c r="P11" s="7" t="s">
        <v>490</v>
      </c>
      <c r="Q11" s="7" t="s">
        <v>1553</v>
      </c>
      <c r="R11" s="7"/>
      <c r="S11" s="7" t="s">
        <v>1554</v>
      </c>
      <c r="T11" s="7" t="s">
        <v>493</v>
      </c>
      <c r="U11" s="65">
        <v>4451.0</v>
      </c>
    </row>
    <row r="12">
      <c r="A12" s="45">
        <v>45924.22561342592</v>
      </c>
      <c r="B12" s="7" t="s">
        <v>1583</v>
      </c>
      <c r="C12" s="7" t="s">
        <v>2198</v>
      </c>
      <c r="D12" s="7"/>
      <c r="E12" s="64">
        <v>1.0</v>
      </c>
      <c r="F12" s="7"/>
      <c r="G12" s="47">
        <v>24.99</v>
      </c>
      <c r="H12" s="47">
        <v>0.0</v>
      </c>
      <c r="I12" s="47">
        <v>1.02</v>
      </c>
      <c r="J12" s="8">
        <f t="shared" si="1"/>
        <v>23.97</v>
      </c>
      <c r="K12" s="8"/>
      <c r="L12" s="7"/>
      <c r="M12" s="7"/>
      <c r="N12" s="7"/>
      <c r="O12" s="7"/>
      <c r="P12" s="7" t="s">
        <v>490</v>
      </c>
      <c r="Q12" s="7" t="s">
        <v>503</v>
      </c>
      <c r="R12" s="7"/>
      <c r="S12" s="7" t="s">
        <v>505</v>
      </c>
      <c r="T12" s="7" t="s">
        <v>493</v>
      </c>
      <c r="U12" s="65">
        <v>4450.0</v>
      </c>
    </row>
    <row r="13">
      <c r="A13" s="45">
        <v>45923.11210648148</v>
      </c>
      <c r="B13" s="7" t="s">
        <v>172</v>
      </c>
      <c r="C13" s="7" t="s">
        <v>2198</v>
      </c>
      <c r="D13" s="7"/>
      <c r="E13" s="64">
        <v>1.0</v>
      </c>
      <c r="F13" s="7"/>
      <c r="G13" s="47">
        <v>24.99</v>
      </c>
      <c r="H13" s="47">
        <v>0.0</v>
      </c>
      <c r="I13" s="47">
        <v>1.02</v>
      </c>
      <c r="J13" s="8">
        <f t="shared" si="1"/>
        <v>23.97</v>
      </c>
      <c r="K13" s="8"/>
      <c r="L13" s="7"/>
      <c r="M13" s="7"/>
      <c r="N13" s="7"/>
      <c r="O13" s="7"/>
      <c r="P13" s="7" t="s">
        <v>490</v>
      </c>
      <c r="Q13" s="7" t="s">
        <v>1102</v>
      </c>
      <c r="R13" s="7"/>
      <c r="S13" s="7" t="s">
        <v>1103</v>
      </c>
      <c r="T13" s="7" t="s">
        <v>493</v>
      </c>
      <c r="U13" s="65">
        <v>4445.0</v>
      </c>
    </row>
    <row r="14">
      <c r="A14" s="45">
        <v>45922.61819444445</v>
      </c>
      <c r="B14" s="7" t="s">
        <v>2138</v>
      </c>
      <c r="C14" s="7" t="s">
        <v>2198</v>
      </c>
      <c r="D14" s="7"/>
      <c r="E14" s="64">
        <v>1.0</v>
      </c>
      <c r="F14" s="7"/>
      <c r="G14" s="47">
        <v>24.99</v>
      </c>
      <c r="H14" s="47">
        <v>0.0</v>
      </c>
      <c r="I14" s="47">
        <v>1.02</v>
      </c>
      <c r="J14" s="8">
        <f t="shared" si="1"/>
        <v>23.97</v>
      </c>
      <c r="K14" s="8"/>
      <c r="L14" s="7"/>
      <c r="M14" s="7"/>
      <c r="N14" s="7"/>
      <c r="O14" s="7"/>
      <c r="P14" s="7" t="s">
        <v>490</v>
      </c>
      <c r="Q14" s="7" t="s">
        <v>2139</v>
      </c>
      <c r="R14" s="7"/>
      <c r="S14" s="7" t="s">
        <v>2140</v>
      </c>
      <c r="T14" s="7" t="s">
        <v>493</v>
      </c>
      <c r="U14" s="65">
        <v>4444.0</v>
      </c>
    </row>
    <row r="15">
      <c r="A15" s="45">
        <v>45922.60954861111</v>
      </c>
      <c r="B15" s="7" t="s">
        <v>291</v>
      </c>
      <c r="C15" s="7" t="s">
        <v>2198</v>
      </c>
      <c r="D15" s="7"/>
      <c r="E15" s="64">
        <v>1.0</v>
      </c>
      <c r="F15" s="7"/>
      <c r="G15" s="47">
        <v>24.99</v>
      </c>
      <c r="H15" s="47">
        <v>0.0</v>
      </c>
      <c r="I15" s="47">
        <v>1.02</v>
      </c>
      <c r="J15" s="8">
        <f t="shared" si="1"/>
        <v>23.97</v>
      </c>
      <c r="K15" s="8"/>
      <c r="L15" s="7"/>
      <c r="M15" s="7"/>
      <c r="N15" s="7"/>
      <c r="O15" s="7"/>
      <c r="P15" s="7" t="s">
        <v>490</v>
      </c>
      <c r="Q15" s="7" t="s">
        <v>670</v>
      </c>
      <c r="R15" s="7"/>
      <c r="S15" s="7" t="s">
        <v>671</v>
      </c>
      <c r="T15" s="7" t="s">
        <v>493</v>
      </c>
      <c r="U15" s="65">
        <v>4443.0</v>
      </c>
    </row>
    <row r="16">
      <c r="A16" s="45">
        <v>45922.4046875</v>
      </c>
      <c r="B16" s="7" t="s">
        <v>157</v>
      </c>
      <c r="C16" s="7" t="s">
        <v>2198</v>
      </c>
      <c r="D16" s="7"/>
      <c r="E16" s="64">
        <v>1.0</v>
      </c>
      <c r="F16" s="7"/>
      <c r="G16" s="47">
        <v>24.99</v>
      </c>
      <c r="H16" s="47">
        <v>0.0</v>
      </c>
      <c r="I16" s="47">
        <v>1.4</v>
      </c>
      <c r="J16" s="8">
        <f t="shared" si="1"/>
        <v>23.59</v>
      </c>
      <c r="K16" s="8"/>
      <c r="L16" s="7"/>
      <c r="M16" s="7"/>
      <c r="N16" s="7"/>
      <c r="O16" s="7"/>
      <c r="P16" s="7" t="s">
        <v>490</v>
      </c>
      <c r="Q16" s="7" t="s">
        <v>819</v>
      </c>
      <c r="R16" s="7"/>
      <c r="S16" s="7" t="s">
        <v>820</v>
      </c>
      <c r="T16" s="7" t="s">
        <v>726</v>
      </c>
      <c r="U16" s="65">
        <v>4442.0</v>
      </c>
    </row>
    <row r="17">
      <c r="A17" s="45">
        <v>45921.67135416667</v>
      </c>
      <c r="B17" s="7" t="s">
        <v>108</v>
      </c>
      <c r="C17" s="7" t="s">
        <v>2198</v>
      </c>
      <c r="D17" s="7"/>
      <c r="E17" s="64">
        <v>1.0</v>
      </c>
      <c r="F17" s="7"/>
      <c r="G17" s="47">
        <v>24.99</v>
      </c>
      <c r="H17" s="47">
        <v>0.0</v>
      </c>
      <c r="I17" s="47">
        <v>1.4</v>
      </c>
      <c r="J17" s="8">
        <f t="shared" si="1"/>
        <v>23.59</v>
      </c>
      <c r="K17" s="8"/>
      <c r="L17" s="7"/>
      <c r="M17" s="7"/>
      <c r="N17" s="7"/>
      <c r="O17" s="7"/>
      <c r="P17" s="7" t="s">
        <v>490</v>
      </c>
      <c r="Q17" s="7" t="s">
        <v>543</v>
      </c>
      <c r="R17" s="7"/>
      <c r="S17" s="7" t="s">
        <v>544</v>
      </c>
      <c r="T17" s="7" t="s">
        <v>545</v>
      </c>
      <c r="U17" s="65">
        <v>4441.0</v>
      </c>
    </row>
    <row r="18">
      <c r="A18" s="45">
        <v>45921.50707175926</v>
      </c>
      <c r="B18" s="7" t="s">
        <v>752</v>
      </c>
      <c r="C18" s="7" t="s">
        <v>2198</v>
      </c>
      <c r="D18" s="7"/>
      <c r="E18" s="64">
        <v>1.0</v>
      </c>
      <c r="F18" s="7"/>
      <c r="G18" s="47">
        <v>24.99</v>
      </c>
      <c r="H18" s="47">
        <v>0.0</v>
      </c>
      <c r="I18" s="47">
        <v>1.4</v>
      </c>
      <c r="J18" s="8">
        <f t="shared" si="1"/>
        <v>23.59</v>
      </c>
      <c r="K18" s="8"/>
      <c r="L18" s="7"/>
      <c r="M18" s="7"/>
      <c r="N18" s="7"/>
      <c r="O18" s="7"/>
      <c r="P18" s="7" t="s">
        <v>490</v>
      </c>
      <c r="Q18" s="7" t="s">
        <v>1532</v>
      </c>
      <c r="R18" s="7" t="s">
        <v>754</v>
      </c>
      <c r="S18" s="7" t="s">
        <v>755</v>
      </c>
      <c r="T18" s="7" t="s">
        <v>545</v>
      </c>
      <c r="U18" s="65">
        <v>4440.0</v>
      </c>
    </row>
    <row r="19">
      <c r="A19" s="45">
        <v>45921.23416666667</v>
      </c>
      <c r="B19" s="7" t="s">
        <v>1511</v>
      </c>
      <c r="C19" s="7" t="s">
        <v>2198</v>
      </c>
      <c r="D19" s="7"/>
      <c r="E19" s="64">
        <v>1.0</v>
      </c>
      <c r="F19" s="7"/>
      <c r="G19" s="47">
        <v>24.99</v>
      </c>
      <c r="H19" s="47">
        <v>0.0</v>
      </c>
      <c r="I19" s="47">
        <v>1.4</v>
      </c>
      <c r="J19" s="8">
        <f t="shared" si="1"/>
        <v>23.59</v>
      </c>
      <c r="K19" s="8"/>
      <c r="L19" s="7"/>
      <c r="M19" s="7"/>
      <c r="N19" s="7"/>
      <c r="O19" s="7"/>
      <c r="P19" s="7" t="s">
        <v>490</v>
      </c>
      <c r="Q19" s="7" t="s">
        <v>681</v>
      </c>
      <c r="R19" s="7" t="s">
        <v>682</v>
      </c>
      <c r="S19" s="7" t="s">
        <v>683</v>
      </c>
      <c r="T19" s="7" t="s">
        <v>684</v>
      </c>
      <c r="U19" s="65">
        <v>4439.0</v>
      </c>
    </row>
    <row r="20">
      <c r="A20" s="45">
        <v>45921.07350694444</v>
      </c>
      <c r="B20" s="7" t="s">
        <v>2143</v>
      </c>
      <c r="C20" s="7" t="s">
        <v>2198</v>
      </c>
      <c r="D20" s="7"/>
      <c r="E20" s="64">
        <v>1.0</v>
      </c>
      <c r="F20" s="7"/>
      <c r="G20" s="47">
        <v>24.99</v>
      </c>
      <c r="H20" s="47">
        <v>0.0</v>
      </c>
      <c r="I20" s="47">
        <v>1.02</v>
      </c>
      <c r="J20" s="8">
        <f t="shared" si="1"/>
        <v>23.97</v>
      </c>
      <c r="K20" s="8"/>
      <c r="L20" s="7"/>
      <c r="M20" s="7"/>
      <c r="N20" s="7"/>
      <c r="O20" s="7"/>
      <c r="P20" s="7" t="s">
        <v>490</v>
      </c>
      <c r="Q20" s="7" t="s">
        <v>2204</v>
      </c>
      <c r="R20" s="7"/>
      <c r="S20" s="7" t="s">
        <v>1612</v>
      </c>
      <c r="T20" s="7" t="s">
        <v>493</v>
      </c>
      <c r="U20" s="65">
        <v>4437.0</v>
      </c>
    </row>
    <row r="21">
      <c r="A21" s="45">
        <v>45920.930868055555</v>
      </c>
      <c r="B21" s="7" t="s">
        <v>730</v>
      </c>
      <c r="C21" s="7" t="s">
        <v>2198</v>
      </c>
      <c r="D21" s="7"/>
      <c r="E21" s="64">
        <v>1.0</v>
      </c>
      <c r="F21" s="7"/>
      <c r="G21" s="47">
        <v>24.99</v>
      </c>
      <c r="H21" s="47">
        <v>0.0</v>
      </c>
      <c r="I21" s="47">
        <v>1.02</v>
      </c>
      <c r="J21" s="8">
        <f t="shared" si="1"/>
        <v>23.97</v>
      </c>
      <c r="K21" s="8"/>
      <c r="L21" s="7"/>
      <c r="M21" s="7"/>
      <c r="N21" s="7"/>
      <c r="O21" s="7"/>
      <c r="P21" s="7" t="s">
        <v>490</v>
      </c>
      <c r="Q21" s="7" t="s">
        <v>731</v>
      </c>
      <c r="R21" s="7"/>
      <c r="S21" s="7" t="s">
        <v>732</v>
      </c>
      <c r="T21" s="7" t="s">
        <v>493</v>
      </c>
      <c r="U21" s="65">
        <v>4434.0</v>
      </c>
    </row>
    <row r="22">
      <c r="A22" s="45">
        <v>45920.3859375</v>
      </c>
      <c r="B22" s="7" t="s">
        <v>95</v>
      </c>
      <c r="C22" s="7" t="s">
        <v>2198</v>
      </c>
      <c r="D22" s="7"/>
      <c r="E22" s="64">
        <v>1.0</v>
      </c>
      <c r="F22" s="7"/>
      <c r="G22" s="47">
        <v>24.99</v>
      </c>
      <c r="H22" s="47">
        <v>0.0</v>
      </c>
      <c r="I22" s="47">
        <v>1.4</v>
      </c>
      <c r="J22" s="8">
        <f t="shared" si="1"/>
        <v>23.59</v>
      </c>
      <c r="K22" s="8"/>
      <c r="L22" s="7"/>
      <c r="M22" s="7"/>
      <c r="N22" s="7"/>
      <c r="O22" s="7"/>
      <c r="P22" s="7" t="s">
        <v>490</v>
      </c>
      <c r="Q22" s="65">
        <v>183.0</v>
      </c>
      <c r="R22" s="7" t="s">
        <v>2205</v>
      </c>
      <c r="S22" s="7" t="s">
        <v>1120</v>
      </c>
      <c r="T22" s="7" t="s">
        <v>617</v>
      </c>
      <c r="U22" s="65">
        <v>4433.0</v>
      </c>
    </row>
    <row r="23">
      <c r="A23" s="45">
        <v>45920.147731481484</v>
      </c>
      <c r="B23" s="7" t="s">
        <v>1733</v>
      </c>
      <c r="C23" s="7" t="s">
        <v>2198</v>
      </c>
      <c r="D23" s="7"/>
      <c r="E23" s="64">
        <v>1.0</v>
      </c>
      <c r="F23" s="7"/>
      <c r="G23" s="47">
        <v>24.99</v>
      </c>
      <c r="H23" s="47">
        <v>0.0</v>
      </c>
      <c r="I23" s="47">
        <v>1.02</v>
      </c>
      <c r="J23" s="8">
        <f t="shared" si="1"/>
        <v>23.97</v>
      </c>
      <c r="K23" s="8"/>
      <c r="L23" s="7"/>
      <c r="M23" s="7"/>
      <c r="N23" s="7"/>
      <c r="O23" s="7"/>
      <c r="P23" s="7" t="s">
        <v>490</v>
      </c>
      <c r="Q23" s="7" t="s">
        <v>657</v>
      </c>
      <c r="R23" s="7"/>
      <c r="S23" s="7" t="s">
        <v>658</v>
      </c>
      <c r="T23" s="7" t="s">
        <v>493</v>
      </c>
      <c r="U23" s="65">
        <v>4432.0</v>
      </c>
    </row>
    <row r="24">
      <c r="A24" s="45">
        <v>45919.55305555555</v>
      </c>
      <c r="B24" s="7" t="s">
        <v>305</v>
      </c>
      <c r="C24" s="7" t="s">
        <v>2198</v>
      </c>
      <c r="D24" s="7"/>
      <c r="E24" s="64">
        <v>1.0</v>
      </c>
      <c r="F24" s="7"/>
      <c r="G24" s="47">
        <v>24.99</v>
      </c>
      <c r="H24" s="47">
        <v>0.0</v>
      </c>
      <c r="I24" s="47">
        <v>1.4</v>
      </c>
      <c r="J24" s="8">
        <f t="shared" si="1"/>
        <v>23.59</v>
      </c>
      <c r="K24" s="8"/>
      <c r="L24" s="7"/>
      <c r="M24" s="7"/>
      <c r="N24" s="7"/>
      <c r="O24" s="7"/>
      <c r="P24" s="7" t="s">
        <v>490</v>
      </c>
      <c r="Q24" s="7" t="s">
        <v>2206</v>
      </c>
      <c r="R24" s="7" t="s">
        <v>1717</v>
      </c>
      <c r="S24" s="7" t="s">
        <v>1506</v>
      </c>
      <c r="T24" s="7" t="s">
        <v>1012</v>
      </c>
      <c r="U24" s="65">
        <v>4431.0</v>
      </c>
    </row>
    <row r="25">
      <c r="A25" s="45">
        <v>45919.54819444445</v>
      </c>
      <c r="B25" s="7" t="s">
        <v>709</v>
      </c>
      <c r="C25" s="7" t="s">
        <v>2198</v>
      </c>
      <c r="D25" s="7"/>
      <c r="E25" s="64">
        <v>1.0</v>
      </c>
      <c r="F25" s="7"/>
      <c r="G25" s="47">
        <v>24.99</v>
      </c>
      <c r="H25" s="47">
        <v>0.0</v>
      </c>
      <c r="I25" s="47">
        <v>1.4</v>
      </c>
      <c r="J25" s="8">
        <f t="shared" si="1"/>
        <v>23.59</v>
      </c>
      <c r="K25" s="8"/>
      <c r="L25" s="7"/>
      <c r="M25" s="7"/>
      <c r="N25" s="7"/>
      <c r="O25" s="7"/>
      <c r="P25" s="7" t="s">
        <v>490</v>
      </c>
      <c r="Q25" s="7" t="s">
        <v>711</v>
      </c>
      <c r="R25" s="7" t="s">
        <v>710</v>
      </c>
      <c r="S25" s="7" t="s">
        <v>712</v>
      </c>
      <c r="T25" s="7" t="s">
        <v>545</v>
      </c>
      <c r="U25" s="65">
        <v>4430.0</v>
      </c>
    </row>
    <row r="26">
      <c r="A26" s="45">
        <v>45919.275671296295</v>
      </c>
      <c r="B26" s="7" t="s">
        <v>1747</v>
      </c>
      <c r="C26" s="7" t="s">
        <v>2198</v>
      </c>
      <c r="D26" s="7"/>
      <c r="E26" s="64">
        <v>1.0</v>
      </c>
      <c r="F26" s="7"/>
      <c r="G26" s="47">
        <v>24.99</v>
      </c>
      <c r="H26" s="47">
        <v>0.0</v>
      </c>
      <c r="I26" s="47">
        <v>1.02</v>
      </c>
      <c r="J26" s="8">
        <f t="shared" si="1"/>
        <v>23.97</v>
      </c>
      <c r="K26" s="8"/>
      <c r="L26" s="7"/>
      <c r="M26" s="7"/>
      <c r="N26" s="7"/>
      <c r="O26" s="7"/>
      <c r="P26" s="7" t="s">
        <v>490</v>
      </c>
      <c r="Q26" s="7" t="s">
        <v>1748</v>
      </c>
      <c r="R26" s="7"/>
      <c r="S26" s="7" t="s">
        <v>1749</v>
      </c>
      <c r="T26" s="7" t="s">
        <v>493</v>
      </c>
      <c r="U26" s="65">
        <v>4429.0</v>
      </c>
    </row>
    <row r="27">
      <c r="A27" s="45">
        <v>45919.095497685186</v>
      </c>
      <c r="B27" s="7" t="s">
        <v>866</v>
      </c>
      <c r="C27" s="7" t="s">
        <v>2198</v>
      </c>
      <c r="D27" s="7"/>
      <c r="E27" s="64">
        <v>1.0</v>
      </c>
      <c r="F27" s="7"/>
      <c r="G27" s="47">
        <v>24.99</v>
      </c>
      <c r="H27" s="47">
        <v>0.0</v>
      </c>
      <c r="I27" s="47">
        <v>1.4</v>
      </c>
      <c r="J27" s="8">
        <f t="shared" si="1"/>
        <v>23.59</v>
      </c>
      <c r="K27" s="8"/>
      <c r="L27" s="7"/>
      <c r="M27" s="7"/>
      <c r="N27" s="7"/>
      <c r="O27" s="7"/>
      <c r="P27" s="7" t="s">
        <v>490</v>
      </c>
      <c r="Q27" s="7" t="s">
        <v>867</v>
      </c>
      <c r="R27" s="7"/>
      <c r="S27" s="7" t="s">
        <v>868</v>
      </c>
      <c r="T27" s="7" t="s">
        <v>545</v>
      </c>
      <c r="U27" s="65">
        <v>4428.0</v>
      </c>
    </row>
    <row r="28">
      <c r="A28" s="45">
        <v>45919.054444444446</v>
      </c>
      <c r="B28" s="7" t="s">
        <v>869</v>
      </c>
      <c r="C28" s="7" t="s">
        <v>2198</v>
      </c>
      <c r="D28" s="7"/>
      <c r="E28" s="64">
        <v>1.0</v>
      </c>
      <c r="F28" s="7"/>
      <c r="G28" s="47">
        <v>27.15</v>
      </c>
      <c r="H28" s="47">
        <v>0.0</v>
      </c>
      <c r="I28" s="47">
        <v>1.09</v>
      </c>
      <c r="J28" s="8">
        <f t="shared" si="1"/>
        <v>26.06</v>
      </c>
      <c r="K28" s="8"/>
      <c r="L28" s="7"/>
      <c r="M28" s="7"/>
      <c r="N28" s="7"/>
      <c r="O28" s="7"/>
      <c r="P28" s="7" t="s">
        <v>490</v>
      </c>
      <c r="Q28" s="7" t="s">
        <v>870</v>
      </c>
      <c r="R28" s="7"/>
      <c r="S28" s="7" t="s">
        <v>871</v>
      </c>
      <c r="T28" s="7" t="s">
        <v>493</v>
      </c>
      <c r="U28" s="65">
        <v>4427.0</v>
      </c>
    </row>
    <row r="29">
      <c r="A29" s="45">
        <v>45918.8999537037</v>
      </c>
      <c r="B29" s="7" t="s">
        <v>2207</v>
      </c>
      <c r="C29" s="7" t="s">
        <v>2198</v>
      </c>
      <c r="D29" s="7"/>
      <c r="E29" s="64">
        <v>1.0</v>
      </c>
      <c r="F29" s="7"/>
      <c r="G29" s="47">
        <v>24.99</v>
      </c>
      <c r="H29" s="47">
        <v>0.0</v>
      </c>
      <c r="I29" s="47">
        <v>1.02</v>
      </c>
      <c r="J29" s="8">
        <f t="shared" si="1"/>
        <v>23.97</v>
      </c>
      <c r="K29" s="8"/>
      <c r="L29" s="7"/>
      <c r="M29" s="7"/>
      <c r="N29" s="7"/>
      <c r="O29" s="7"/>
      <c r="P29" s="7" t="s">
        <v>490</v>
      </c>
      <c r="Q29" s="7" t="s">
        <v>721</v>
      </c>
      <c r="R29" s="7"/>
      <c r="S29" s="7" t="s">
        <v>1483</v>
      </c>
      <c r="T29" s="7" t="s">
        <v>493</v>
      </c>
      <c r="U29" s="65">
        <v>4426.0</v>
      </c>
    </row>
    <row r="30">
      <c r="A30" s="45">
        <v>45918.74940972222</v>
      </c>
      <c r="B30" s="7" t="s">
        <v>421</v>
      </c>
      <c r="C30" s="7" t="s">
        <v>2198</v>
      </c>
      <c r="D30" s="7"/>
      <c r="E30" s="64">
        <v>1.0</v>
      </c>
      <c r="F30" s="7"/>
      <c r="G30" s="47">
        <v>24.99</v>
      </c>
      <c r="H30" s="47">
        <v>0.0</v>
      </c>
      <c r="I30" s="47">
        <v>1.02</v>
      </c>
      <c r="J30" s="8">
        <f t="shared" si="1"/>
        <v>23.97</v>
      </c>
      <c r="K30" s="8"/>
      <c r="L30" s="7"/>
      <c r="M30" s="7"/>
      <c r="N30" s="7"/>
      <c r="O30" s="7"/>
      <c r="P30" s="7" t="s">
        <v>490</v>
      </c>
      <c r="Q30" s="7" t="s">
        <v>1312</v>
      </c>
      <c r="R30" s="7"/>
      <c r="S30" s="7" t="s">
        <v>1298</v>
      </c>
      <c r="T30" s="7" t="s">
        <v>493</v>
      </c>
      <c r="U30" s="65">
        <v>4425.0</v>
      </c>
    </row>
    <row r="31">
      <c r="A31" s="45">
        <v>45918.58746527778</v>
      </c>
      <c r="B31" s="7" t="s">
        <v>311</v>
      </c>
      <c r="C31" s="7" t="s">
        <v>2198</v>
      </c>
      <c r="D31" s="7"/>
      <c r="E31" s="64">
        <v>1.0</v>
      </c>
      <c r="F31" s="7"/>
      <c r="G31" s="47">
        <v>24.99</v>
      </c>
      <c r="H31" s="47">
        <v>0.0</v>
      </c>
      <c r="I31" s="47">
        <v>1.02</v>
      </c>
      <c r="J31" s="8">
        <f t="shared" si="1"/>
        <v>23.97</v>
      </c>
      <c r="K31" s="8"/>
      <c r="L31" s="7"/>
      <c r="M31" s="7"/>
      <c r="N31" s="7"/>
      <c r="O31" s="7"/>
      <c r="P31" s="7" t="s">
        <v>490</v>
      </c>
      <c r="Q31" s="7" t="s">
        <v>625</v>
      </c>
      <c r="R31" s="7"/>
      <c r="S31" s="7" t="s">
        <v>626</v>
      </c>
      <c r="T31" s="7" t="s">
        <v>493</v>
      </c>
      <c r="U31" s="65">
        <v>4423.0</v>
      </c>
    </row>
    <row r="32">
      <c r="A32" s="45">
        <v>45918.436631944445</v>
      </c>
      <c r="B32" s="7" t="s">
        <v>736</v>
      </c>
      <c r="C32" s="7" t="s">
        <v>2198</v>
      </c>
      <c r="D32" s="7"/>
      <c r="E32" s="64">
        <v>1.0</v>
      </c>
      <c r="F32" s="7"/>
      <c r="G32" s="47">
        <v>24.99</v>
      </c>
      <c r="H32" s="47">
        <v>0.0</v>
      </c>
      <c r="I32" s="47">
        <v>1.4</v>
      </c>
      <c r="J32" s="8">
        <f t="shared" si="1"/>
        <v>23.59</v>
      </c>
      <c r="K32" s="8"/>
      <c r="L32" s="7"/>
      <c r="M32" s="7"/>
      <c r="N32" s="7"/>
      <c r="O32" s="7"/>
      <c r="P32" s="7" t="s">
        <v>490</v>
      </c>
      <c r="Q32" s="7" t="s">
        <v>737</v>
      </c>
      <c r="R32" s="65">
        <v>2.0</v>
      </c>
      <c r="S32" s="7" t="s">
        <v>738</v>
      </c>
      <c r="T32" s="7" t="s">
        <v>51</v>
      </c>
      <c r="U32" s="65">
        <v>4420.0</v>
      </c>
    </row>
    <row r="33">
      <c r="A33" s="45">
        <v>45917.83445601852</v>
      </c>
      <c r="B33" s="7" t="s">
        <v>134</v>
      </c>
      <c r="C33" s="7" t="s">
        <v>2198</v>
      </c>
      <c r="D33" s="7"/>
      <c r="E33" s="64">
        <v>1.0</v>
      </c>
      <c r="F33" s="7"/>
      <c r="G33" s="47">
        <v>24.99</v>
      </c>
      <c r="H33" s="47">
        <v>0.0</v>
      </c>
      <c r="I33" s="47">
        <v>1.4</v>
      </c>
      <c r="J33" s="8">
        <f t="shared" si="1"/>
        <v>23.59</v>
      </c>
      <c r="K33" s="8"/>
      <c r="L33" s="7"/>
      <c r="M33" s="7"/>
      <c r="N33" s="7"/>
      <c r="O33" s="7"/>
      <c r="P33" s="7" t="s">
        <v>490</v>
      </c>
      <c r="Q33" s="7" t="s">
        <v>1838</v>
      </c>
      <c r="R33" s="65">
        <v>11.0</v>
      </c>
      <c r="S33" s="7" t="s">
        <v>1489</v>
      </c>
      <c r="T33" s="7" t="s">
        <v>525</v>
      </c>
      <c r="U33" s="65">
        <v>4419.0</v>
      </c>
    </row>
    <row r="34">
      <c r="A34" s="45">
        <v>45917.758877314816</v>
      </c>
      <c r="B34" s="7" t="s">
        <v>621</v>
      </c>
      <c r="C34" s="7" t="s">
        <v>2198</v>
      </c>
      <c r="D34" s="7"/>
      <c r="E34" s="64">
        <v>1.0</v>
      </c>
      <c r="F34" s="7"/>
      <c r="G34" s="47">
        <v>24.99</v>
      </c>
      <c r="H34" s="47">
        <v>0.0</v>
      </c>
      <c r="I34" s="47">
        <v>1.4</v>
      </c>
      <c r="J34" s="8">
        <f t="shared" si="1"/>
        <v>23.59</v>
      </c>
      <c r="K34" s="8"/>
      <c r="L34" s="7"/>
      <c r="M34" s="7"/>
      <c r="N34" s="7"/>
      <c r="O34" s="7"/>
      <c r="P34" s="7" t="s">
        <v>490</v>
      </c>
      <c r="Q34" s="7"/>
      <c r="R34" s="7"/>
      <c r="S34" s="7"/>
      <c r="T34" s="7" t="s">
        <v>622</v>
      </c>
      <c r="U34" s="65">
        <v>4418.0</v>
      </c>
    </row>
    <row r="35">
      <c r="A35" s="45">
        <v>45917.658009259256</v>
      </c>
      <c r="B35" s="7" t="s">
        <v>160</v>
      </c>
      <c r="C35" s="7" t="s">
        <v>2198</v>
      </c>
      <c r="D35" s="7"/>
      <c r="E35" s="64">
        <v>1.0</v>
      </c>
      <c r="F35" s="7"/>
      <c r="G35" s="47">
        <v>24.99</v>
      </c>
      <c r="H35" s="47">
        <v>0.0</v>
      </c>
      <c r="I35" s="47">
        <v>1.4</v>
      </c>
      <c r="J35" s="8">
        <f t="shared" si="1"/>
        <v>23.59</v>
      </c>
      <c r="K35" s="8"/>
      <c r="L35" s="7"/>
      <c r="M35" s="7"/>
      <c r="N35" s="7"/>
      <c r="O35" s="7"/>
      <c r="P35" s="7" t="s">
        <v>490</v>
      </c>
      <c r="Q35" s="7"/>
      <c r="R35" s="7"/>
      <c r="S35" s="7"/>
      <c r="T35" s="7" t="s">
        <v>542</v>
      </c>
      <c r="U35" s="65">
        <v>4417.0</v>
      </c>
    </row>
    <row r="36">
      <c r="A36" s="45">
        <v>45917.23074074074</v>
      </c>
      <c r="B36" s="7" t="s">
        <v>177</v>
      </c>
      <c r="C36" s="7" t="s">
        <v>2208</v>
      </c>
      <c r="D36" s="7"/>
      <c r="E36" s="64">
        <v>1.0</v>
      </c>
      <c r="F36" s="64">
        <v>1.0</v>
      </c>
      <c r="G36" s="47">
        <v>124.99</v>
      </c>
      <c r="H36" s="47">
        <v>0.0</v>
      </c>
      <c r="I36" s="47">
        <v>5.8</v>
      </c>
      <c r="J36" s="8">
        <f t="shared" si="1"/>
        <v>119.19</v>
      </c>
      <c r="K36" s="8"/>
      <c r="L36" s="7"/>
      <c r="M36" s="7"/>
      <c r="N36" s="7"/>
      <c r="O36" s="7"/>
      <c r="P36" s="7" t="s">
        <v>490</v>
      </c>
      <c r="Q36" s="7" t="s">
        <v>494</v>
      </c>
      <c r="R36" s="7" t="s">
        <v>1503</v>
      </c>
      <c r="S36" s="7" t="s">
        <v>1504</v>
      </c>
      <c r="T36" s="7" t="s">
        <v>497</v>
      </c>
      <c r="U36" s="65">
        <v>4416.0</v>
      </c>
    </row>
    <row r="37">
      <c r="A37" s="45">
        <v>45916.691782407404</v>
      </c>
      <c r="B37" s="7" t="s">
        <v>379</v>
      </c>
      <c r="C37" s="7" t="s">
        <v>2198</v>
      </c>
      <c r="D37" s="7"/>
      <c r="E37" s="64">
        <v>1.0</v>
      </c>
      <c r="F37" s="7"/>
      <c r="G37" s="47">
        <v>26.49</v>
      </c>
      <c r="H37" s="47">
        <v>0.0</v>
      </c>
      <c r="I37" s="47">
        <v>1.07</v>
      </c>
      <c r="J37" s="8">
        <f t="shared" si="1"/>
        <v>25.42</v>
      </c>
      <c r="K37" s="8"/>
      <c r="L37" s="7"/>
      <c r="M37" s="7"/>
      <c r="N37" s="7"/>
      <c r="O37" s="7"/>
      <c r="P37" s="7" t="s">
        <v>490</v>
      </c>
      <c r="Q37" s="7" t="s">
        <v>2209</v>
      </c>
      <c r="R37" s="7" t="s">
        <v>2131</v>
      </c>
      <c r="S37" s="7" t="s">
        <v>2132</v>
      </c>
      <c r="T37" s="7" t="s">
        <v>493</v>
      </c>
      <c r="U37" s="65">
        <v>4414.0</v>
      </c>
    </row>
    <row r="38">
      <c r="A38" s="45">
        <v>45916.68850694445</v>
      </c>
      <c r="B38" s="7" t="s">
        <v>1057</v>
      </c>
      <c r="C38" s="7" t="s">
        <v>2198</v>
      </c>
      <c r="D38" s="7"/>
      <c r="E38" s="64">
        <v>1.0</v>
      </c>
      <c r="F38" s="7"/>
      <c r="G38" s="47">
        <v>24.99</v>
      </c>
      <c r="H38" s="47">
        <v>0.0</v>
      </c>
      <c r="I38" s="47">
        <v>1.4</v>
      </c>
      <c r="J38" s="8">
        <f t="shared" si="1"/>
        <v>23.59</v>
      </c>
      <c r="K38" s="8"/>
      <c r="L38" s="7"/>
      <c r="M38" s="7"/>
      <c r="N38" s="7"/>
      <c r="O38" s="7"/>
      <c r="P38" s="7" t="s">
        <v>490</v>
      </c>
      <c r="Q38" s="7" t="s">
        <v>1058</v>
      </c>
      <c r="R38" s="7"/>
      <c r="S38" s="7" t="s">
        <v>1059</v>
      </c>
      <c r="T38" s="7" t="s">
        <v>545</v>
      </c>
      <c r="U38" s="65">
        <v>4413.0</v>
      </c>
    </row>
    <row r="39">
      <c r="A39" s="45">
        <v>45916.662824074076</v>
      </c>
      <c r="B39" s="7" t="s">
        <v>2210</v>
      </c>
      <c r="C39" s="7" t="s">
        <v>2198</v>
      </c>
      <c r="D39" s="7"/>
      <c r="E39" s="64">
        <v>1.0</v>
      </c>
      <c r="F39" s="7"/>
      <c r="G39" s="47">
        <v>57.02</v>
      </c>
      <c r="H39" s="47">
        <v>0.0</v>
      </c>
      <c r="I39" s="47">
        <v>2.81</v>
      </c>
      <c r="J39" s="8">
        <f t="shared" si="1"/>
        <v>54.21</v>
      </c>
      <c r="K39" s="8"/>
      <c r="L39" s="7"/>
      <c r="M39" s="7"/>
      <c r="N39" s="7"/>
      <c r="O39" s="7"/>
      <c r="P39" s="7" t="s">
        <v>490</v>
      </c>
      <c r="Q39" s="7" t="s">
        <v>2211</v>
      </c>
      <c r="R39" s="7"/>
      <c r="S39" s="7" t="s">
        <v>2212</v>
      </c>
      <c r="T39" s="7" t="s">
        <v>1287</v>
      </c>
      <c r="U39" s="65">
        <v>4412.0</v>
      </c>
    </row>
    <row r="40">
      <c r="A40" s="45">
        <v>45916.60681712963</v>
      </c>
      <c r="B40" s="7" t="s">
        <v>952</v>
      </c>
      <c r="C40" s="7" t="s">
        <v>2198</v>
      </c>
      <c r="D40" s="7"/>
      <c r="E40" s="64">
        <v>1.0</v>
      </c>
      <c r="F40" s="7"/>
      <c r="G40" s="47">
        <v>24.99</v>
      </c>
      <c r="H40" s="47">
        <v>0.0</v>
      </c>
      <c r="I40" s="47">
        <v>1.02</v>
      </c>
      <c r="J40" s="8">
        <f t="shared" si="1"/>
        <v>23.97</v>
      </c>
      <c r="K40" s="8"/>
      <c r="L40" s="7"/>
      <c r="M40" s="7"/>
      <c r="N40" s="7"/>
      <c r="O40" s="7"/>
      <c r="P40" s="7" t="s">
        <v>490</v>
      </c>
      <c r="Q40" s="7" t="s">
        <v>953</v>
      </c>
      <c r="R40" s="7" t="s">
        <v>2213</v>
      </c>
      <c r="S40" s="7" t="s">
        <v>955</v>
      </c>
      <c r="T40" s="7" t="s">
        <v>493</v>
      </c>
      <c r="U40" s="65">
        <v>4411.0</v>
      </c>
    </row>
    <row r="41">
      <c r="A41" s="45">
        <v>45916.55106481481</v>
      </c>
      <c r="B41" s="7" t="s">
        <v>1107</v>
      </c>
      <c r="C41" s="7" t="s">
        <v>2198</v>
      </c>
      <c r="D41" s="7"/>
      <c r="E41" s="64">
        <v>1.0</v>
      </c>
      <c r="F41" s="7"/>
      <c r="G41" s="47">
        <v>24.99</v>
      </c>
      <c r="H41" s="47">
        <v>0.0</v>
      </c>
      <c r="I41" s="47">
        <v>1.02</v>
      </c>
      <c r="J41" s="8">
        <f t="shared" si="1"/>
        <v>23.97</v>
      </c>
      <c r="K41" s="8"/>
      <c r="L41" s="7"/>
      <c r="M41" s="7"/>
      <c r="N41" s="7"/>
      <c r="O41" s="7"/>
      <c r="P41" s="7" t="s">
        <v>490</v>
      </c>
      <c r="Q41" s="7" t="s">
        <v>1108</v>
      </c>
      <c r="R41" s="7"/>
      <c r="S41" s="7" t="s">
        <v>1109</v>
      </c>
      <c r="T41" s="7" t="s">
        <v>493</v>
      </c>
      <c r="U41" s="65">
        <v>4408.0</v>
      </c>
    </row>
    <row r="42">
      <c r="A42" s="45">
        <v>45916.35395833333</v>
      </c>
      <c r="B42" s="7" t="s">
        <v>175</v>
      </c>
      <c r="C42" s="7" t="s">
        <v>2198</v>
      </c>
      <c r="D42" s="7"/>
      <c r="E42" s="64">
        <v>1.0</v>
      </c>
      <c r="F42" s="7"/>
      <c r="G42" s="47">
        <v>24.99</v>
      </c>
      <c r="H42" s="47">
        <v>0.0</v>
      </c>
      <c r="I42" s="47">
        <v>1.4</v>
      </c>
      <c r="J42" s="8">
        <f t="shared" si="1"/>
        <v>23.59</v>
      </c>
      <c r="K42" s="8"/>
      <c r="L42" s="7"/>
      <c r="M42" s="7"/>
      <c r="N42" s="7"/>
      <c r="O42" s="7"/>
      <c r="P42" s="7" t="s">
        <v>490</v>
      </c>
      <c r="Q42" s="7" t="s">
        <v>2214</v>
      </c>
      <c r="R42" s="7"/>
      <c r="S42" s="7" t="s">
        <v>2016</v>
      </c>
      <c r="T42" s="7" t="s">
        <v>823</v>
      </c>
      <c r="U42" s="65">
        <v>4406.0</v>
      </c>
    </row>
    <row r="43">
      <c r="A43" s="45">
        <v>45916.082141203704</v>
      </c>
      <c r="B43" s="7" t="s">
        <v>987</v>
      </c>
      <c r="C43" s="7" t="s">
        <v>2198</v>
      </c>
      <c r="D43" s="7"/>
      <c r="E43" s="64">
        <v>1.0</v>
      </c>
      <c r="F43" s="7"/>
      <c r="G43" s="47">
        <v>34.46</v>
      </c>
      <c r="H43" s="47">
        <v>0.0</v>
      </c>
      <c r="I43" s="47">
        <v>1.3</v>
      </c>
      <c r="J43" s="8">
        <f t="shared" si="1"/>
        <v>33.16</v>
      </c>
      <c r="K43" s="8"/>
      <c r="L43" s="7"/>
      <c r="M43" s="7"/>
      <c r="N43" s="7"/>
      <c r="O43" s="7"/>
      <c r="P43" s="7" t="s">
        <v>490</v>
      </c>
      <c r="Q43" s="7" t="s">
        <v>2215</v>
      </c>
      <c r="R43" s="7"/>
      <c r="S43" s="7" t="s">
        <v>989</v>
      </c>
      <c r="T43" s="7" t="s">
        <v>493</v>
      </c>
      <c r="U43" s="65">
        <v>4402.0</v>
      </c>
    </row>
    <row r="44">
      <c r="A44" s="45">
        <v>45915.94474537037</v>
      </c>
      <c r="B44" s="7" t="s">
        <v>1244</v>
      </c>
      <c r="C44" s="7" t="s">
        <v>2198</v>
      </c>
      <c r="D44" s="7"/>
      <c r="E44" s="64">
        <v>1.0</v>
      </c>
      <c r="F44" s="7"/>
      <c r="G44" s="47">
        <v>24.99</v>
      </c>
      <c r="H44" s="47">
        <v>0.0</v>
      </c>
      <c r="I44" s="47">
        <v>1.4</v>
      </c>
      <c r="J44" s="8">
        <f t="shared" si="1"/>
        <v>23.59</v>
      </c>
      <c r="K44" s="8"/>
      <c r="L44" s="7"/>
      <c r="M44" s="7"/>
      <c r="N44" s="7"/>
      <c r="O44" s="7"/>
      <c r="P44" s="7" t="s">
        <v>490</v>
      </c>
      <c r="Q44" s="7" t="s">
        <v>1527</v>
      </c>
      <c r="R44" s="7"/>
      <c r="S44" s="7" t="s">
        <v>1529</v>
      </c>
      <c r="T44" s="7" t="s">
        <v>542</v>
      </c>
      <c r="U44" s="65">
        <v>4400.0</v>
      </c>
    </row>
    <row r="45">
      <c r="A45" s="45">
        <v>45915.86740740741</v>
      </c>
      <c r="B45" s="7" t="s">
        <v>463</v>
      </c>
      <c r="C45" s="7" t="s">
        <v>2198</v>
      </c>
      <c r="D45" s="7"/>
      <c r="E45" s="64">
        <v>1.0</v>
      </c>
      <c r="F45" s="7"/>
      <c r="G45" s="47">
        <v>24.99</v>
      </c>
      <c r="H45" s="47">
        <v>0.0</v>
      </c>
      <c r="I45" s="47">
        <v>1.02</v>
      </c>
      <c r="J45" s="8">
        <f t="shared" si="1"/>
        <v>23.97</v>
      </c>
      <c r="K45" s="8"/>
      <c r="L45" s="7"/>
      <c r="M45" s="7"/>
      <c r="N45" s="7"/>
      <c r="O45" s="7"/>
      <c r="P45" s="7" t="s">
        <v>490</v>
      </c>
      <c r="Q45" s="7" t="s">
        <v>1301</v>
      </c>
      <c r="R45" s="7"/>
      <c r="S45" s="7" t="s">
        <v>1302</v>
      </c>
      <c r="T45" s="7" t="s">
        <v>493</v>
      </c>
      <c r="U45" s="65">
        <v>4399.0</v>
      </c>
    </row>
    <row r="46">
      <c r="A46" s="45">
        <v>45915.810428240744</v>
      </c>
      <c r="B46" s="7" t="s">
        <v>914</v>
      </c>
      <c r="C46" s="7" t="s">
        <v>2198</v>
      </c>
      <c r="D46" s="7"/>
      <c r="E46" s="64">
        <v>1.0</v>
      </c>
      <c r="F46" s="7"/>
      <c r="G46" s="47">
        <v>27.18</v>
      </c>
      <c r="H46" s="47">
        <v>0.0</v>
      </c>
      <c r="I46" s="47">
        <v>1.09</v>
      </c>
      <c r="J46" s="8">
        <f t="shared" si="1"/>
        <v>26.09</v>
      </c>
      <c r="K46" s="8"/>
      <c r="L46" s="7"/>
      <c r="M46" s="7"/>
      <c r="N46" s="7"/>
      <c r="O46" s="7"/>
      <c r="P46" s="7" t="s">
        <v>490</v>
      </c>
      <c r="Q46" s="7" t="s">
        <v>915</v>
      </c>
      <c r="R46" s="7"/>
      <c r="S46" s="7" t="s">
        <v>916</v>
      </c>
      <c r="T46" s="7" t="s">
        <v>493</v>
      </c>
      <c r="U46" s="65">
        <v>4398.0</v>
      </c>
    </row>
    <row r="47">
      <c r="A47" s="45">
        <v>45915.80979166667</v>
      </c>
      <c r="B47" s="7" t="s">
        <v>221</v>
      </c>
      <c r="C47" s="7" t="s">
        <v>2198</v>
      </c>
      <c r="D47" s="7"/>
      <c r="E47" s="64">
        <v>1.0</v>
      </c>
      <c r="F47" s="7"/>
      <c r="G47" s="47">
        <v>24.99</v>
      </c>
      <c r="H47" s="47">
        <v>0.0</v>
      </c>
      <c r="I47" s="47">
        <v>1.4</v>
      </c>
      <c r="J47" s="8">
        <f t="shared" si="1"/>
        <v>23.59</v>
      </c>
      <c r="K47" s="8"/>
      <c r="L47" s="7"/>
      <c r="M47" s="7"/>
      <c r="N47" s="7"/>
      <c r="O47" s="7"/>
      <c r="P47" s="7" t="s">
        <v>490</v>
      </c>
      <c r="Q47" s="7" t="s">
        <v>770</v>
      </c>
      <c r="R47" s="7"/>
      <c r="S47" s="7" t="s">
        <v>771</v>
      </c>
      <c r="T47" s="7" t="s">
        <v>545</v>
      </c>
      <c r="U47" s="65">
        <v>4397.0</v>
      </c>
    </row>
    <row r="48">
      <c r="A48" s="45">
        <v>45915.78430555556</v>
      </c>
      <c r="B48" s="7" t="s">
        <v>243</v>
      </c>
      <c r="C48" s="7" t="s">
        <v>2198</v>
      </c>
      <c r="D48" s="7"/>
      <c r="E48" s="64">
        <v>1.0</v>
      </c>
      <c r="F48" s="7"/>
      <c r="G48" s="47">
        <v>24.99</v>
      </c>
      <c r="H48" s="47">
        <v>0.0</v>
      </c>
      <c r="I48" s="47">
        <v>1.02</v>
      </c>
      <c r="J48" s="8">
        <f t="shared" si="1"/>
        <v>23.97</v>
      </c>
      <c r="K48" s="8"/>
      <c r="L48" s="7"/>
      <c r="M48" s="7"/>
      <c r="N48" s="7"/>
      <c r="O48" s="7"/>
      <c r="P48" s="7" t="s">
        <v>490</v>
      </c>
      <c r="Q48" s="7" t="s">
        <v>739</v>
      </c>
      <c r="R48" s="7"/>
      <c r="S48" s="7" t="s">
        <v>740</v>
      </c>
      <c r="T48" s="7" t="s">
        <v>493</v>
      </c>
      <c r="U48" s="65">
        <v>4395.0</v>
      </c>
    </row>
    <row r="49">
      <c r="A49" s="45">
        <v>45915.658796296295</v>
      </c>
      <c r="B49" s="7" t="s">
        <v>254</v>
      </c>
      <c r="C49" s="7" t="s">
        <v>2198</v>
      </c>
      <c r="D49" s="7"/>
      <c r="E49" s="64">
        <v>1.0</v>
      </c>
      <c r="F49" s="7"/>
      <c r="G49" s="47">
        <v>24.99</v>
      </c>
      <c r="H49" s="47">
        <v>0.0</v>
      </c>
      <c r="I49" s="47">
        <v>1.02</v>
      </c>
      <c r="J49" s="8">
        <f t="shared" si="1"/>
        <v>23.97</v>
      </c>
      <c r="K49" s="8"/>
      <c r="L49" s="7"/>
      <c r="M49" s="7"/>
      <c r="N49" s="7"/>
      <c r="O49" s="7"/>
      <c r="P49" s="7" t="s">
        <v>490</v>
      </c>
      <c r="Q49" s="7"/>
      <c r="R49" s="7"/>
      <c r="S49" s="7"/>
      <c r="T49" s="7" t="s">
        <v>493</v>
      </c>
      <c r="U49" s="65">
        <v>4393.0</v>
      </c>
    </row>
    <row r="50">
      <c r="A50" s="45">
        <v>45915.63229166667</v>
      </c>
      <c r="B50" s="7" t="s">
        <v>2095</v>
      </c>
      <c r="C50" s="7" t="s">
        <v>2198</v>
      </c>
      <c r="D50" s="7"/>
      <c r="E50" s="64">
        <v>1.0</v>
      </c>
      <c r="F50" s="7"/>
      <c r="G50" s="47">
        <v>26.49</v>
      </c>
      <c r="H50" s="47">
        <v>0.0</v>
      </c>
      <c r="I50" s="47">
        <v>1.47</v>
      </c>
      <c r="J50" s="8">
        <f t="shared" si="1"/>
        <v>25.02</v>
      </c>
      <c r="K50" s="8"/>
      <c r="L50" s="7"/>
      <c r="M50" s="7"/>
      <c r="N50" s="7"/>
      <c r="O50" s="7"/>
      <c r="P50" s="7" t="s">
        <v>490</v>
      </c>
      <c r="Q50" s="7"/>
      <c r="R50" s="7"/>
      <c r="S50" s="7"/>
      <c r="T50" s="7" t="s">
        <v>560</v>
      </c>
      <c r="U50" s="65">
        <v>4392.0</v>
      </c>
    </row>
    <row r="51">
      <c r="A51" s="45">
        <v>45915.47618055555</v>
      </c>
      <c r="B51" s="7" t="s">
        <v>1792</v>
      </c>
      <c r="C51" s="7" t="s">
        <v>2198</v>
      </c>
      <c r="D51" s="7"/>
      <c r="E51" s="64">
        <v>1.0</v>
      </c>
      <c r="F51" s="7"/>
      <c r="G51" s="47">
        <v>24.99</v>
      </c>
      <c r="H51" s="47">
        <v>0.0</v>
      </c>
      <c r="I51" s="47">
        <v>1.4</v>
      </c>
      <c r="J51" s="8">
        <f t="shared" si="1"/>
        <v>23.59</v>
      </c>
      <c r="K51" s="8"/>
      <c r="L51" s="7"/>
      <c r="M51" s="7"/>
      <c r="N51" s="7"/>
      <c r="O51" s="7"/>
      <c r="P51" s="7" t="s">
        <v>490</v>
      </c>
      <c r="Q51" s="7" t="s">
        <v>1793</v>
      </c>
      <c r="R51" s="7"/>
      <c r="S51" s="7" t="s">
        <v>1794</v>
      </c>
      <c r="T51" s="7" t="s">
        <v>545</v>
      </c>
      <c r="U51" s="65">
        <v>4391.0</v>
      </c>
    </row>
    <row r="52">
      <c r="A52" s="45">
        <v>45915.38398148148</v>
      </c>
      <c r="B52" s="7" t="s">
        <v>2216</v>
      </c>
      <c r="C52" s="7" t="s">
        <v>2198</v>
      </c>
      <c r="D52" s="7"/>
      <c r="E52" s="64">
        <v>1.0</v>
      </c>
      <c r="F52" s="7"/>
      <c r="G52" s="47">
        <v>24.99</v>
      </c>
      <c r="H52" s="47">
        <v>0.0</v>
      </c>
      <c r="I52" s="47">
        <v>1.4</v>
      </c>
      <c r="J52" s="8">
        <f t="shared" si="1"/>
        <v>23.59</v>
      </c>
      <c r="K52" s="8"/>
      <c r="L52" s="7"/>
      <c r="M52" s="7"/>
      <c r="N52" s="7"/>
      <c r="O52" s="7"/>
      <c r="P52" s="7" t="s">
        <v>490</v>
      </c>
      <c r="Q52" s="7" t="s">
        <v>2037</v>
      </c>
      <c r="R52" s="7"/>
      <c r="S52" s="7" t="s">
        <v>2038</v>
      </c>
      <c r="T52" s="7" t="s">
        <v>726</v>
      </c>
      <c r="U52" s="65">
        <v>4389.0</v>
      </c>
    </row>
    <row r="53">
      <c r="A53" s="45">
        <v>45915.38150462963</v>
      </c>
      <c r="B53" s="7" t="s">
        <v>1777</v>
      </c>
      <c r="C53" s="7" t="s">
        <v>2198</v>
      </c>
      <c r="D53" s="7"/>
      <c r="E53" s="64">
        <v>1.0</v>
      </c>
      <c r="F53" s="7"/>
      <c r="G53" s="47">
        <v>24.99</v>
      </c>
      <c r="H53" s="47">
        <v>0.0</v>
      </c>
      <c r="I53" s="47">
        <v>1.4</v>
      </c>
      <c r="J53" s="8">
        <f t="shared" si="1"/>
        <v>23.59</v>
      </c>
      <c r="K53" s="8"/>
      <c r="L53" s="7"/>
      <c r="M53" s="7"/>
      <c r="N53" s="7"/>
      <c r="O53" s="7"/>
      <c r="P53" s="7" t="s">
        <v>490</v>
      </c>
      <c r="Q53" s="7" t="s">
        <v>896</v>
      </c>
      <c r="R53" s="7"/>
      <c r="S53" s="7" t="s">
        <v>897</v>
      </c>
      <c r="T53" s="7" t="s">
        <v>542</v>
      </c>
      <c r="U53" s="65">
        <v>4390.0</v>
      </c>
    </row>
    <row r="54">
      <c r="A54" s="45">
        <v>45914.88972222222</v>
      </c>
      <c r="B54" s="7" t="s">
        <v>178</v>
      </c>
      <c r="C54" s="7" t="s">
        <v>2198</v>
      </c>
      <c r="D54" s="7"/>
      <c r="E54" s="64">
        <v>1.0</v>
      </c>
      <c r="F54" s="7"/>
      <c r="G54" s="47">
        <v>24.99</v>
      </c>
      <c r="H54" s="47">
        <v>0.0</v>
      </c>
      <c r="I54" s="47">
        <v>1.02</v>
      </c>
      <c r="J54" s="8">
        <f t="shared" si="1"/>
        <v>23.97</v>
      </c>
      <c r="K54" s="8"/>
      <c r="L54" s="7"/>
      <c r="M54" s="7"/>
      <c r="N54" s="7"/>
      <c r="O54" s="7"/>
      <c r="P54" s="7" t="s">
        <v>490</v>
      </c>
      <c r="Q54" s="7" t="s">
        <v>700</v>
      </c>
      <c r="R54" s="7"/>
      <c r="S54" s="7" t="s">
        <v>701</v>
      </c>
      <c r="T54" s="7" t="s">
        <v>493</v>
      </c>
      <c r="U54" s="65">
        <v>4382.0</v>
      </c>
    </row>
    <row r="55">
      <c r="A55" s="45">
        <v>45914.857766203706</v>
      </c>
      <c r="B55" s="7" t="s">
        <v>270</v>
      </c>
      <c r="C55" s="7" t="s">
        <v>2198</v>
      </c>
      <c r="D55" s="7"/>
      <c r="E55" s="64">
        <v>1.0</v>
      </c>
      <c r="F55" s="7"/>
      <c r="G55" s="47">
        <v>27.43</v>
      </c>
      <c r="H55" s="47">
        <v>0.0</v>
      </c>
      <c r="I55" s="47">
        <v>1.1</v>
      </c>
      <c r="J55" s="8">
        <f t="shared" si="1"/>
        <v>26.33</v>
      </c>
      <c r="K55" s="8"/>
      <c r="L55" s="7"/>
      <c r="M55" s="7"/>
      <c r="N55" s="7"/>
      <c r="O55" s="7"/>
      <c r="P55" s="7" t="s">
        <v>490</v>
      </c>
      <c r="Q55" s="7" t="s">
        <v>1569</v>
      </c>
      <c r="R55" s="7"/>
      <c r="S55" s="7" t="s">
        <v>1570</v>
      </c>
      <c r="T55" s="7" t="s">
        <v>493</v>
      </c>
      <c r="U55" s="65">
        <v>4381.0</v>
      </c>
    </row>
    <row r="56">
      <c r="A56" s="45">
        <v>45914.606620370374</v>
      </c>
      <c r="B56" s="7" t="s">
        <v>908</v>
      </c>
      <c r="C56" s="7" t="s">
        <v>2198</v>
      </c>
      <c r="D56" s="7"/>
      <c r="E56" s="64">
        <v>1.0</v>
      </c>
      <c r="F56" s="7"/>
      <c r="G56" s="47">
        <v>24.99</v>
      </c>
      <c r="H56" s="47">
        <v>0.0</v>
      </c>
      <c r="I56" s="47">
        <v>1.4</v>
      </c>
      <c r="J56" s="8">
        <f t="shared" si="1"/>
        <v>23.59</v>
      </c>
      <c r="K56" s="8"/>
      <c r="L56" s="7"/>
      <c r="M56" s="7"/>
      <c r="N56" s="7"/>
      <c r="O56" s="7"/>
      <c r="P56" s="7" t="s">
        <v>490</v>
      </c>
      <c r="Q56" s="7" t="s">
        <v>909</v>
      </c>
      <c r="R56" s="7"/>
      <c r="S56" s="7" t="s">
        <v>910</v>
      </c>
      <c r="T56" s="7" t="s">
        <v>545</v>
      </c>
      <c r="U56" s="65">
        <v>4378.0</v>
      </c>
    </row>
    <row r="57">
      <c r="A57" s="45">
        <v>45914.60041666667</v>
      </c>
      <c r="B57" s="7" t="s">
        <v>144</v>
      </c>
      <c r="C57" s="7" t="s">
        <v>2198</v>
      </c>
      <c r="D57" s="7"/>
      <c r="E57" s="64">
        <v>1.0</v>
      </c>
      <c r="F57" s="7"/>
      <c r="G57" s="47">
        <v>24.99</v>
      </c>
      <c r="H57" s="47">
        <v>0.0</v>
      </c>
      <c r="I57" s="47">
        <v>1.4</v>
      </c>
      <c r="J57" s="8">
        <f t="shared" si="1"/>
        <v>23.59</v>
      </c>
      <c r="K57" s="8"/>
      <c r="L57" s="7"/>
      <c r="M57" s="7"/>
      <c r="N57" s="7"/>
      <c r="O57" s="7"/>
      <c r="P57" s="7" t="s">
        <v>490</v>
      </c>
      <c r="Q57" s="7" t="s">
        <v>1382</v>
      </c>
      <c r="R57" s="7"/>
      <c r="S57" s="7" t="s">
        <v>1383</v>
      </c>
      <c r="T57" s="7" t="s">
        <v>51</v>
      </c>
      <c r="U57" s="65">
        <v>4377.0</v>
      </c>
    </row>
    <row r="58">
      <c r="A58" s="45">
        <v>45914.5315625</v>
      </c>
      <c r="B58" s="7" t="s">
        <v>780</v>
      </c>
      <c r="C58" s="7" t="s">
        <v>2198</v>
      </c>
      <c r="D58" s="7"/>
      <c r="E58" s="64">
        <v>1.0</v>
      </c>
      <c r="F58" s="7"/>
      <c r="G58" s="47">
        <v>24.99</v>
      </c>
      <c r="H58" s="47">
        <v>0.0</v>
      </c>
      <c r="I58" s="47">
        <v>1.4</v>
      </c>
      <c r="J58" s="8">
        <f t="shared" si="1"/>
        <v>23.59</v>
      </c>
      <c r="K58" s="8"/>
      <c r="L58" s="7"/>
      <c r="M58" s="7"/>
      <c r="N58" s="7"/>
      <c r="O58" s="7"/>
      <c r="P58" s="7" t="s">
        <v>490</v>
      </c>
      <c r="Q58" s="7" t="s">
        <v>781</v>
      </c>
      <c r="R58" s="7"/>
      <c r="S58" s="7" t="s">
        <v>782</v>
      </c>
      <c r="T58" s="7" t="s">
        <v>525</v>
      </c>
      <c r="U58" s="65">
        <v>4376.0</v>
      </c>
    </row>
    <row r="59">
      <c r="A59" s="45">
        <v>45914.400092592594</v>
      </c>
      <c r="B59" s="7" t="s">
        <v>181</v>
      </c>
      <c r="C59" s="7" t="s">
        <v>2217</v>
      </c>
      <c r="D59" s="7"/>
      <c r="E59" s="64">
        <v>2.0</v>
      </c>
      <c r="F59" s="7"/>
      <c r="G59" s="47">
        <v>49.98</v>
      </c>
      <c r="H59" s="47">
        <v>0.0</v>
      </c>
      <c r="I59" s="47">
        <v>2.5</v>
      </c>
      <c r="J59" s="8">
        <f t="shared" si="1"/>
        <v>47.48</v>
      </c>
      <c r="K59" s="8"/>
      <c r="L59" s="7"/>
      <c r="M59" s="7"/>
      <c r="N59" s="7"/>
      <c r="O59" s="7"/>
      <c r="P59" s="7" t="s">
        <v>490</v>
      </c>
      <c r="Q59" s="7"/>
      <c r="R59" s="7"/>
      <c r="S59" s="7"/>
      <c r="T59" s="7" t="s">
        <v>521</v>
      </c>
      <c r="U59" s="65">
        <v>4374.0</v>
      </c>
    </row>
    <row r="60">
      <c r="A60" s="45">
        <v>45914.378125</v>
      </c>
      <c r="B60" s="7" t="s">
        <v>1549</v>
      </c>
      <c r="C60" s="7" t="s">
        <v>2198</v>
      </c>
      <c r="D60" s="7"/>
      <c r="E60" s="64">
        <v>1.0</v>
      </c>
      <c r="F60" s="7"/>
      <c r="G60" s="47">
        <v>24.99</v>
      </c>
      <c r="H60" s="47">
        <v>0.0</v>
      </c>
      <c r="I60" s="47">
        <v>1.4</v>
      </c>
      <c r="J60" s="8">
        <f t="shared" si="1"/>
        <v>23.59</v>
      </c>
      <c r="K60" s="8"/>
      <c r="L60" s="7"/>
      <c r="M60" s="7"/>
      <c r="N60" s="7"/>
      <c r="O60" s="7"/>
      <c r="P60" s="7" t="s">
        <v>490</v>
      </c>
      <c r="Q60" s="7" t="s">
        <v>1550</v>
      </c>
      <c r="R60" s="7"/>
      <c r="S60" s="7" t="s">
        <v>1551</v>
      </c>
      <c r="T60" s="7" t="s">
        <v>939</v>
      </c>
      <c r="U60" s="65">
        <v>4373.0</v>
      </c>
    </row>
    <row r="61">
      <c r="A61" s="45">
        <v>45914.34670138889</v>
      </c>
      <c r="B61" s="7" t="s">
        <v>2218</v>
      </c>
      <c r="C61" s="7" t="s">
        <v>2198</v>
      </c>
      <c r="D61" s="7"/>
      <c r="E61" s="64">
        <v>1.0</v>
      </c>
      <c r="F61" s="7"/>
      <c r="G61" s="47">
        <v>34.46</v>
      </c>
      <c r="H61" s="47">
        <v>0.0</v>
      </c>
      <c r="I61" s="47">
        <v>1.3</v>
      </c>
      <c r="J61" s="8">
        <f t="shared" si="1"/>
        <v>33.16</v>
      </c>
      <c r="K61" s="8"/>
      <c r="L61" s="7"/>
      <c r="M61" s="7"/>
      <c r="N61" s="7"/>
      <c r="O61" s="7"/>
      <c r="P61" s="7" t="s">
        <v>490</v>
      </c>
      <c r="Q61" s="7" t="s">
        <v>2219</v>
      </c>
      <c r="R61" s="7"/>
      <c r="S61" s="7" t="s">
        <v>2220</v>
      </c>
      <c r="T61" s="7" t="s">
        <v>493</v>
      </c>
      <c r="U61" s="65">
        <v>4372.0</v>
      </c>
    </row>
    <row r="62">
      <c r="A62" s="45">
        <v>45914.25405092593</v>
      </c>
      <c r="B62" s="7" t="s">
        <v>1250</v>
      </c>
      <c r="C62" s="7" t="s">
        <v>2198</v>
      </c>
      <c r="D62" s="7"/>
      <c r="E62" s="64">
        <v>1.0</v>
      </c>
      <c r="F62" s="7"/>
      <c r="G62" s="47">
        <v>24.99</v>
      </c>
      <c r="H62" s="47">
        <v>0.0</v>
      </c>
      <c r="I62" s="47">
        <v>1.4</v>
      </c>
      <c r="J62" s="8">
        <f t="shared" si="1"/>
        <v>23.59</v>
      </c>
      <c r="K62" s="8"/>
      <c r="L62" s="7"/>
      <c r="M62" s="7"/>
      <c r="N62" s="7"/>
      <c r="O62" s="7"/>
      <c r="P62" s="7" t="s">
        <v>490</v>
      </c>
      <c r="Q62" s="7" t="s">
        <v>1622</v>
      </c>
      <c r="R62" s="7"/>
      <c r="S62" s="7" t="s">
        <v>1252</v>
      </c>
      <c r="T62" s="7" t="s">
        <v>525</v>
      </c>
      <c r="U62" s="65">
        <v>4371.0</v>
      </c>
    </row>
    <row r="63">
      <c r="A63" s="45">
        <v>45914.22699074074</v>
      </c>
      <c r="B63" s="7" t="s">
        <v>1846</v>
      </c>
      <c r="C63" s="7" t="s">
        <v>2208</v>
      </c>
      <c r="D63" s="7"/>
      <c r="E63" s="64">
        <v>1.0</v>
      </c>
      <c r="F63" s="64">
        <v>1.0</v>
      </c>
      <c r="G63" s="47">
        <v>124.99</v>
      </c>
      <c r="H63" s="47">
        <v>0.0</v>
      </c>
      <c r="I63" s="47">
        <v>5.8</v>
      </c>
      <c r="J63" s="8">
        <f t="shared" si="1"/>
        <v>119.19</v>
      </c>
      <c r="K63" s="8"/>
      <c r="L63" s="7"/>
      <c r="M63" s="7"/>
      <c r="N63" s="7"/>
      <c r="O63" s="7"/>
      <c r="P63" s="7" t="s">
        <v>490</v>
      </c>
      <c r="Q63" s="7" t="s">
        <v>1847</v>
      </c>
      <c r="R63" s="7" t="s">
        <v>2184</v>
      </c>
      <c r="S63" s="7" t="s">
        <v>1264</v>
      </c>
      <c r="T63" s="7" t="s">
        <v>545</v>
      </c>
      <c r="U63" s="65">
        <v>4370.0</v>
      </c>
    </row>
    <row r="64">
      <c r="A64" s="45">
        <v>45914.1203125</v>
      </c>
      <c r="B64" s="7" t="s">
        <v>260</v>
      </c>
      <c r="C64" s="7" t="s">
        <v>2198</v>
      </c>
      <c r="D64" s="7"/>
      <c r="E64" s="64">
        <v>1.0</v>
      </c>
      <c r="F64" s="7"/>
      <c r="G64" s="47">
        <v>24.99</v>
      </c>
      <c r="H64" s="47">
        <v>0.0</v>
      </c>
      <c r="I64" s="47">
        <v>1.02</v>
      </c>
      <c r="J64" s="8">
        <f t="shared" si="1"/>
        <v>23.97</v>
      </c>
      <c r="K64" s="8"/>
      <c r="L64" s="7"/>
      <c r="M64" s="7"/>
      <c r="N64" s="7"/>
      <c r="O64" s="7"/>
      <c r="P64" s="7" t="s">
        <v>490</v>
      </c>
      <c r="Q64" s="7" t="s">
        <v>561</v>
      </c>
      <c r="R64" s="7"/>
      <c r="S64" s="7" t="s">
        <v>563</v>
      </c>
      <c r="T64" s="7" t="s">
        <v>493</v>
      </c>
      <c r="U64" s="65">
        <v>4369.0</v>
      </c>
    </row>
    <row r="65">
      <c r="A65" s="45">
        <v>45914.08148148148</v>
      </c>
      <c r="B65" s="7" t="s">
        <v>893</v>
      </c>
      <c r="C65" s="7" t="s">
        <v>2198</v>
      </c>
      <c r="D65" s="7"/>
      <c r="E65" s="64">
        <v>1.0</v>
      </c>
      <c r="F65" s="7"/>
      <c r="G65" s="47">
        <v>24.99</v>
      </c>
      <c r="H65" s="47">
        <v>0.0</v>
      </c>
      <c r="I65" s="47">
        <v>1.02</v>
      </c>
      <c r="J65" s="8">
        <f t="shared" si="1"/>
        <v>23.97</v>
      </c>
      <c r="K65" s="8"/>
      <c r="L65" s="7"/>
      <c r="M65" s="7"/>
      <c r="N65" s="7"/>
      <c r="O65" s="7"/>
      <c r="P65" s="7" t="s">
        <v>490</v>
      </c>
      <c r="Q65" s="7" t="s">
        <v>894</v>
      </c>
      <c r="R65" s="7"/>
      <c r="S65" s="7" t="s">
        <v>895</v>
      </c>
      <c r="T65" s="7" t="s">
        <v>493</v>
      </c>
      <c r="U65" s="65">
        <v>4368.0</v>
      </c>
    </row>
    <row r="66">
      <c r="A66" s="45">
        <v>45914.07283564815</v>
      </c>
      <c r="B66" s="7" t="s">
        <v>2221</v>
      </c>
      <c r="C66" s="7" t="s">
        <v>2198</v>
      </c>
      <c r="D66" s="7"/>
      <c r="E66" s="64">
        <v>1.0</v>
      </c>
      <c r="F66" s="7"/>
      <c r="G66" s="47">
        <v>46.46</v>
      </c>
      <c r="H66" s="47">
        <v>0.0</v>
      </c>
      <c r="I66" s="47">
        <v>2.34</v>
      </c>
      <c r="J66" s="8">
        <f t="shared" si="1"/>
        <v>44.12</v>
      </c>
      <c r="K66" s="8"/>
      <c r="L66" s="7"/>
      <c r="M66" s="7"/>
      <c r="N66" s="7"/>
      <c r="O66" s="7"/>
      <c r="P66" s="7" t="s">
        <v>490</v>
      </c>
      <c r="Q66" s="7" t="s">
        <v>2222</v>
      </c>
      <c r="R66" s="7"/>
      <c r="S66" s="7" t="s">
        <v>2223</v>
      </c>
      <c r="T66" s="7" t="s">
        <v>545</v>
      </c>
      <c r="U66" s="65">
        <v>4367.0</v>
      </c>
    </row>
    <row r="67">
      <c r="A67" s="45">
        <v>45914.072546296295</v>
      </c>
      <c r="B67" s="7" t="s">
        <v>2224</v>
      </c>
      <c r="C67" s="7" t="s">
        <v>2208</v>
      </c>
      <c r="D67" s="7"/>
      <c r="E67" s="64">
        <v>1.0</v>
      </c>
      <c r="F67" s="64">
        <v>1.0</v>
      </c>
      <c r="G67" s="47">
        <v>124.99</v>
      </c>
      <c r="H67" s="47">
        <v>0.0</v>
      </c>
      <c r="I67" s="47">
        <v>5.8</v>
      </c>
      <c r="J67" s="8">
        <f t="shared" si="1"/>
        <v>119.19</v>
      </c>
      <c r="K67" s="8"/>
      <c r="L67" s="7"/>
      <c r="M67" s="7"/>
      <c r="N67" s="7"/>
      <c r="O67" s="7"/>
      <c r="P67" s="7" t="s">
        <v>490</v>
      </c>
      <c r="Q67" s="7" t="s">
        <v>2225</v>
      </c>
      <c r="R67" s="7" t="s">
        <v>2226</v>
      </c>
      <c r="S67" s="7" t="s">
        <v>2227</v>
      </c>
      <c r="T67" s="7" t="s">
        <v>684</v>
      </c>
      <c r="U67" s="65">
        <v>4366.0</v>
      </c>
    </row>
    <row r="68">
      <c r="A68" s="45">
        <v>45913.926400462966</v>
      </c>
      <c r="B68" s="7" t="s">
        <v>1259</v>
      </c>
      <c r="C68" s="7" t="s">
        <v>2198</v>
      </c>
      <c r="D68" s="7"/>
      <c r="E68" s="64">
        <v>1.0</v>
      </c>
      <c r="F68" s="7"/>
      <c r="G68" s="47">
        <v>24.99</v>
      </c>
      <c r="H68" s="47">
        <v>0.0</v>
      </c>
      <c r="I68" s="47">
        <v>1.02</v>
      </c>
      <c r="J68" s="8">
        <f t="shared" si="1"/>
        <v>23.97</v>
      </c>
      <c r="K68" s="8"/>
      <c r="L68" s="7"/>
      <c r="M68" s="7"/>
      <c r="N68" s="7"/>
      <c r="O68" s="7"/>
      <c r="P68" s="7" t="s">
        <v>490</v>
      </c>
      <c r="Q68" s="7" t="s">
        <v>1260</v>
      </c>
      <c r="R68" s="7"/>
      <c r="S68" s="7" t="s">
        <v>1261</v>
      </c>
      <c r="T68" s="7" t="s">
        <v>493</v>
      </c>
      <c r="U68" s="65">
        <v>4363.0</v>
      </c>
    </row>
    <row r="69">
      <c r="A69" s="45">
        <v>45913.920625</v>
      </c>
      <c r="B69" s="7" t="s">
        <v>974</v>
      </c>
      <c r="C69" s="7" t="s">
        <v>2198</v>
      </c>
      <c r="D69" s="7"/>
      <c r="E69" s="64">
        <v>1.0</v>
      </c>
      <c r="F69" s="7"/>
      <c r="G69" s="47">
        <v>24.99</v>
      </c>
      <c r="H69" s="47">
        <v>0.0</v>
      </c>
      <c r="I69" s="47">
        <v>1.02</v>
      </c>
      <c r="J69" s="8">
        <f t="shared" si="1"/>
        <v>23.97</v>
      </c>
      <c r="K69" s="8"/>
      <c r="L69" s="7"/>
      <c r="M69" s="7"/>
      <c r="N69" s="7"/>
      <c r="O69" s="7"/>
      <c r="P69" s="7" t="s">
        <v>490</v>
      </c>
      <c r="Q69" s="7" t="s">
        <v>975</v>
      </c>
      <c r="R69" s="7"/>
      <c r="S69" s="7" t="s">
        <v>976</v>
      </c>
      <c r="T69" s="7" t="s">
        <v>493</v>
      </c>
      <c r="U69" s="65">
        <v>4362.0</v>
      </c>
    </row>
    <row r="70">
      <c r="A70" s="45">
        <v>45913.91515046296</v>
      </c>
      <c r="B70" s="7" t="s">
        <v>876</v>
      </c>
      <c r="C70" s="7" t="s">
        <v>2198</v>
      </c>
      <c r="D70" s="7"/>
      <c r="E70" s="64">
        <v>1.0</v>
      </c>
      <c r="F70" s="7"/>
      <c r="G70" s="47">
        <v>24.99</v>
      </c>
      <c r="H70" s="47">
        <v>0.0</v>
      </c>
      <c r="I70" s="47">
        <v>1.4</v>
      </c>
      <c r="J70" s="8">
        <f t="shared" si="1"/>
        <v>23.59</v>
      </c>
      <c r="K70" s="8"/>
      <c r="L70" s="7"/>
      <c r="M70" s="7"/>
      <c r="N70" s="7"/>
      <c r="O70" s="7"/>
      <c r="P70" s="7" t="s">
        <v>490</v>
      </c>
      <c r="Q70" s="7" t="s">
        <v>877</v>
      </c>
      <c r="R70" s="7"/>
      <c r="S70" s="7" t="s">
        <v>878</v>
      </c>
      <c r="T70" s="7" t="s">
        <v>525</v>
      </c>
      <c r="U70" s="65">
        <v>4361.0</v>
      </c>
    </row>
    <row r="71">
      <c r="A71" s="45">
        <v>45913.83497685185</v>
      </c>
      <c r="B71" s="7" t="s">
        <v>132</v>
      </c>
      <c r="C71" s="7" t="s">
        <v>2198</v>
      </c>
      <c r="D71" s="7"/>
      <c r="E71" s="64">
        <v>1.0</v>
      </c>
      <c r="F71" s="7"/>
      <c r="G71" s="47">
        <v>24.99</v>
      </c>
      <c r="H71" s="47">
        <v>0.0</v>
      </c>
      <c r="I71" s="47">
        <v>1.4</v>
      </c>
      <c r="J71" s="8">
        <f t="shared" si="1"/>
        <v>23.59</v>
      </c>
      <c r="K71" s="8"/>
      <c r="L71" s="7"/>
      <c r="M71" s="7"/>
      <c r="N71" s="7"/>
      <c r="O71" s="7"/>
      <c r="P71" s="7" t="s">
        <v>490</v>
      </c>
      <c r="Q71" s="7" t="s">
        <v>821</v>
      </c>
      <c r="R71" s="7"/>
      <c r="S71" s="7" t="s">
        <v>822</v>
      </c>
      <c r="T71" s="7" t="s">
        <v>823</v>
      </c>
      <c r="U71" s="65">
        <v>4360.0</v>
      </c>
    </row>
    <row r="72">
      <c r="A72" s="45">
        <v>45913.7734837963</v>
      </c>
      <c r="B72" s="7" t="s">
        <v>1280</v>
      </c>
      <c r="C72" s="7" t="s">
        <v>2198</v>
      </c>
      <c r="D72" s="7"/>
      <c r="E72" s="64">
        <v>1.0</v>
      </c>
      <c r="F72" s="7"/>
      <c r="G72" s="47">
        <v>24.99</v>
      </c>
      <c r="H72" s="47">
        <v>0.0</v>
      </c>
      <c r="I72" s="47">
        <v>1.02</v>
      </c>
      <c r="J72" s="8">
        <f t="shared" si="1"/>
        <v>23.97</v>
      </c>
      <c r="K72" s="8"/>
      <c r="L72" s="7"/>
      <c r="M72" s="7"/>
      <c r="N72" s="7"/>
      <c r="O72" s="7"/>
      <c r="P72" s="7" t="s">
        <v>490</v>
      </c>
      <c r="Q72" s="7" t="s">
        <v>1281</v>
      </c>
      <c r="R72" s="7" t="s">
        <v>1282</v>
      </c>
      <c r="S72" s="7" t="s">
        <v>1283</v>
      </c>
      <c r="T72" s="7" t="s">
        <v>493</v>
      </c>
      <c r="U72" s="65">
        <v>4359.0</v>
      </c>
    </row>
    <row r="73">
      <c r="A73" s="45">
        <v>45913.75148148148</v>
      </c>
      <c r="B73" s="7" t="s">
        <v>667</v>
      </c>
      <c r="C73" s="7" t="s">
        <v>2198</v>
      </c>
      <c r="D73" s="7"/>
      <c r="E73" s="64">
        <v>1.0</v>
      </c>
      <c r="F73" s="7"/>
      <c r="G73" s="47">
        <v>24.99</v>
      </c>
      <c r="H73" s="47">
        <v>0.0</v>
      </c>
      <c r="I73" s="47">
        <v>1.02</v>
      </c>
      <c r="J73" s="8">
        <f t="shared" si="1"/>
        <v>23.97</v>
      </c>
      <c r="K73" s="8"/>
      <c r="L73" s="7"/>
      <c r="M73" s="7"/>
      <c r="N73" s="7"/>
      <c r="O73" s="7"/>
      <c r="P73" s="7" t="s">
        <v>490</v>
      </c>
      <c r="Q73" s="7" t="s">
        <v>668</v>
      </c>
      <c r="R73" s="7"/>
      <c r="S73" s="7" t="s">
        <v>669</v>
      </c>
      <c r="T73" s="7" t="s">
        <v>493</v>
      </c>
      <c r="U73" s="65">
        <v>4357.0</v>
      </c>
    </row>
    <row r="74">
      <c r="A74" s="45">
        <v>45913.746412037035</v>
      </c>
      <c r="B74" s="7" t="s">
        <v>364</v>
      </c>
      <c r="C74" s="7" t="s">
        <v>2198</v>
      </c>
      <c r="D74" s="7"/>
      <c r="E74" s="64">
        <v>1.0</v>
      </c>
      <c r="F74" s="7"/>
      <c r="G74" s="47">
        <v>24.99</v>
      </c>
      <c r="H74" s="47">
        <v>0.0</v>
      </c>
      <c r="I74" s="47">
        <v>1.4</v>
      </c>
      <c r="J74" s="8">
        <f t="shared" si="1"/>
        <v>23.59</v>
      </c>
      <c r="K74" s="8"/>
      <c r="L74" s="7"/>
      <c r="M74" s="7"/>
      <c r="N74" s="7"/>
      <c r="O74" s="7"/>
      <c r="P74" s="7" t="s">
        <v>490</v>
      </c>
      <c r="Q74" s="7" t="s">
        <v>855</v>
      </c>
      <c r="R74" s="7" t="s">
        <v>855</v>
      </c>
      <c r="S74" s="7" t="s">
        <v>856</v>
      </c>
      <c r="T74" s="7" t="s">
        <v>545</v>
      </c>
      <c r="U74" s="65">
        <v>4356.0</v>
      </c>
    </row>
    <row r="75">
      <c r="A75" s="45">
        <v>45913.729583333334</v>
      </c>
      <c r="B75" s="7" t="s">
        <v>64</v>
      </c>
      <c r="C75" s="7" t="s">
        <v>2198</v>
      </c>
      <c r="D75" s="7"/>
      <c r="E75" s="64">
        <v>1.0</v>
      </c>
      <c r="F75" s="7"/>
      <c r="G75" s="47">
        <v>24.99</v>
      </c>
      <c r="H75" s="47">
        <v>0.0</v>
      </c>
      <c r="I75" s="47">
        <v>1.02</v>
      </c>
      <c r="J75" s="8">
        <f t="shared" si="1"/>
        <v>23.97</v>
      </c>
      <c r="K75" s="8"/>
      <c r="L75" s="7"/>
      <c r="M75" s="7"/>
      <c r="N75" s="7"/>
      <c r="O75" s="7"/>
      <c r="P75" s="7" t="s">
        <v>490</v>
      </c>
      <c r="Q75" s="7" t="s">
        <v>990</v>
      </c>
      <c r="R75" s="7" t="s">
        <v>991</v>
      </c>
      <c r="S75" s="7" t="s">
        <v>992</v>
      </c>
      <c r="T75" s="7" t="s">
        <v>493</v>
      </c>
      <c r="U75" s="65">
        <v>4355.0</v>
      </c>
    </row>
    <row r="76">
      <c r="A76" s="45">
        <v>45913.68021990741</v>
      </c>
      <c r="B76" s="7" t="s">
        <v>2228</v>
      </c>
      <c r="C76" s="7" t="s">
        <v>2198</v>
      </c>
      <c r="D76" s="7"/>
      <c r="E76" s="64">
        <v>1.0</v>
      </c>
      <c r="F76" s="7"/>
      <c r="G76" s="47">
        <v>34.46</v>
      </c>
      <c r="H76" s="47">
        <v>0.0</v>
      </c>
      <c r="I76" s="47">
        <v>1.3</v>
      </c>
      <c r="J76" s="8">
        <f t="shared" si="1"/>
        <v>33.16</v>
      </c>
      <c r="K76" s="8"/>
      <c r="L76" s="7"/>
      <c r="M76" s="7"/>
      <c r="N76" s="7"/>
      <c r="O76" s="7"/>
      <c r="P76" s="7" t="s">
        <v>490</v>
      </c>
      <c r="Q76" s="7" t="s">
        <v>2229</v>
      </c>
      <c r="R76" s="7" t="s">
        <v>2230</v>
      </c>
      <c r="S76" s="7" t="s">
        <v>2231</v>
      </c>
      <c r="T76" s="7" t="s">
        <v>493</v>
      </c>
      <c r="U76" s="65">
        <v>4354.0</v>
      </c>
    </row>
    <row r="77">
      <c r="A77" s="45">
        <v>45913.64878472222</v>
      </c>
      <c r="B77" s="7" t="s">
        <v>2232</v>
      </c>
      <c r="C77" s="7" t="s">
        <v>2198</v>
      </c>
      <c r="D77" s="7"/>
      <c r="E77" s="64">
        <v>1.0</v>
      </c>
      <c r="F77" s="7"/>
      <c r="G77" s="47">
        <v>24.99</v>
      </c>
      <c r="H77" s="47">
        <v>0.0</v>
      </c>
      <c r="I77" s="47">
        <v>1.4</v>
      </c>
      <c r="J77" s="8">
        <f t="shared" si="1"/>
        <v>23.59</v>
      </c>
      <c r="K77" s="8"/>
      <c r="L77" s="7"/>
      <c r="M77" s="7"/>
      <c r="N77" s="7"/>
      <c r="O77" s="7"/>
      <c r="P77" s="7" t="s">
        <v>490</v>
      </c>
      <c r="Q77" s="7" t="s">
        <v>931</v>
      </c>
      <c r="R77" s="7"/>
      <c r="S77" s="7" t="s">
        <v>932</v>
      </c>
      <c r="T77" s="7" t="s">
        <v>525</v>
      </c>
      <c r="U77" s="65">
        <v>4353.0</v>
      </c>
    </row>
    <row r="78">
      <c r="A78" s="45">
        <v>45913.607094907406</v>
      </c>
      <c r="B78" s="7" t="s">
        <v>406</v>
      </c>
      <c r="C78" s="7" t="s">
        <v>2198</v>
      </c>
      <c r="D78" s="7"/>
      <c r="E78" s="64">
        <v>1.0</v>
      </c>
      <c r="F78" s="7"/>
      <c r="G78" s="47">
        <v>24.99</v>
      </c>
      <c r="H78" s="47">
        <v>0.0</v>
      </c>
      <c r="I78" s="47">
        <v>1.4</v>
      </c>
      <c r="J78" s="8">
        <f t="shared" si="1"/>
        <v>23.59</v>
      </c>
      <c r="K78" s="8"/>
      <c r="L78" s="7"/>
      <c r="M78" s="7"/>
      <c r="N78" s="7"/>
      <c r="O78" s="7"/>
      <c r="P78" s="7" t="s">
        <v>490</v>
      </c>
      <c r="Q78" s="7" t="s">
        <v>1555</v>
      </c>
      <c r="R78" s="7"/>
      <c r="S78" s="7" t="s">
        <v>1556</v>
      </c>
      <c r="T78" s="7" t="s">
        <v>545</v>
      </c>
      <c r="U78" s="65">
        <v>4350.0</v>
      </c>
    </row>
    <row r="79">
      <c r="A79" s="45">
        <v>45913.591215277775</v>
      </c>
      <c r="B79" s="7" t="s">
        <v>128</v>
      </c>
      <c r="C79" s="7" t="s">
        <v>2233</v>
      </c>
      <c r="D79" s="7"/>
      <c r="E79" s="64">
        <v>3.0</v>
      </c>
      <c r="F79" s="7"/>
      <c r="G79" s="47">
        <v>74.97</v>
      </c>
      <c r="H79" s="47">
        <v>0.0</v>
      </c>
      <c r="I79" s="47">
        <v>3.6</v>
      </c>
      <c r="J79" s="8">
        <f t="shared" si="1"/>
        <v>71.37</v>
      </c>
      <c r="K79" s="8"/>
      <c r="L79" s="7"/>
      <c r="M79" s="7"/>
      <c r="N79" s="7"/>
      <c r="O79" s="7"/>
      <c r="P79" s="7" t="s">
        <v>490</v>
      </c>
      <c r="Q79" s="7" t="s">
        <v>880</v>
      </c>
      <c r="R79" s="7" t="s">
        <v>881</v>
      </c>
      <c r="S79" s="7" t="s">
        <v>850</v>
      </c>
      <c r="T79" s="7" t="s">
        <v>882</v>
      </c>
      <c r="U79" s="65">
        <v>4349.0</v>
      </c>
    </row>
    <row r="80">
      <c r="A80" s="45">
        <v>45913.526967592596</v>
      </c>
      <c r="B80" s="7" t="s">
        <v>194</v>
      </c>
      <c r="C80" s="7" t="s">
        <v>2198</v>
      </c>
      <c r="D80" s="7"/>
      <c r="E80" s="64">
        <v>1.0</v>
      </c>
      <c r="F80" s="7"/>
      <c r="G80" s="47">
        <v>24.99</v>
      </c>
      <c r="H80" s="47">
        <v>0.0</v>
      </c>
      <c r="I80" s="47">
        <v>1.4</v>
      </c>
      <c r="J80" s="8">
        <f t="shared" si="1"/>
        <v>23.59</v>
      </c>
      <c r="K80" s="8"/>
      <c r="L80" s="7"/>
      <c r="M80" s="7"/>
      <c r="N80" s="7"/>
      <c r="O80" s="7"/>
      <c r="P80" s="7" t="s">
        <v>490</v>
      </c>
      <c r="Q80" s="7" t="s">
        <v>891</v>
      </c>
      <c r="R80" s="7"/>
      <c r="S80" s="7" t="s">
        <v>892</v>
      </c>
      <c r="T80" s="7" t="s">
        <v>555</v>
      </c>
      <c r="U80" s="65">
        <v>4348.0</v>
      </c>
    </row>
    <row r="81">
      <c r="A81" s="45">
        <v>45913.51144675926</v>
      </c>
      <c r="B81" s="7" t="s">
        <v>436</v>
      </c>
      <c r="C81" s="7" t="s">
        <v>2198</v>
      </c>
      <c r="D81" s="7"/>
      <c r="E81" s="64">
        <v>1.0</v>
      </c>
      <c r="F81" s="7"/>
      <c r="G81" s="47">
        <v>24.99</v>
      </c>
      <c r="H81" s="47">
        <v>0.0</v>
      </c>
      <c r="I81" s="47">
        <v>1.02</v>
      </c>
      <c r="J81" s="8">
        <f t="shared" si="1"/>
        <v>23.97</v>
      </c>
      <c r="K81" s="8"/>
      <c r="L81" s="7"/>
      <c r="M81" s="7"/>
      <c r="N81" s="7"/>
      <c r="O81" s="7"/>
      <c r="P81" s="7" t="s">
        <v>490</v>
      </c>
      <c r="Q81" s="7" t="s">
        <v>1115</v>
      </c>
      <c r="R81" s="7"/>
      <c r="S81" s="7" t="s">
        <v>1116</v>
      </c>
      <c r="T81" s="7" t="s">
        <v>493</v>
      </c>
      <c r="U81" s="65">
        <v>4347.0</v>
      </c>
    </row>
    <row r="82">
      <c r="A82" s="45">
        <v>45913.42523148148</v>
      </c>
      <c r="B82" s="7" t="s">
        <v>827</v>
      </c>
      <c r="C82" s="7" t="s">
        <v>2198</v>
      </c>
      <c r="D82" s="7"/>
      <c r="E82" s="64">
        <v>1.0</v>
      </c>
      <c r="F82" s="7"/>
      <c r="G82" s="47">
        <v>24.99</v>
      </c>
      <c r="H82" s="47">
        <v>0.0</v>
      </c>
      <c r="I82" s="47">
        <v>1.4</v>
      </c>
      <c r="J82" s="8">
        <f t="shared" si="1"/>
        <v>23.59</v>
      </c>
      <c r="K82" s="8"/>
      <c r="L82" s="7"/>
      <c r="M82" s="7"/>
      <c r="N82" s="7"/>
      <c r="O82" s="7"/>
      <c r="P82" s="7" t="s">
        <v>490</v>
      </c>
      <c r="Q82" s="7" t="s">
        <v>828</v>
      </c>
      <c r="R82" s="7" t="s">
        <v>829</v>
      </c>
      <c r="S82" s="7" t="s">
        <v>830</v>
      </c>
      <c r="T82" s="7" t="s">
        <v>542</v>
      </c>
      <c r="U82" s="65">
        <v>4345.0</v>
      </c>
    </row>
    <row r="83">
      <c r="A83" s="45">
        <v>45913.40519675926</v>
      </c>
      <c r="B83" s="7" t="s">
        <v>343</v>
      </c>
      <c r="C83" s="7" t="s">
        <v>2198</v>
      </c>
      <c r="D83" s="7"/>
      <c r="E83" s="64">
        <v>1.0</v>
      </c>
      <c r="F83" s="7"/>
      <c r="G83" s="47">
        <v>24.99</v>
      </c>
      <c r="H83" s="47">
        <v>0.0</v>
      </c>
      <c r="I83" s="47">
        <v>1.4</v>
      </c>
      <c r="J83" s="8">
        <f t="shared" si="1"/>
        <v>23.59</v>
      </c>
      <c r="K83" s="8"/>
      <c r="L83" s="7"/>
      <c r="M83" s="7"/>
      <c r="N83" s="7"/>
      <c r="O83" s="7"/>
      <c r="P83" s="7" t="s">
        <v>490</v>
      </c>
      <c r="Q83" s="7" t="s">
        <v>1655</v>
      </c>
      <c r="R83" s="65">
        <v>35.0</v>
      </c>
      <c r="S83" s="7" t="s">
        <v>1065</v>
      </c>
      <c r="T83" s="7" t="s">
        <v>525</v>
      </c>
      <c r="U83" s="65">
        <v>4344.0</v>
      </c>
    </row>
    <row r="84">
      <c r="A84" s="45">
        <v>45913.39981481482</v>
      </c>
      <c r="B84" s="7" t="s">
        <v>2234</v>
      </c>
      <c r="C84" s="7" t="s">
        <v>2198</v>
      </c>
      <c r="D84" s="7"/>
      <c r="E84" s="64">
        <v>1.0</v>
      </c>
      <c r="F84" s="7"/>
      <c r="G84" s="47">
        <v>61.61</v>
      </c>
      <c r="H84" s="47">
        <v>0.0</v>
      </c>
      <c r="I84" s="47">
        <v>3.01</v>
      </c>
      <c r="J84" s="8">
        <f t="shared" si="1"/>
        <v>58.6</v>
      </c>
      <c r="K84" s="8"/>
      <c r="L84" s="7"/>
      <c r="M84" s="7"/>
      <c r="N84" s="7"/>
      <c r="O84" s="7"/>
      <c r="P84" s="7" t="s">
        <v>490</v>
      </c>
      <c r="Q84" s="7"/>
      <c r="R84" s="7"/>
      <c r="S84" s="7"/>
      <c r="T84" s="7" t="s">
        <v>726</v>
      </c>
      <c r="U84" s="65">
        <v>4343.0</v>
      </c>
    </row>
    <row r="85">
      <c r="A85" s="45">
        <v>45913.349444444444</v>
      </c>
      <c r="B85" s="7" t="s">
        <v>166</v>
      </c>
      <c r="C85" s="7" t="s">
        <v>2198</v>
      </c>
      <c r="D85" s="7"/>
      <c r="E85" s="64">
        <v>1.0</v>
      </c>
      <c r="F85" s="7"/>
      <c r="G85" s="47">
        <v>24.99</v>
      </c>
      <c r="H85" s="47">
        <v>0.0</v>
      </c>
      <c r="I85" s="47">
        <v>1.4</v>
      </c>
      <c r="J85" s="8">
        <f t="shared" si="1"/>
        <v>23.59</v>
      </c>
      <c r="K85" s="8"/>
      <c r="L85" s="7"/>
      <c r="M85" s="7"/>
      <c r="N85" s="7"/>
      <c r="O85" s="7"/>
      <c r="P85" s="7" t="s">
        <v>490</v>
      </c>
      <c r="Q85" s="7" t="s">
        <v>766</v>
      </c>
      <c r="R85" s="7"/>
      <c r="S85" s="7" t="s">
        <v>767</v>
      </c>
      <c r="T85" s="7" t="s">
        <v>521</v>
      </c>
      <c r="U85" s="65">
        <v>4342.0</v>
      </c>
    </row>
    <row r="86">
      <c r="A86" s="45">
        <v>45913.30091435185</v>
      </c>
      <c r="B86" s="7" t="s">
        <v>1669</v>
      </c>
      <c r="C86" s="7" t="s">
        <v>2198</v>
      </c>
      <c r="D86" s="7"/>
      <c r="E86" s="64">
        <v>1.0</v>
      </c>
      <c r="F86" s="7"/>
      <c r="G86" s="47">
        <v>24.99</v>
      </c>
      <c r="H86" s="47">
        <v>0.0</v>
      </c>
      <c r="I86" s="47">
        <v>1.4</v>
      </c>
      <c r="J86" s="8">
        <f t="shared" si="1"/>
        <v>23.59</v>
      </c>
      <c r="K86" s="8"/>
      <c r="L86" s="7"/>
      <c r="M86" s="7"/>
      <c r="N86" s="7"/>
      <c r="O86" s="7"/>
      <c r="P86" s="7" t="s">
        <v>490</v>
      </c>
      <c r="Q86" s="7" t="s">
        <v>1782</v>
      </c>
      <c r="R86" s="7" t="s">
        <v>707</v>
      </c>
      <c r="S86" s="7" t="s">
        <v>1783</v>
      </c>
      <c r="T86" s="7" t="s">
        <v>521</v>
      </c>
      <c r="U86" s="65">
        <v>4339.0</v>
      </c>
    </row>
    <row r="87">
      <c r="A87" s="45">
        <v>45913.299780092595</v>
      </c>
      <c r="B87" s="7" t="s">
        <v>147</v>
      </c>
      <c r="C87" s="7" t="s">
        <v>2198</v>
      </c>
      <c r="D87" s="7"/>
      <c r="E87" s="64">
        <v>1.0</v>
      </c>
      <c r="F87" s="7"/>
      <c r="G87" s="47">
        <v>24.99</v>
      </c>
      <c r="H87" s="47">
        <v>0.0</v>
      </c>
      <c r="I87" s="47">
        <v>1.4</v>
      </c>
      <c r="J87" s="8">
        <f t="shared" si="1"/>
        <v>23.59</v>
      </c>
      <c r="K87" s="8"/>
      <c r="L87" s="7"/>
      <c r="M87" s="7"/>
      <c r="N87" s="7"/>
      <c r="O87" s="7"/>
      <c r="P87" s="7" t="s">
        <v>490</v>
      </c>
      <c r="Q87" s="7" t="s">
        <v>1389</v>
      </c>
      <c r="R87" s="7" t="s">
        <v>1390</v>
      </c>
      <c r="S87" s="7" t="s">
        <v>1391</v>
      </c>
      <c r="T87" s="7" t="s">
        <v>542</v>
      </c>
      <c r="U87" s="65">
        <v>4338.0</v>
      </c>
    </row>
    <row r="88">
      <c r="A88" s="45">
        <v>45913.23541666667</v>
      </c>
      <c r="B88" s="7" t="s">
        <v>1825</v>
      </c>
      <c r="C88" s="7" t="s">
        <v>2198</v>
      </c>
      <c r="D88" s="7"/>
      <c r="E88" s="64">
        <v>1.0</v>
      </c>
      <c r="F88" s="7"/>
      <c r="G88" s="47">
        <v>24.99</v>
      </c>
      <c r="H88" s="47">
        <v>0.0</v>
      </c>
      <c r="I88" s="47">
        <v>1.4</v>
      </c>
      <c r="J88" s="8">
        <f t="shared" si="1"/>
        <v>23.59</v>
      </c>
      <c r="K88" s="8"/>
      <c r="L88" s="7"/>
      <c r="M88" s="7"/>
      <c r="N88" s="7"/>
      <c r="O88" s="7"/>
      <c r="P88" s="7" t="s">
        <v>490</v>
      </c>
      <c r="Q88" s="7" t="s">
        <v>936</v>
      </c>
      <c r="R88" s="7" t="s">
        <v>2039</v>
      </c>
      <c r="S88" s="7" t="s">
        <v>938</v>
      </c>
      <c r="T88" s="7" t="s">
        <v>939</v>
      </c>
      <c r="U88" s="65">
        <v>4337.0</v>
      </c>
    </row>
    <row r="89">
      <c r="A89" s="45">
        <v>45913.18918981482</v>
      </c>
      <c r="B89" s="7" t="s">
        <v>148</v>
      </c>
      <c r="C89" s="7" t="s">
        <v>2198</v>
      </c>
      <c r="D89" s="7"/>
      <c r="E89" s="64">
        <v>1.0</v>
      </c>
      <c r="F89" s="7"/>
      <c r="G89" s="47">
        <v>24.99</v>
      </c>
      <c r="H89" s="47">
        <v>0.0</v>
      </c>
      <c r="I89" s="47">
        <v>1.02</v>
      </c>
      <c r="J89" s="8">
        <f t="shared" si="1"/>
        <v>23.97</v>
      </c>
      <c r="K89" s="8"/>
      <c r="L89" s="7"/>
      <c r="M89" s="7"/>
      <c r="N89" s="7"/>
      <c r="O89" s="7"/>
      <c r="P89" s="7" t="s">
        <v>490</v>
      </c>
      <c r="Q89" s="7" t="s">
        <v>1140</v>
      </c>
      <c r="R89" s="7"/>
      <c r="S89" s="7" t="s">
        <v>1141</v>
      </c>
      <c r="T89" s="7" t="s">
        <v>493</v>
      </c>
      <c r="U89" s="65">
        <v>4336.0</v>
      </c>
    </row>
    <row r="90">
      <c r="A90" s="45">
        <v>45913.15709490741</v>
      </c>
      <c r="B90" s="7" t="s">
        <v>324</v>
      </c>
      <c r="C90" s="7" t="s">
        <v>2198</v>
      </c>
      <c r="D90" s="7"/>
      <c r="E90" s="64">
        <v>1.0</v>
      </c>
      <c r="F90" s="7"/>
      <c r="G90" s="47">
        <v>34.46</v>
      </c>
      <c r="H90" s="47">
        <v>0.0</v>
      </c>
      <c r="I90" s="47">
        <v>1.3</v>
      </c>
      <c r="J90" s="8">
        <f t="shared" si="1"/>
        <v>33.16</v>
      </c>
      <c r="K90" s="8"/>
      <c r="L90" s="7"/>
      <c r="M90" s="7"/>
      <c r="N90" s="7"/>
      <c r="O90" s="7"/>
      <c r="P90" s="7" t="s">
        <v>490</v>
      </c>
      <c r="Q90" s="7" t="s">
        <v>2235</v>
      </c>
      <c r="R90" s="7"/>
      <c r="S90" s="7" t="s">
        <v>2236</v>
      </c>
      <c r="T90" s="7" t="s">
        <v>493</v>
      </c>
      <c r="U90" s="65">
        <v>4331.0</v>
      </c>
    </row>
    <row r="91">
      <c r="A91" s="45">
        <v>45913.15255787037</v>
      </c>
      <c r="B91" s="7" t="s">
        <v>304</v>
      </c>
      <c r="C91" s="7" t="s">
        <v>2198</v>
      </c>
      <c r="D91" s="7"/>
      <c r="E91" s="64">
        <v>1.0</v>
      </c>
      <c r="F91" s="7"/>
      <c r="G91" s="47">
        <v>24.99</v>
      </c>
      <c r="H91" s="47">
        <v>0.0</v>
      </c>
      <c r="I91" s="47">
        <v>1.02</v>
      </c>
      <c r="J91" s="8">
        <f t="shared" si="1"/>
        <v>23.97</v>
      </c>
      <c r="K91" s="8"/>
      <c r="L91" s="7"/>
      <c r="M91" s="7"/>
      <c r="N91" s="7"/>
      <c r="O91" s="7"/>
      <c r="P91" s="7" t="s">
        <v>490</v>
      </c>
      <c r="Q91" s="7" t="s">
        <v>774</v>
      </c>
      <c r="R91" s="7"/>
      <c r="S91" s="7" t="s">
        <v>775</v>
      </c>
      <c r="T91" s="7" t="s">
        <v>493</v>
      </c>
      <c r="U91" s="65">
        <v>4330.0</v>
      </c>
    </row>
    <row r="92">
      <c r="A92" s="45">
        <v>45913.13243055555</v>
      </c>
      <c r="B92" s="7" t="s">
        <v>911</v>
      </c>
      <c r="C92" s="7" t="s">
        <v>2198</v>
      </c>
      <c r="D92" s="7"/>
      <c r="E92" s="64">
        <v>1.0</v>
      </c>
      <c r="F92" s="7"/>
      <c r="G92" s="47">
        <v>26.49</v>
      </c>
      <c r="H92" s="47">
        <v>0.0</v>
      </c>
      <c r="I92" s="47">
        <v>1.07</v>
      </c>
      <c r="J92" s="8">
        <f t="shared" si="1"/>
        <v>25.42</v>
      </c>
      <c r="K92" s="8"/>
      <c r="L92" s="7"/>
      <c r="M92" s="7"/>
      <c r="N92" s="7"/>
      <c r="O92" s="7"/>
      <c r="P92" s="7" t="s">
        <v>490</v>
      </c>
      <c r="Q92" s="7" t="s">
        <v>912</v>
      </c>
      <c r="R92" s="7"/>
      <c r="S92" s="7" t="s">
        <v>913</v>
      </c>
      <c r="T92" s="7" t="s">
        <v>493</v>
      </c>
      <c r="U92" s="65">
        <v>4329.0</v>
      </c>
    </row>
    <row r="93">
      <c r="A93" s="45">
        <v>45913.13107638889</v>
      </c>
      <c r="B93" s="7" t="s">
        <v>2237</v>
      </c>
      <c r="C93" s="7" t="s">
        <v>2208</v>
      </c>
      <c r="D93" s="7"/>
      <c r="E93" s="64">
        <v>1.0</v>
      </c>
      <c r="F93" s="64">
        <v>1.0</v>
      </c>
      <c r="G93" s="47">
        <v>124.99</v>
      </c>
      <c r="H93" s="47">
        <v>0.0</v>
      </c>
      <c r="I93" s="47">
        <v>3.92</v>
      </c>
      <c r="J93" s="8">
        <f t="shared" si="1"/>
        <v>121.07</v>
      </c>
      <c r="K93" s="8"/>
      <c r="L93" s="7"/>
      <c r="M93" s="7"/>
      <c r="N93" s="7"/>
      <c r="O93" s="7"/>
      <c r="P93" s="7" t="s">
        <v>490</v>
      </c>
      <c r="Q93" s="7"/>
      <c r="R93" s="7"/>
      <c r="S93" s="7"/>
      <c r="T93" s="7" t="s">
        <v>493</v>
      </c>
      <c r="U93" s="65">
        <v>4327.0</v>
      </c>
    </row>
    <row r="94">
      <c r="A94" s="45">
        <v>45913.13039351852</v>
      </c>
      <c r="B94" s="7" t="s">
        <v>2238</v>
      </c>
      <c r="C94" s="7" t="s">
        <v>2208</v>
      </c>
      <c r="D94" s="7"/>
      <c r="E94" s="64">
        <v>1.0</v>
      </c>
      <c r="F94" s="64">
        <v>1.0</v>
      </c>
      <c r="G94" s="47">
        <v>124.99</v>
      </c>
      <c r="H94" s="47">
        <v>0.0</v>
      </c>
      <c r="I94" s="47">
        <v>3.92</v>
      </c>
      <c r="J94" s="8">
        <f t="shared" si="1"/>
        <v>121.07</v>
      </c>
      <c r="K94" s="8"/>
      <c r="L94" s="7"/>
      <c r="M94" s="7"/>
      <c r="N94" s="7"/>
      <c r="O94" s="7"/>
      <c r="P94" s="7" t="s">
        <v>490</v>
      </c>
      <c r="Q94" s="7" t="s">
        <v>1097</v>
      </c>
      <c r="R94" s="7"/>
      <c r="S94" s="7" t="s">
        <v>2239</v>
      </c>
      <c r="T94" s="7" t="s">
        <v>493</v>
      </c>
      <c r="U94" s="65">
        <v>4328.0</v>
      </c>
    </row>
    <row r="95">
      <c r="A95" s="45">
        <v>45913.11599537037</v>
      </c>
      <c r="B95" s="7" t="s">
        <v>294</v>
      </c>
      <c r="C95" s="7" t="s">
        <v>2198</v>
      </c>
      <c r="D95" s="7"/>
      <c r="E95" s="64">
        <v>1.0</v>
      </c>
      <c r="F95" s="7"/>
      <c r="G95" s="47">
        <v>24.99</v>
      </c>
      <c r="H95" s="47">
        <v>0.0</v>
      </c>
      <c r="I95" s="47">
        <v>1.4</v>
      </c>
      <c r="J95" s="8">
        <f t="shared" si="1"/>
        <v>23.59</v>
      </c>
      <c r="K95" s="8"/>
      <c r="L95" s="7"/>
      <c r="M95" s="7"/>
      <c r="N95" s="7"/>
      <c r="O95" s="7"/>
      <c r="P95" s="7" t="s">
        <v>490</v>
      </c>
      <c r="Q95" s="7" t="s">
        <v>2240</v>
      </c>
      <c r="R95" s="7" t="s">
        <v>2241</v>
      </c>
      <c r="S95" s="7" t="s">
        <v>572</v>
      </c>
      <c r="T95" s="7" t="s">
        <v>2183</v>
      </c>
      <c r="U95" s="65">
        <v>4325.0</v>
      </c>
    </row>
    <row r="96">
      <c r="A96" s="45">
        <v>45913.11549768518</v>
      </c>
      <c r="B96" s="7" t="s">
        <v>1942</v>
      </c>
      <c r="C96" s="7" t="s">
        <v>2198</v>
      </c>
      <c r="D96" s="7"/>
      <c r="E96" s="64">
        <v>1.0</v>
      </c>
      <c r="F96" s="7"/>
      <c r="G96" s="47">
        <v>24.99</v>
      </c>
      <c r="H96" s="47">
        <v>0.0</v>
      </c>
      <c r="I96" s="47">
        <v>1.02</v>
      </c>
      <c r="J96" s="8">
        <f t="shared" si="1"/>
        <v>23.97</v>
      </c>
      <c r="K96" s="8"/>
      <c r="L96" s="7"/>
      <c r="M96" s="7"/>
      <c r="N96" s="7"/>
      <c r="O96" s="7"/>
      <c r="P96" s="7" t="s">
        <v>490</v>
      </c>
      <c r="Q96" s="7" t="s">
        <v>1943</v>
      </c>
      <c r="R96" s="7"/>
      <c r="S96" s="7" t="s">
        <v>1944</v>
      </c>
      <c r="T96" s="7" t="s">
        <v>493</v>
      </c>
      <c r="U96" s="65">
        <v>4326.0</v>
      </c>
    </row>
    <row r="97">
      <c r="A97" s="45">
        <v>45913.09847222222</v>
      </c>
      <c r="B97" s="7" t="s">
        <v>233</v>
      </c>
      <c r="C97" s="7" t="s">
        <v>2198</v>
      </c>
      <c r="D97" s="7"/>
      <c r="E97" s="64">
        <v>1.0</v>
      </c>
      <c r="F97" s="7"/>
      <c r="G97" s="47">
        <v>24.99</v>
      </c>
      <c r="H97" s="47">
        <v>0.0</v>
      </c>
      <c r="I97" s="47">
        <v>1.02</v>
      </c>
      <c r="J97" s="8">
        <f t="shared" si="1"/>
        <v>23.97</v>
      </c>
      <c r="K97" s="8"/>
      <c r="L97" s="7"/>
      <c r="M97" s="7"/>
      <c r="N97" s="7"/>
      <c r="O97" s="7"/>
      <c r="P97" s="7" t="s">
        <v>490</v>
      </c>
      <c r="Q97" s="7" t="s">
        <v>795</v>
      </c>
      <c r="R97" s="7"/>
      <c r="S97" s="7" t="s">
        <v>796</v>
      </c>
      <c r="T97" s="7" t="s">
        <v>493</v>
      </c>
      <c r="U97" s="65">
        <v>4322.0</v>
      </c>
    </row>
    <row r="98">
      <c r="A98" s="45">
        <v>45913.08974537037</v>
      </c>
      <c r="B98" s="7" t="s">
        <v>279</v>
      </c>
      <c r="C98" s="7" t="s">
        <v>2198</v>
      </c>
      <c r="D98" s="7"/>
      <c r="E98" s="64">
        <v>1.0</v>
      </c>
      <c r="F98" s="7"/>
      <c r="G98" s="47">
        <v>24.99</v>
      </c>
      <c r="H98" s="47">
        <v>0.0</v>
      </c>
      <c r="I98" s="47">
        <v>1.02</v>
      </c>
      <c r="J98" s="8">
        <f t="shared" si="1"/>
        <v>23.97</v>
      </c>
      <c r="K98" s="8"/>
      <c r="L98" s="7"/>
      <c r="M98" s="7"/>
      <c r="N98" s="7"/>
      <c r="O98" s="7"/>
      <c r="P98" s="7" t="s">
        <v>490</v>
      </c>
      <c r="Q98" s="7"/>
      <c r="R98" s="7"/>
      <c r="S98" s="7"/>
      <c r="T98" s="7" t="s">
        <v>493</v>
      </c>
      <c r="U98" s="65">
        <v>4320.0</v>
      </c>
    </row>
    <row r="99">
      <c r="A99" s="45">
        <v>45913.08936342593</v>
      </c>
      <c r="B99" s="7" t="s">
        <v>835</v>
      </c>
      <c r="C99" s="7" t="s">
        <v>2198</v>
      </c>
      <c r="D99" s="7"/>
      <c r="E99" s="64">
        <v>1.0</v>
      </c>
      <c r="F99" s="7"/>
      <c r="G99" s="47">
        <v>34.46</v>
      </c>
      <c r="H99" s="47">
        <v>0.0</v>
      </c>
      <c r="I99" s="47">
        <v>1.3</v>
      </c>
      <c r="J99" s="8">
        <f t="shared" si="1"/>
        <v>33.16</v>
      </c>
      <c r="K99" s="8"/>
      <c r="L99" s="7"/>
      <c r="M99" s="7"/>
      <c r="N99" s="7"/>
      <c r="O99" s="7"/>
      <c r="P99" s="7" t="s">
        <v>490</v>
      </c>
      <c r="Q99" s="7" t="s">
        <v>836</v>
      </c>
      <c r="R99" s="7"/>
      <c r="S99" s="7" t="s">
        <v>837</v>
      </c>
      <c r="T99" s="7" t="s">
        <v>493</v>
      </c>
      <c r="U99" s="65">
        <v>4321.0</v>
      </c>
    </row>
    <row r="100">
      <c r="A100" s="45">
        <v>45913.0783912037</v>
      </c>
      <c r="B100" s="7" t="s">
        <v>105</v>
      </c>
      <c r="C100" s="7" t="s">
        <v>2198</v>
      </c>
      <c r="D100" s="7"/>
      <c r="E100" s="64">
        <v>1.0</v>
      </c>
      <c r="F100" s="7"/>
      <c r="G100" s="47">
        <v>24.99</v>
      </c>
      <c r="H100" s="47">
        <v>0.0</v>
      </c>
      <c r="I100" s="47">
        <v>1.02</v>
      </c>
      <c r="J100" s="8">
        <f t="shared" si="1"/>
        <v>23.97</v>
      </c>
      <c r="K100" s="8"/>
      <c r="L100" s="7"/>
      <c r="M100" s="7"/>
      <c r="N100" s="7"/>
      <c r="O100" s="7"/>
      <c r="P100" s="7" t="s">
        <v>490</v>
      </c>
      <c r="Q100" s="7" t="s">
        <v>612</v>
      </c>
      <c r="R100" s="7"/>
      <c r="S100" s="7" t="s">
        <v>613</v>
      </c>
      <c r="T100" s="7" t="s">
        <v>493</v>
      </c>
      <c r="U100" s="65">
        <v>4319.0</v>
      </c>
    </row>
    <row r="101">
      <c r="A101" s="45">
        <v>45913.07283564815</v>
      </c>
      <c r="B101" s="7" t="s">
        <v>576</v>
      </c>
      <c r="C101" s="7" t="s">
        <v>2217</v>
      </c>
      <c r="D101" s="7"/>
      <c r="E101" s="64">
        <v>2.0</v>
      </c>
      <c r="F101" s="7"/>
      <c r="G101" s="47">
        <v>91.38</v>
      </c>
      <c r="H101" s="47">
        <v>0.0</v>
      </c>
      <c r="I101" s="47">
        <v>4.32</v>
      </c>
      <c r="J101" s="8">
        <f t="shared" si="1"/>
        <v>87.06</v>
      </c>
      <c r="K101" s="8"/>
      <c r="L101" s="7"/>
      <c r="M101" s="7"/>
      <c r="N101" s="7"/>
      <c r="O101" s="7"/>
      <c r="P101" s="7" t="s">
        <v>490</v>
      </c>
      <c r="Q101" s="7" t="s">
        <v>578</v>
      </c>
      <c r="R101" s="7"/>
      <c r="S101" s="7" t="s">
        <v>580</v>
      </c>
      <c r="T101" s="7" t="s">
        <v>581</v>
      </c>
      <c r="U101" s="65">
        <v>4318.0</v>
      </c>
    </row>
    <row r="102">
      <c r="A102" s="45">
        <v>45913.06949074074</v>
      </c>
      <c r="B102" s="7" t="s">
        <v>2108</v>
      </c>
      <c r="C102" s="7" t="s">
        <v>2208</v>
      </c>
      <c r="D102" s="7"/>
      <c r="E102" s="64">
        <v>1.0</v>
      </c>
      <c r="F102" s="64">
        <v>1.0</v>
      </c>
      <c r="G102" s="47">
        <v>124.99</v>
      </c>
      <c r="H102" s="47">
        <v>0.0</v>
      </c>
      <c r="I102" s="47">
        <v>3.92</v>
      </c>
      <c r="J102" s="8">
        <f t="shared" si="1"/>
        <v>121.07</v>
      </c>
      <c r="K102" s="8"/>
      <c r="L102" s="7"/>
      <c r="M102" s="7"/>
      <c r="N102" s="7"/>
      <c r="O102" s="7"/>
      <c r="P102" s="7" t="s">
        <v>490</v>
      </c>
      <c r="Q102" s="7" t="s">
        <v>1990</v>
      </c>
      <c r="R102" s="7"/>
      <c r="S102" s="7" t="s">
        <v>1991</v>
      </c>
      <c r="T102" s="7" t="s">
        <v>493</v>
      </c>
      <c r="U102" s="65">
        <v>4317.0</v>
      </c>
    </row>
    <row r="103">
      <c r="A103" s="45">
        <v>45913.054398148146</v>
      </c>
      <c r="B103" s="7" t="s">
        <v>242</v>
      </c>
      <c r="C103" s="7" t="s">
        <v>2198</v>
      </c>
      <c r="D103" s="7"/>
      <c r="E103" s="64">
        <v>1.0</v>
      </c>
      <c r="F103" s="7"/>
      <c r="G103" s="47">
        <v>24.99</v>
      </c>
      <c r="H103" s="47">
        <v>0.0</v>
      </c>
      <c r="I103" s="47">
        <v>1.4</v>
      </c>
      <c r="J103" s="8">
        <f t="shared" si="1"/>
        <v>23.59</v>
      </c>
      <c r="K103" s="8"/>
      <c r="L103" s="7"/>
      <c r="M103" s="7"/>
      <c r="N103" s="7"/>
      <c r="O103" s="7"/>
      <c r="P103" s="7" t="s">
        <v>490</v>
      </c>
      <c r="Q103" s="7" t="s">
        <v>618</v>
      </c>
      <c r="R103" s="7" t="s">
        <v>619</v>
      </c>
      <c r="S103" s="7" t="s">
        <v>620</v>
      </c>
      <c r="T103" s="7" t="s">
        <v>545</v>
      </c>
      <c r="U103" s="65">
        <v>4316.0</v>
      </c>
    </row>
    <row r="104">
      <c r="A104" s="45">
        <v>45913.04666666667</v>
      </c>
      <c r="B104" s="7" t="s">
        <v>2242</v>
      </c>
      <c r="C104" s="7" t="s">
        <v>2198</v>
      </c>
      <c r="D104" s="7"/>
      <c r="E104" s="64">
        <v>1.0</v>
      </c>
      <c r="F104" s="7"/>
      <c r="G104" s="47">
        <v>24.99</v>
      </c>
      <c r="H104" s="47">
        <v>0.0</v>
      </c>
      <c r="I104" s="47">
        <v>1.4</v>
      </c>
      <c r="J104" s="8">
        <f t="shared" si="1"/>
        <v>23.59</v>
      </c>
      <c r="K104" s="8"/>
      <c r="L104" s="7"/>
      <c r="M104" s="7"/>
      <c r="N104" s="7"/>
      <c r="O104" s="7"/>
      <c r="P104" s="7" t="s">
        <v>490</v>
      </c>
      <c r="Q104" s="7" t="s">
        <v>1491</v>
      </c>
      <c r="R104" s="7" t="s">
        <v>1492</v>
      </c>
      <c r="S104" s="7" t="s">
        <v>1493</v>
      </c>
      <c r="T104" s="7" t="s">
        <v>882</v>
      </c>
      <c r="U104" s="65">
        <v>4312.0</v>
      </c>
    </row>
    <row r="105">
      <c r="A105" s="45">
        <v>45913.03060185185</v>
      </c>
      <c r="B105" s="7" t="s">
        <v>713</v>
      </c>
      <c r="C105" s="7" t="s">
        <v>2217</v>
      </c>
      <c r="D105" s="7"/>
      <c r="E105" s="64">
        <v>2.0</v>
      </c>
      <c r="F105" s="7"/>
      <c r="G105" s="47">
        <v>49.98</v>
      </c>
      <c r="H105" s="47">
        <v>0.0</v>
      </c>
      <c r="I105" s="47">
        <v>2.5</v>
      </c>
      <c r="J105" s="8">
        <f t="shared" si="1"/>
        <v>47.48</v>
      </c>
      <c r="K105" s="8"/>
      <c r="L105" s="7"/>
      <c r="M105" s="7"/>
      <c r="N105" s="7"/>
      <c r="O105" s="7"/>
      <c r="P105" s="7" t="s">
        <v>490</v>
      </c>
      <c r="Q105" s="7" t="s">
        <v>2243</v>
      </c>
      <c r="R105" s="7" t="s">
        <v>2244</v>
      </c>
      <c r="S105" s="7" t="s">
        <v>1599</v>
      </c>
      <c r="T105" s="7" t="s">
        <v>684</v>
      </c>
      <c r="U105" s="65">
        <v>4310.0</v>
      </c>
    </row>
    <row r="106">
      <c r="A106" s="45">
        <v>45913.02199074074</v>
      </c>
      <c r="B106" s="7" t="s">
        <v>1044</v>
      </c>
      <c r="C106" s="7" t="s">
        <v>2208</v>
      </c>
      <c r="D106" s="7"/>
      <c r="E106" s="64">
        <v>1.0</v>
      </c>
      <c r="F106" s="64">
        <v>1.0</v>
      </c>
      <c r="G106" s="47">
        <v>124.99</v>
      </c>
      <c r="H106" s="47">
        <v>0.0</v>
      </c>
      <c r="I106" s="47">
        <v>5.8</v>
      </c>
      <c r="J106" s="8">
        <f t="shared" si="1"/>
        <v>119.19</v>
      </c>
      <c r="K106" s="8"/>
      <c r="L106" s="7"/>
      <c r="M106" s="7"/>
      <c r="N106" s="7"/>
      <c r="O106" s="7"/>
      <c r="P106" s="7" t="s">
        <v>490</v>
      </c>
      <c r="Q106" s="7" t="s">
        <v>1585</v>
      </c>
      <c r="R106" s="7" t="s">
        <v>2136</v>
      </c>
      <c r="S106" s="7" t="s">
        <v>580</v>
      </c>
      <c r="T106" s="7" t="s">
        <v>581</v>
      </c>
      <c r="U106" s="65">
        <v>4307.0</v>
      </c>
    </row>
    <row r="107">
      <c r="A107" s="45">
        <v>45913.01467592592</v>
      </c>
      <c r="B107" s="7" t="s">
        <v>137</v>
      </c>
      <c r="C107" s="7" t="s">
        <v>2208</v>
      </c>
      <c r="D107" s="7"/>
      <c r="E107" s="64">
        <v>1.0</v>
      </c>
      <c r="F107" s="64">
        <v>1.0</v>
      </c>
      <c r="G107" s="47">
        <v>137.56</v>
      </c>
      <c r="H107" s="47">
        <v>0.0</v>
      </c>
      <c r="I107" s="47">
        <v>4.29</v>
      </c>
      <c r="J107" s="8">
        <f t="shared" si="1"/>
        <v>133.27</v>
      </c>
      <c r="K107" s="8"/>
      <c r="L107" s="7"/>
      <c r="M107" s="7"/>
      <c r="N107" s="7"/>
      <c r="O107" s="7"/>
      <c r="P107" s="7" t="s">
        <v>490</v>
      </c>
      <c r="Q107" s="7" t="s">
        <v>1230</v>
      </c>
      <c r="R107" s="7"/>
      <c r="S107" s="7" t="s">
        <v>1231</v>
      </c>
      <c r="T107" s="7" t="s">
        <v>493</v>
      </c>
      <c r="U107" s="65">
        <v>4306.0</v>
      </c>
    </row>
    <row r="108">
      <c r="A108" s="45">
        <v>45912.970289351855</v>
      </c>
      <c r="B108" s="7" t="s">
        <v>369</v>
      </c>
      <c r="C108" s="7" t="s">
        <v>2198</v>
      </c>
      <c r="D108" s="7"/>
      <c r="E108" s="64">
        <v>1.0</v>
      </c>
      <c r="F108" s="7"/>
      <c r="G108" s="47">
        <v>24.99</v>
      </c>
      <c r="H108" s="47">
        <v>0.0</v>
      </c>
      <c r="I108" s="47">
        <v>1.02</v>
      </c>
      <c r="J108" s="8">
        <f t="shared" si="1"/>
        <v>23.97</v>
      </c>
      <c r="K108" s="8"/>
      <c r="L108" s="7"/>
      <c r="M108" s="7"/>
      <c r="N108" s="7"/>
      <c r="O108" s="7"/>
      <c r="P108" s="7" t="s">
        <v>490</v>
      </c>
      <c r="Q108" s="7" t="s">
        <v>845</v>
      </c>
      <c r="R108" s="7"/>
      <c r="S108" s="7" t="s">
        <v>846</v>
      </c>
      <c r="T108" s="7" t="s">
        <v>493</v>
      </c>
      <c r="U108" s="65">
        <v>4303.0</v>
      </c>
    </row>
    <row r="109">
      <c r="A109" s="45">
        <v>45912.96986111111</v>
      </c>
      <c r="B109" s="7" t="s">
        <v>1614</v>
      </c>
      <c r="C109" s="7" t="s">
        <v>2208</v>
      </c>
      <c r="D109" s="7"/>
      <c r="E109" s="64">
        <v>1.0</v>
      </c>
      <c r="F109" s="64">
        <v>1.0</v>
      </c>
      <c r="G109" s="47">
        <v>138.43</v>
      </c>
      <c r="H109" s="47">
        <v>0.0</v>
      </c>
      <c r="I109" s="47">
        <v>4.31</v>
      </c>
      <c r="J109" s="8">
        <f t="shared" si="1"/>
        <v>134.12</v>
      </c>
      <c r="K109" s="8"/>
      <c r="L109" s="7"/>
      <c r="M109" s="7"/>
      <c r="N109" s="7"/>
      <c r="O109" s="7"/>
      <c r="P109" s="7" t="s">
        <v>490</v>
      </c>
      <c r="Q109" s="7" t="s">
        <v>1615</v>
      </c>
      <c r="R109" s="7"/>
      <c r="S109" s="7" t="s">
        <v>1616</v>
      </c>
      <c r="T109" s="7" t="s">
        <v>493</v>
      </c>
      <c r="U109" s="65">
        <v>4302.0</v>
      </c>
    </row>
    <row r="110">
      <c r="A110" s="45">
        <v>45912.94710648148</v>
      </c>
      <c r="B110" s="7" t="s">
        <v>286</v>
      </c>
      <c r="C110" s="7" t="s">
        <v>2198</v>
      </c>
      <c r="D110" s="7"/>
      <c r="E110" s="64">
        <v>1.0</v>
      </c>
      <c r="F110" s="7"/>
      <c r="G110" s="47">
        <v>24.99</v>
      </c>
      <c r="H110" s="47">
        <v>0.0</v>
      </c>
      <c r="I110" s="47">
        <v>1.02</v>
      </c>
      <c r="J110" s="8">
        <f t="shared" si="1"/>
        <v>23.97</v>
      </c>
      <c r="K110" s="8"/>
      <c r="L110" s="7"/>
      <c r="M110" s="7"/>
      <c r="N110" s="7"/>
      <c r="O110" s="7"/>
      <c r="P110" s="7" t="s">
        <v>490</v>
      </c>
      <c r="Q110" s="7" t="s">
        <v>1357</v>
      </c>
      <c r="R110" s="7"/>
      <c r="S110" s="7" t="s">
        <v>1358</v>
      </c>
      <c r="T110" s="7" t="s">
        <v>493</v>
      </c>
      <c r="U110" s="65">
        <v>4300.0</v>
      </c>
    </row>
    <row r="111">
      <c r="A111" s="45">
        <v>45912.94603009259</v>
      </c>
      <c r="B111" s="7" t="s">
        <v>2245</v>
      </c>
      <c r="C111" s="7" t="s">
        <v>2208</v>
      </c>
      <c r="D111" s="7"/>
      <c r="E111" s="64">
        <v>1.0</v>
      </c>
      <c r="F111" s="64">
        <v>1.0</v>
      </c>
      <c r="G111" s="47">
        <v>124.99</v>
      </c>
      <c r="H111" s="47">
        <v>0.0</v>
      </c>
      <c r="I111" s="47">
        <v>5.8</v>
      </c>
      <c r="J111" s="8">
        <f t="shared" si="1"/>
        <v>119.19</v>
      </c>
      <c r="K111" s="8"/>
      <c r="L111" s="7"/>
      <c r="M111" s="7"/>
      <c r="N111" s="7"/>
      <c r="O111" s="7"/>
      <c r="P111" s="7" t="s">
        <v>490</v>
      </c>
      <c r="Q111" s="7" t="s">
        <v>2246</v>
      </c>
      <c r="R111" s="7"/>
      <c r="S111" s="7" t="s">
        <v>2247</v>
      </c>
      <c r="T111" s="7" t="s">
        <v>555</v>
      </c>
      <c r="U111" s="65">
        <v>4299.0</v>
      </c>
    </row>
    <row r="112">
      <c r="A112" s="45">
        <v>45912.942349537036</v>
      </c>
      <c r="B112" s="7" t="s">
        <v>2248</v>
      </c>
      <c r="C112" s="7" t="s">
        <v>2208</v>
      </c>
      <c r="D112" s="7"/>
      <c r="E112" s="64">
        <v>1.0</v>
      </c>
      <c r="F112" s="64">
        <v>1.0</v>
      </c>
      <c r="G112" s="47">
        <v>124.99</v>
      </c>
      <c r="H112" s="47">
        <v>0.0</v>
      </c>
      <c r="I112" s="47">
        <v>3.92</v>
      </c>
      <c r="J112" s="8">
        <f t="shared" si="1"/>
        <v>121.07</v>
      </c>
      <c r="K112" s="8"/>
      <c r="L112" s="7"/>
      <c r="M112" s="7"/>
      <c r="N112" s="7"/>
      <c r="O112" s="7"/>
      <c r="P112" s="7" t="s">
        <v>490</v>
      </c>
      <c r="Q112" s="7" t="s">
        <v>2249</v>
      </c>
      <c r="R112" s="7"/>
      <c r="S112" s="7" t="s">
        <v>572</v>
      </c>
      <c r="T112" s="7" t="s">
        <v>493</v>
      </c>
      <c r="U112" s="65">
        <v>4296.0</v>
      </c>
    </row>
    <row r="113">
      <c r="A113" s="45">
        <v>45912.930393518516</v>
      </c>
      <c r="B113" s="7" t="s">
        <v>883</v>
      </c>
      <c r="C113" s="7" t="s">
        <v>2198</v>
      </c>
      <c r="D113" s="7"/>
      <c r="E113" s="64">
        <v>1.0</v>
      </c>
      <c r="F113" s="7"/>
      <c r="G113" s="47">
        <v>24.99</v>
      </c>
      <c r="H113" s="47">
        <v>0.0</v>
      </c>
      <c r="I113" s="47">
        <v>1.4</v>
      </c>
      <c r="J113" s="8">
        <f t="shared" si="1"/>
        <v>23.59</v>
      </c>
      <c r="K113" s="8"/>
      <c r="L113" s="7"/>
      <c r="M113" s="7"/>
      <c r="N113" s="7"/>
      <c r="O113" s="7"/>
      <c r="P113" s="7" t="s">
        <v>490</v>
      </c>
      <c r="Q113" s="7" t="s">
        <v>884</v>
      </c>
      <c r="R113" s="7" t="s">
        <v>1557</v>
      </c>
      <c r="S113" s="7" t="s">
        <v>886</v>
      </c>
      <c r="T113" s="7" t="s">
        <v>521</v>
      </c>
      <c r="U113" s="65">
        <v>4292.0</v>
      </c>
    </row>
    <row r="114">
      <c r="A114" s="45">
        <v>45912.92145833333</v>
      </c>
      <c r="B114" s="7" t="s">
        <v>347</v>
      </c>
      <c r="C114" s="7" t="s">
        <v>2198</v>
      </c>
      <c r="D114" s="7"/>
      <c r="E114" s="64">
        <v>1.0</v>
      </c>
      <c r="F114" s="7"/>
      <c r="G114" s="47">
        <v>24.99</v>
      </c>
      <c r="H114" s="47">
        <v>0.0</v>
      </c>
      <c r="I114" s="47">
        <v>1.02</v>
      </c>
      <c r="J114" s="8">
        <f t="shared" si="1"/>
        <v>23.97</v>
      </c>
      <c r="K114" s="8"/>
      <c r="L114" s="7"/>
      <c r="M114" s="7"/>
      <c r="N114" s="7"/>
      <c r="O114" s="7"/>
      <c r="P114" s="7" t="s">
        <v>490</v>
      </c>
      <c r="Q114" s="7" t="s">
        <v>933</v>
      </c>
      <c r="R114" s="7"/>
      <c r="S114" s="7" t="s">
        <v>934</v>
      </c>
      <c r="T114" s="7" t="s">
        <v>493</v>
      </c>
      <c r="U114" s="65">
        <v>4291.0</v>
      </c>
    </row>
    <row r="115">
      <c r="A115" s="45">
        <v>45912.91769675926</v>
      </c>
      <c r="B115" s="7" t="s">
        <v>140</v>
      </c>
      <c r="C115" s="7" t="s">
        <v>2198</v>
      </c>
      <c r="D115" s="7"/>
      <c r="E115" s="64">
        <v>1.0</v>
      </c>
      <c r="F115" s="7"/>
      <c r="G115" s="47">
        <v>24.99</v>
      </c>
      <c r="H115" s="47">
        <v>0.0</v>
      </c>
      <c r="I115" s="47">
        <v>1.02</v>
      </c>
      <c r="J115" s="8">
        <f t="shared" si="1"/>
        <v>23.97</v>
      </c>
      <c r="K115" s="8"/>
      <c r="L115" s="7"/>
      <c r="M115" s="7"/>
      <c r="N115" s="7"/>
      <c r="O115" s="7"/>
      <c r="P115" s="7" t="s">
        <v>490</v>
      </c>
      <c r="Q115" s="7" t="s">
        <v>1006</v>
      </c>
      <c r="R115" s="7"/>
      <c r="S115" s="7" t="s">
        <v>1007</v>
      </c>
      <c r="T115" s="7" t="s">
        <v>493</v>
      </c>
      <c r="U115" s="65">
        <v>4289.0</v>
      </c>
    </row>
    <row r="116">
      <c r="A116" s="45">
        <v>45912.91269675926</v>
      </c>
      <c r="B116" s="7" t="s">
        <v>377</v>
      </c>
      <c r="C116" s="7" t="s">
        <v>2198</v>
      </c>
      <c r="D116" s="7"/>
      <c r="E116" s="64">
        <v>1.0</v>
      </c>
      <c r="F116" s="7"/>
      <c r="G116" s="47">
        <v>24.99</v>
      </c>
      <c r="H116" s="47">
        <v>0.0</v>
      </c>
      <c r="I116" s="47">
        <v>1.02</v>
      </c>
      <c r="J116" s="8">
        <f t="shared" si="1"/>
        <v>23.97</v>
      </c>
      <c r="K116" s="8"/>
      <c r="L116" s="7"/>
      <c r="M116" s="7"/>
      <c r="N116" s="7"/>
      <c r="O116" s="7"/>
      <c r="P116" s="7" t="s">
        <v>490</v>
      </c>
      <c r="Q116" s="7"/>
      <c r="R116" s="7"/>
      <c r="S116" s="7"/>
      <c r="T116" s="7" t="s">
        <v>493</v>
      </c>
      <c r="U116" s="65">
        <v>4287.0</v>
      </c>
    </row>
    <row r="117">
      <c r="A117" s="45">
        <v>45912.88517361111</v>
      </c>
      <c r="B117" s="7" t="s">
        <v>375</v>
      </c>
      <c r="C117" s="7" t="s">
        <v>2198</v>
      </c>
      <c r="D117" s="7"/>
      <c r="E117" s="64">
        <v>1.0</v>
      </c>
      <c r="F117" s="7"/>
      <c r="G117" s="47">
        <v>24.99</v>
      </c>
      <c r="H117" s="47">
        <v>0.0</v>
      </c>
      <c r="I117" s="47">
        <v>1.02</v>
      </c>
      <c r="J117" s="8">
        <f t="shared" si="1"/>
        <v>23.97</v>
      </c>
      <c r="K117" s="8"/>
      <c r="L117" s="7"/>
      <c r="M117" s="7"/>
      <c r="N117" s="7"/>
      <c r="O117" s="7"/>
      <c r="P117" s="7" t="s">
        <v>490</v>
      </c>
      <c r="Q117" s="65">
        <v>1215.0</v>
      </c>
      <c r="R117" s="7" t="s">
        <v>1536</v>
      </c>
      <c r="S117" s="7" t="s">
        <v>794</v>
      </c>
      <c r="T117" s="7" t="s">
        <v>493</v>
      </c>
      <c r="U117" s="65">
        <v>4284.0</v>
      </c>
    </row>
    <row r="118">
      <c r="A118" s="45">
        <v>45912.86827546296</v>
      </c>
      <c r="B118" s="7" t="s">
        <v>1531</v>
      </c>
      <c r="C118" s="7" t="s">
        <v>2198</v>
      </c>
      <c r="D118" s="7"/>
      <c r="E118" s="64">
        <v>1.0</v>
      </c>
      <c r="F118" s="7"/>
      <c r="G118" s="47">
        <v>24.99</v>
      </c>
      <c r="H118" s="47">
        <v>0.0</v>
      </c>
      <c r="I118" s="47">
        <v>1.02</v>
      </c>
      <c r="J118" s="8">
        <f t="shared" si="1"/>
        <v>23.97</v>
      </c>
      <c r="K118" s="8"/>
      <c r="L118" s="7"/>
      <c r="M118" s="7"/>
      <c r="N118" s="7"/>
      <c r="O118" s="7"/>
      <c r="P118" s="7" t="s">
        <v>490</v>
      </c>
      <c r="Q118" s="7" t="s">
        <v>1915</v>
      </c>
      <c r="R118" s="7"/>
      <c r="S118" s="7" t="s">
        <v>926</v>
      </c>
      <c r="T118" s="7" t="s">
        <v>493</v>
      </c>
      <c r="U118" s="65">
        <v>4282.0</v>
      </c>
    </row>
    <row r="119">
      <c r="A119" s="45">
        <v>45912.86790509259</v>
      </c>
      <c r="B119" s="7" t="s">
        <v>860</v>
      </c>
      <c r="C119" s="7" t="s">
        <v>2198</v>
      </c>
      <c r="D119" s="7"/>
      <c r="E119" s="64">
        <v>1.0</v>
      </c>
      <c r="F119" s="7"/>
      <c r="G119" s="47">
        <v>24.99</v>
      </c>
      <c r="H119" s="47">
        <v>0.0</v>
      </c>
      <c r="I119" s="47">
        <v>1.02</v>
      </c>
      <c r="J119" s="8">
        <f t="shared" si="1"/>
        <v>23.97</v>
      </c>
      <c r="K119" s="8"/>
      <c r="L119" s="7"/>
      <c r="M119" s="7"/>
      <c r="N119" s="7"/>
      <c r="O119" s="7"/>
      <c r="P119" s="7" t="s">
        <v>490</v>
      </c>
      <c r="Q119" s="7" t="s">
        <v>861</v>
      </c>
      <c r="R119" s="7"/>
      <c r="S119" s="7" t="s">
        <v>862</v>
      </c>
      <c r="T119" s="7" t="s">
        <v>493</v>
      </c>
      <c r="U119" s="65">
        <v>4281.0</v>
      </c>
    </row>
    <row r="120">
      <c r="A120" s="45">
        <v>45912.867060185185</v>
      </c>
      <c r="B120" s="7" t="s">
        <v>1159</v>
      </c>
      <c r="C120" s="7" t="s">
        <v>2208</v>
      </c>
      <c r="D120" s="7"/>
      <c r="E120" s="64">
        <v>1.0</v>
      </c>
      <c r="F120" s="64">
        <v>1.0</v>
      </c>
      <c r="G120" s="47">
        <v>124.99</v>
      </c>
      <c r="H120" s="47">
        <v>0.0</v>
      </c>
      <c r="I120" s="47">
        <v>5.8</v>
      </c>
      <c r="J120" s="8">
        <f t="shared" si="1"/>
        <v>119.19</v>
      </c>
      <c r="K120" s="8"/>
      <c r="L120" s="7"/>
      <c r="M120" s="7"/>
      <c r="N120" s="7"/>
      <c r="O120" s="7"/>
      <c r="P120" s="7" t="s">
        <v>490</v>
      </c>
      <c r="Q120" s="7" t="s">
        <v>1160</v>
      </c>
      <c r="R120" s="7"/>
      <c r="S120" s="7" t="s">
        <v>1161</v>
      </c>
      <c r="T120" s="7" t="s">
        <v>939</v>
      </c>
      <c r="U120" s="65">
        <v>4280.0</v>
      </c>
    </row>
    <row r="121">
      <c r="A121" s="45">
        <v>45912.861608796295</v>
      </c>
      <c r="B121" s="7" t="s">
        <v>1663</v>
      </c>
      <c r="C121" s="7" t="s">
        <v>2198</v>
      </c>
      <c r="D121" s="7"/>
      <c r="E121" s="64">
        <v>1.0</v>
      </c>
      <c r="F121" s="7"/>
      <c r="G121" s="47">
        <v>24.99</v>
      </c>
      <c r="H121" s="47">
        <v>0.0</v>
      </c>
      <c r="I121" s="47">
        <v>1.4</v>
      </c>
      <c r="J121" s="8">
        <f t="shared" si="1"/>
        <v>23.59</v>
      </c>
      <c r="K121" s="8"/>
      <c r="L121" s="7"/>
      <c r="M121" s="7"/>
      <c r="N121" s="7"/>
      <c r="O121" s="7"/>
      <c r="P121" s="7" t="s">
        <v>490</v>
      </c>
      <c r="Q121" s="7" t="s">
        <v>1322</v>
      </c>
      <c r="R121" s="7"/>
      <c r="S121" s="7" t="s">
        <v>1664</v>
      </c>
      <c r="T121" s="7" t="s">
        <v>542</v>
      </c>
      <c r="U121" s="65">
        <v>4279.0</v>
      </c>
    </row>
    <row r="122">
      <c r="A122" s="45">
        <v>45912.86037037037</v>
      </c>
      <c r="B122" s="7" t="s">
        <v>1177</v>
      </c>
      <c r="C122" s="7" t="s">
        <v>2198</v>
      </c>
      <c r="D122" s="7"/>
      <c r="E122" s="64">
        <v>1.0</v>
      </c>
      <c r="F122" s="7"/>
      <c r="G122" s="47">
        <v>24.99</v>
      </c>
      <c r="H122" s="47">
        <v>0.0</v>
      </c>
      <c r="I122" s="47">
        <v>1.02</v>
      </c>
      <c r="J122" s="8">
        <f t="shared" si="1"/>
        <v>23.97</v>
      </c>
      <c r="K122" s="8"/>
      <c r="L122" s="7"/>
      <c r="M122" s="7"/>
      <c r="N122" s="7"/>
      <c r="O122" s="7"/>
      <c r="P122" s="7" t="s">
        <v>490</v>
      </c>
      <c r="Q122" s="7" t="s">
        <v>1178</v>
      </c>
      <c r="R122" s="7"/>
      <c r="S122" s="7" t="s">
        <v>1179</v>
      </c>
      <c r="T122" s="7" t="s">
        <v>493</v>
      </c>
      <c r="U122" s="65">
        <v>4277.0</v>
      </c>
    </row>
    <row r="123">
      <c r="A123" s="45">
        <v>45912.85418981482</v>
      </c>
      <c r="B123" s="7" t="s">
        <v>2250</v>
      </c>
      <c r="C123" s="7" t="s">
        <v>2208</v>
      </c>
      <c r="D123" s="7"/>
      <c r="E123" s="64">
        <v>1.0</v>
      </c>
      <c r="F123" s="64">
        <v>1.0</v>
      </c>
      <c r="G123" s="47">
        <v>124.99</v>
      </c>
      <c r="H123" s="47">
        <v>0.0</v>
      </c>
      <c r="I123" s="47">
        <v>5.8</v>
      </c>
      <c r="J123" s="8">
        <f t="shared" si="1"/>
        <v>119.19</v>
      </c>
      <c r="K123" s="8"/>
      <c r="L123" s="7"/>
      <c r="M123" s="7"/>
      <c r="N123" s="7"/>
      <c r="O123" s="7"/>
      <c r="P123" s="7" t="s">
        <v>490</v>
      </c>
      <c r="Q123" s="7" t="s">
        <v>2251</v>
      </c>
      <c r="R123" s="7"/>
      <c r="S123" s="7" t="s">
        <v>572</v>
      </c>
      <c r="T123" s="7" t="s">
        <v>1941</v>
      </c>
      <c r="U123" s="65">
        <v>4275.0</v>
      </c>
    </row>
    <row r="124">
      <c r="A124" s="45">
        <v>45912.853159722225</v>
      </c>
      <c r="B124" s="7" t="s">
        <v>2252</v>
      </c>
      <c r="C124" s="7" t="s">
        <v>2208</v>
      </c>
      <c r="D124" s="7"/>
      <c r="E124" s="64">
        <v>1.0</v>
      </c>
      <c r="F124" s="64">
        <v>1.0</v>
      </c>
      <c r="G124" s="47">
        <v>124.99</v>
      </c>
      <c r="H124" s="47">
        <v>0.0</v>
      </c>
      <c r="I124" s="47">
        <v>5.8</v>
      </c>
      <c r="J124" s="8">
        <f t="shared" si="1"/>
        <v>119.19</v>
      </c>
      <c r="K124" s="8"/>
      <c r="L124" s="7"/>
      <c r="M124" s="7"/>
      <c r="N124" s="7"/>
      <c r="O124" s="7"/>
      <c r="P124" s="7" t="s">
        <v>490</v>
      </c>
      <c r="Q124" s="7" t="s">
        <v>2253</v>
      </c>
      <c r="R124" s="7" t="s">
        <v>2254</v>
      </c>
      <c r="S124" s="7" t="s">
        <v>509</v>
      </c>
      <c r="T124" s="7" t="s">
        <v>510</v>
      </c>
      <c r="U124" s="65">
        <v>4274.0</v>
      </c>
    </row>
    <row r="125">
      <c r="A125" s="45">
        <v>45912.843356481484</v>
      </c>
      <c r="B125" s="7" t="s">
        <v>688</v>
      </c>
      <c r="C125" s="7" t="s">
        <v>2198</v>
      </c>
      <c r="D125" s="7"/>
      <c r="E125" s="64">
        <v>1.0</v>
      </c>
      <c r="F125" s="7"/>
      <c r="G125" s="47">
        <v>27.43</v>
      </c>
      <c r="H125" s="47">
        <v>0.0</v>
      </c>
      <c r="I125" s="47">
        <v>1.1</v>
      </c>
      <c r="J125" s="8">
        <f t="shared" si="1"/>
        <v>26.33</v>
      </c>
      <c r="K125" s="8"/>
      <c r="L125" s="7"/>
      <c r="M125" s="7"/>
      <c r="N125" s="7"/>
      <c r="O125" s="7"/>
      <c r="P125" s="7" t="s">
        <v>490</v>
      </c>
      <c r="Q125" s="7" t="s">
        <v>689</v>
      </c>
      <c r="R125" s="7" t="s">
        <v>689</v>
      </c>
      <c r="S125" s="7" t="s">
        <v>1992</v>
      </c>
      <c r="T125" s="7" t="s">
        <v>493</v>
      </c>
      <c r="U125" s="65">
        <v>4269.0</v>
      </c>
    </row>
    <row r="126">
      <c r="A126" s="45">
        <v>45912.84197916667</v>
      </c>
      <c r="B126" s="7" t="s">
        <v>956</v>
      </c>
      <c r="C126" s="7" t="s">
        <v>2198</v>
      </c>
      <c r="D126" s="7"/>
      <c r="E126" s="64">
        <v>1.0</v>
      </c>
      <c r="F126" s="7"/>
      <c r="G126" s="47">
        <v>24.99</v>
      </c>
      <c r="H126" s="47">
        <v>0.0</v>
      </c>
      <c r="I126" s="47">
        <v>1.02</v>
      </c>
      <c r="J126" s="8">
        <f t="shared" si="1"/>
        <v>23.97</v>
      </c>
      <c r="K126" s="8"/>
      <c r="L126" s="7"/>
      <c r="M126" s="7"/>
      <c r="N126" s="7"/>
      <c r="O126" s="7"/>
      <c r="P126" s="7" t="s">
        <v>490</v>
      </c>
      <c r="Q126" s="7" t="s">
        <v>1691</v>
      </c>
      <c r="R126" s="7"/>
      <c r="S126" s="7" t="s">
        <v>958</v>
      </c>
      <c r="T126" s="7" t="s">
        <v>493</v>
      </c>
      <c r="U126" s="65">
        <v>4266.0</v>
      </c>
    </row>
    <row r="127">
      <c r="A127" s="45">
        <v>45912.83903935185</v>
      </c>
      <c r="B127" s="7" t="s">
        <v>2147</v>
      </c>
      <c r="C127" s="7" t="s">
        <v>2198</v>
      </c>
      <c r="D127" s="7"/>
      <c r="E127" s="64">
        <v>1.0</v>
      </c>
      <c r="F127" s="7"/>
      <c r="G127" s="47">
        <v>24.99</v>
      </c>
      <c r="H127" s="47">
        <v>0.0</v>
      </c>
      <c r="I127" s="47">
        <v>1.02</v>
      </c>
      <c r="J127" s="8">
        <f t="shared" si="1"/>
        <v>23.97</v>
      </c>
      <c r="K127" s="8"/>
      <c r="L127" s="7"/>
      <c r="M127" s="7"/>
      <c r="N127" s="7"/>
      <c r="O127" s="7"/>
      <c r="P127" s="7" t="s">
        <v>490</v>
      </c>
      <c r="Q127" s="7" t="s">
        <v>1517</v>
      </c>
      <c r="R127" s="7" t="s">
        <v>1518</v>
      </c>
      <c r="S127" s="7" t="s">
        <v>1519</v>
      </c>
      <c r="T127" s="7" t="s">
        <v>493</v>
      </c>
      <c r="U127" s="65">
        <v>4263.0</v>
      </c>
    </row>
    <row r="128">
      <c r="A128" s="45">
        <v>45912.838171296295</v>
      </c>
      <c r="B128" s="7" t="s">
        <v>1750</v>
      </c>
      <c r="C128" s="7" t="s">
        <v>2198</v>
      </c>
      <c r="D128" s="7"/>
      <c r="E128" s="64">
        <v>1.0</v>
      </c>
      <c r="F128" s="7"/>
      <c r="G128" s="47">
        <v>26.8</v>
      </c>
      <c r="H128" s="47">
        <v>0.0</v>
      </c>
      <c r="I128" s="47">
        <v>1.08</v>
      </c>
      <c r="J128" s="8">
        <f t="shared" si="1"/>
        <v>25.72</v>
      </c>
      <c r="K128" s="8"/>
      <c r="L128" s="7"/>
      <c r="M128" s="7"/>
      <c r="N128" s="7"/>
      <c r="O128" s="7"/>
      <c r="P128" s="7" t="s">
        <v>490</v>
      </c>
      <c r="Q128" s="7" t="s">
        <v>1751</v>
      </c>
      <c r="R128" s="7"/>
      <c r="S128" s="7" t="s">
        <v>1752</v>
      </c>
      <c r="T128" s="7" t="s">
        <v>493</v>
      </c>
      <c r="U128" s="65">
        <v>4265.0</v>
      </c>
    </row>
    <row r="129">
      <c r="A129" s="45">
        <v>45912.83677083333</v>
      </c>
      <c r="B129" s="7" t="s">
        <v>2255</v>
      </c>
      <c r="C129" s="7" t="s">
        <v>2198</v>
      </c>
      <c r="D129" s="7"/>
      <c r="E129" s="64">
        <v>1.0</v>
      </c>
      <c r="F129" s="7"/>
      <c r="G129" s="47">
        <v>24.99</v>
      </c>
      <c r="H129" s="47">
        <v>0.0</v>
      </c>
      <c r="I129" s="47">
        <v>1.4</v>
      </c>
      <c r="J129" s="8">
        <f t="shared" si="1"/>
        <v>23.59</v>
      </c>
      <c r="K129" s="8"/>
      <c r="L129" s="7"/>
      <c r="M129" s="7"/>
      <c r="N129" s="7"/>
      <c r="O129" s="7"/>
      <c r="P129" s="7" t="s">
        <v>490</v>
      </c>
      <c r="Q129" s="7" t="s">
        <v>1982</v>
      </c>
      <c r="R129" s="7"/>
      <c r="S129" s="7" t="s">
        <v>2123</v>
      </c>
      <c r="T129" s="7" t="s">
        <v>1420</v>
      </c>
      <c r="U129" s="65">
        <v>4262.0</v>
      </c>
    </row>
    <row r="130">
      <c r="A130" s="45">
        <v>45912.8362037037</v>
      </c>
      <c r="B130" s="7" t="s">
        <v>2161</v>
      </c>
      <c r="C130" s="7" t="s">
        <v>2208</v>
      </c>
      <c r="D130" s="7"/>
      <c r="E130" s="64">
        <v>1.0</v>
      </c>
      <c r="F130" s="64">
        <v>1.0</v>
      </c>
      <c r="G130" s="47">
        <v>124.99</v>
      </c>
      <c r="H130" s="47">
        <v>0.0</v>
      </c>
      <c r="I130" s="47">
        <v>3.92</v>
      </c>
      <c r="J130" s="8">
        <f t="shared" si="1"/>
        <v>121.07</v>
      </c>
      <c r="K130" s="8"/>
      <c r="L130" s="7"/>
      <c r="M130" s="7"/>
      <c r="N130" s="7"/>
      <c r="O130" s="7"/>
      <c r="P130" s="7" t="s">
        <v>490</v>
      </c>
      <c r="Q130" s="7" t="s">
        <v>1931</v>
      </c>
      <c r="R130" s="7"/>
      <c r="S130" s="7" t="s">
        <v>1932</v>
      </c>
      <c r="T130" s="7" t="s">
        <v>493</v>
      </c>
      <c r="U130" s="65">
        <v>4261.0</v>
      </c>
    </row>
    <row r="131">
      <c r="A131" s="45">
        <v>45912.83268518518</v>
      </c>
      <c r="B131" s="7" t="s">
        <v>663</v>
      </c>
      <c r="C131" s="7" t="s">
        <v>2198</v>
      </c>
      <c r="D131" s="7"/>
      <c r="E131" s="64">
        <v>1.0</v>
      </c>
      <c r="F131" s="7"/>
      <c r="G131" s="47">
        <v>24.99</v>
      </c>
      <c r="H131" s="47">
        <v>0.0</v>
      </c>
      <c r="I131" s="47">
        <v>1.4</v>
      </c>
      <c r="J131" s="8">
        <f t="shared" si="1"/>
        <v>23.59</v>
      </c>
      <c r="K131" s="8"/>
      <c r="L131" s="7"/>
      <c r="M131" s="7"/>
      <c r="N131" s="7"/>
      <c r="O131" s="7"/>
      <c r="P131" s="7" t="s">
        <v>490</v>
      </c>
      <c r="Q131" s="7" t="s">
        <v>664</v>
      </c>
      <c r="R131" s="7"/>
      <c r="S131" s="7" t="s">
        <v>666</v>
      </c>
      <c r="T131" s="7" t="s">
        <v>617</v>
      </c>
      <c r="U131" s="65">
        <v>4260.0</v>
      </c>
    </row>
    <row r="132">
      <c r="A132" s="45">
        <v>45912.83222222222</v>
      </c>
      <c r="B132" s="7" t="s">
        <v>354</v>
      </c>
      <c r="C132" s="7" t="s">
        <v>2198</v>
      </c>
      <c r="D132" s="7"/>
      <c r="E132" s="64">
        <v>1.0</v>
      </c>
      <c r="F132" s="7"/>
      <c r="G132" s="47">
        <v>24.99</v>
      </c>
      <c r="H132" s="47">
        <v>0.0</v>
      </c>
      <c r="I132" s="47">
        <v>1.4</v>
      </c>
      <c r="J132" s="8">
        <f t="shared" si="1"/>
        <v>23.59</v>
      </c>
      <c r="K132" s="8"/>
      <c r="L132" s="7"/>
      <c r="M132" s="7"/>
      <c r="N132" s="7"/>
      <c r="O132" s="7"/>
      <c r="P132" s="7" t="s">
        <v>490</v>
      </c>
      <c r="Q132" s="7" t="s">
        <v>1660</v>
      </c>
      <c r="R132" s="7"/>
      <c r="S132" s="7" t="s">
        <v>1661</v>
      </c>
      <c r="T132" s="7" t="s">
        <v>521</v>
      </c>
      <c r="U132" s="65">
        <v>4259.0</v>
      </c>
    </row>
    <row r="133">
      <c r="A133" s="45">
        <v>45912.829421296294</v>
      </c>
      <c r="B133" s="7" t="s">
        <v>1327</v>
      </c>
      <c r="C133" s="7" t="s">
        <v>2198</v>
      </c>
      <c r="D133" s="7"/>
      <c r="E133" s="64">
        <v>1.0</v>
      </c>
      <c r="F133" s="7"/>
      <c r="G133" s="47">
        <v>24.99</v>
      </c>
      <c r="H133" s="47">
        <v>0.0</v>
      </c>
      <c r="I133" s="47">
        <v>1.4</v>
      </c>
      <c r="J133" s="8">
        <f t="shared" si="1"/>
        <v>23.59</v>
      </c>
      <c r="K133" s="8"/>
      <c r="L133" s="7"/>
      <c r="M133" s="7"/>
      <c r="N133" s="7"/>
      <c r="O133" s="7"/>
      <c r="P133" s="7" t="s">
        <v>490</v>
      </c>
      <c r="Q133" s="7" t="s">
        <v>1328</v>
      </c>
      <c r="R133" s="7"/>
      <c r="S133" s="7" t="s">
        <v>1330</v>
      </c>
      <c r="T133" s="7" t="s">
        <v>555</v>
      </c>
      <c r="U133" s="65">
        <v>4257.0</v>
      </c>
    </row>
    <row r="134">
      <c r="A134" s="45">
        <v>45912.82641203704</v>
      </c>
      <c r="B134" s="7" t="s">
        <v>921</v>
      </c>
      <c r="C134" s="7" t="s">
        <v>2198</v>
      </c>
      <c r="D134" s="7"/>
      <c r="E134" s="64">
        <v>1.0</v>
      </c>
      <c r="F134" s="7"/>
      <c r="G134" s="47">
        <v>24.99</v>
      </c>
      <c r="H134" s="47">
        <v>0.0</v>
      </c>
      <c r="I134" s="47">
        <v>1.02</v>
      </c>
      <c r="J134" s="8">
        <f t="shared" si="1"/>
        <v>23.97</v>
      </c>
      <c r="K134" s="8"/>
      <c r="L134" s="7"/>
      <c r="M134" s="7"/>
      <c r="N134" s="7"/>
      <c r="O134" s="7"/>
      <c r="P134" s="7" t="s">
        <v>490</v>
      </c>
      <c r="Q134" s="7" t="s">
        <v>922</v>
      </c>
      <c r="R134" s="7"/>
      <c r="S134" s="7" t="s">
        <v>923</v>
      </c>
      <c r="T134" s="7" t="s">
        <v>493</v>
      </c>
      <c r="U134" s="65">
        <v>4256.0</v>
      </c>
    </row>
    <row r="135">
      <c r="A135" s="45">
        <v>45912.82435185185</v>
      </c>
      <c r="B135" s="7" t="s">
        <v>2256</v>
      </c>
      <c r="C135" s="7" t="s">
        <v>2208</v>
      </c>
      <c r="D135" s="7"/>
      <c r="E135" s="64">
        <v>1.0</v>
      </c>
      <c r="F135" s="64">
        <v>1.0</v>
      </c>
      <c r="G135" s="47">
        <v>124.99</v>
      </c>
      <c r="H135" s="47">
        <v>0.0</v>
      </c>
      <c r="I135" s="47">
        <v>5.8</v>
      </c>
      <c r="J135" s="8">
        <f t="shared" si="1"/>
        <v>119.19</v>
      </c>
      <c r="K135" s="8"/>
      <c r="L135" s="7"/>
      <c r="M135" s="7"/>
      <c r="N135" s="7"/>
      <c r="O135" s="7"/>
      <c r="P135" s="7" t="s">
        <v>490</v>
      </c>
      <c r="Q135" s="7" t="s">
        <v>1276</v>
      </c>
      <c r="R135" s="7"/>
      <c r="S135" s="7" t="s">
        <v>1277</v>
      </c>
      <c r="T135" s="7" t="s">
        <v>51</v>
      </c>
      <c r="U135" s="65">
        <v>4255.0</v>
      </c>
    </row>
    <row r="136">
      <c r="A136" s="45">
        <v>45912.81796296296</v>
      </c>
      <c r="B136" s="7" t="s">
        <v>717</v>
      </c>
      <c r="C136" s="7" t="s">
        <v>2198</v>
      </c>
      <c r="D136" s="7"/>
      <c r="E136" s="64">
        <v>1.0</v>
      </c>
      <c r="F136" s="7"/>
      <c r="G136" s="47">
        <v>24.99</v>
      </c>
      <c r="H136" s="47">
        <v>0.0</v>
      </c>
      <c r="I136" s="47">
        <v>1.02</v>
      </c>
      <c r="J136" s="8">
        <f t="shared" si="1"/>
        <v>23.97</v>
      </c>
      <c r="K136" s="8"/>
      <c r="L136" s="7"/>
      <c r="M136" s="7"/>
      <c r="N136" s="7"/>
      <c r="O136" s="7"/>
      <c r="P136" s="7" t="s">
        <v>490</v>
      </c>
      <c r="Q136" s="7" t="s">
        <v>718</v>
      </c>
      <c r="R136" s="7"/>
      <c r="S136" s="7" t="s">
        <v>719</v>
      </c>
      <c r="T136" s="7" t="s">
        <v>493</v>
      </c>
      <c r="U136" s="65">
        <v>4254.0</v>
      </c>
    </row>
    <row r="137">
      <c r="A137" s="45">
        <v>45912.81736111111</v>
      </c>
      <c r="B137" s="7" t="s">
        <v>356</v>
      </c>
      <c r="C137" s="7" t="s">
        <v>2198</v>
      </c>
      <c r="D137" s="7"/>
      <c r="E137" s="64">
        <v>1.0</v>
      </c>
      <c r="F137" s="7"/>
      <c r="G137" s="47">
        <v>24.99</v>
      </c>
      <c r="H137" s="47">
        <v>0.0</v>
      </c>
      <c r="I137" s="47">
        <v>1.4</v>
      </c>
      <c r="J137" s="8">
        <f t="shared" si="1"/>
        <v>23.59</v>
      </c>
      <c r="K137" s="8"/>
      <c r="L137" s="7"/>
      <c r="M137" s="7"/>
      <c r="N137" s="7"/>
      <c r="O137" s="7"/>
      <c r="P137" s="7" t="s">
        <v>490</v>
      </c>
      <c r="Q137" s="7" t="s">
        <v>797</v>
      </c>
      <c r="R137" s="7"/>
      <c r="S137" s="7" t="s">
        <v>798</v>
      </c>
      <c r="T137" s="7" t="s">
        <v>525</v>
      </c>
      <c r="U137" s="65">
        <v>4253.0</v>
      </c>
    </row>
    <row r="138">
      <c r="A138" s="45">
        <v>45912.817025462966</v>
      </c>
      <c r="B138" s="7" t="s">
        <v>323</v>
      </c>
      <c r="C138" s="7" t="s">
        <v>2198</v>
      </c>
      <c r="D138" s="7"/>
      <c r="E138" s="64">
        <v>1.0</v>
      </c>
      <c r="F138" s="7"/>
      <c r="G138" s="47">
        <v>24.99</v>
      </c>
      <c r="H138" s="47">
        <v>0.0</v>
      </c>
      <c r="I138" s="47">
        <v>1.4</v>
      </c>
      <c r="J138" s="8">
        <f t="shared" si="1"/>
        <v>23.59</v>
      </c>
      <c r="K138" s="8"/>
      <c r="L138" s="7"/>
      <c r="M138" s="7"/>
      <c r="N138" s="7"/>
      <c r="O138" s="7"/>
      <c r="P138" s="7" t="s">
        <v>490</v>
      </c>
      <c r="Q138" s="7"/>
      <c r="R138" s="7"/>
      <c r="S138" s="7"/>
      <c r="T138" s="7" t="s">
        <v>726</v>
      </c>
      <c r="U138" s="65">
        <v>4251.0</v>
      </c>
    </row>
    <row r="139">
      <c r="A139" s="45">
        <v>45912.81699074074</v>
      </c>
      <c r="B139" s="7" t="s">
        <v>217</v>
      </c>
      <c r="C139" s="7" t="s">
        <v>2198</v>
      </c>
      <c r="D139" s="7"/>
      <c r="E139" s="64">
        <v>1.0</v>
      </c>
      <c r="F139" s="7"/>
      <c r="G139" s="47">
        <v>24.99</v>
      </c>
      <c r="H139" s="47">
        <v>0.0</v>
      </c>
      <c r="I139" s="47">
        <v>1.4</v>
      </c>
      <c r="J139" s="8">
        <f t="shared" si="1"/>
        <v>23.59</v>
      </c>
      <c r="K139" s="8"/>
      <c r="L139" s="7"/>
      <c r="M139" s="7"/>
      <c r="N139" s="7"/>
      <c r="O139" s="7"/>
      <c r="P139" s="7" t="s">
        <v>490</v>
      </c>
      <c r="Q139" s="7" t="s">
        <v>1148</v>
      </c>
      <c r="R139" s="7"/>
      <c r="S139" s="7" t="s">
        <v>1150</v>
      </c>
      <c r="T139" s="7" t="s">
        <v>555</v>
      </c>
      <c r="U139" s="65">
        <v>4250.0</v>
      </c>
    </row>
    <row r="140">
      <c r="A140" s="45">
        <v>45912.81668981481</v>
      </c>
      <c r="B140" s="7" t="s">
        <v>1628</v>
      </c>
      <c r="C140" s="7" t="s">
        <v>2198</v>
      </c>
      <c r="D140" s="7"/>
      <c r="E140" s="64">
        <v>1.0</v>
      </c>
      <c r="F140" s="7"/>
      <c r="G140" s="47">
        <v>24.99</v>
      </c>
      <c r="H140" s="47">
        <v>0.0</v>
      </c>
      <c r="I140" s="47">
        <v>1.4</v>
      </c>
      <c r="J140" s="8">
        <f t="shared" si="1"/>
        <v>23.59</v>
      </c>
      <c r="K140" s="8"/>
      <c r="L140" s="7"/>
      <c r="M140" s="7"/>
      <c r="N140" s="7"/>
      <c r="O140" s="7"/>
      <c r="P140" s="7" t="s">
        <v>490</v>
      </c>
      <c r="Q140" s="7" t="s">
        <v>1629</v>
      </c>
      <c r="R140" s="7" t="s">
        <v>606</v>
      </c>
      <c r="S140" s="7" t="s">
        <v>607</v>
      </c>
      <c r="T140" s="7" t="s">
        <v>542</v>
      </c>
      <c r="U140" s="65">
        <v>4252.0</v>
      </c>
    </row>
    <row r="141">
      <c r="A141" s="45">
        <v>45912.81122685185</v>
      </c>
      <c r="B141" s="7" t="s">
        <v>335</v>
      </c>
      <c r="C141" s="7" t="s">
        <v>2198</v>
      </c>
      <c r="D141" s="7"/>
      <c r="E141" s="64">
        <v>1.0</v>
      </c>
      <c r="F141" s="7"/>
      <c r="G141" s="47">
        <v>24.99</v>
      </c>
      <c r="H141" s="47">
        <v>0.0</v>
      </c>
      <c r="I141" s="47">
        <v>1.02</v>
      </c>
      <c r="J141" s="8">
        <f t="shared" si="1"/>
        <v>23.97</v>
      </c>
      <c r="K141" s="8"/>
      <c r="L141" s="7"/>
      <c r="M141" s="7"/>
      <c r="N141" s="7"/>
      <c r="O141" s="7"/>
      <c r="P141" s="7" t="s">
        <v>490</v>
      </c>
      <c r="Q141" s="7" t="s">
        <v>1589</v>
      </c>
      <c r="R141" s="7" t="s">
        <v>1590</v>
      </c>
      <c r="S141" s="7" t="s">
        <v>947</v>
      </c>
      <c r="T141" s="7" t="s">
        <v>493</v>
      </c>
      <c r="U141" s="65">
        <v>4248.0</v>
      </c>
    </row>
    <row r="142">
      <c r="A142" s="45">
        <v>45912.809965277775</v>
      </c>
      <c r="B142" s="7" t="s">
        <v>1216</v>
      </c>
      <c r="C142" s="7" t="s">
        <v>2198</v>
      </c>
      <c r="D142" s="7"/>
      <c r="E142" s="64">
        <v>1.0</v>
      </c>
      <c r="F142" s="7"/>
      <c r="G142" s="47">
        <v>38.23</v>
      </c>
      <c r="H142" s="47">
        <v>0.0</v>
      </c>
      <c r="I142" s="47">
        <v>1.41</v>
      </c>
      <c r="J142" s="8">
        <f t="shared" si="1"/>
        <v>36.82</v>
      </c>
      <c r="K142" s="8"/>
      <c r="L142" s="7"/>
      <c r="M142" s="7"/>
      <c r="N142" s="7"/>
      <c r="O142" s="7"/>
      <c r="P142" s="7" t="s">
        <v>490</v>
      </c>
      <c r="Q142" s="7" t="s">
        <v>2257</v>
      </c>
      <c r="R142" s="7"/>
      <c r="S142" s="7" t="s">
        <v>2258</v>
      </c>
      <c r="T142" s="7" t="s">
        <v>493</v>
      </c>
      <c r="U142" s="65">
        <v>4245.0</v>
      </c>
    </row>
    <row r="143">
      <c r="A143" s="45">
        <v>45912.8068287037</v>
      </c>
      <c r="B143" s="7" t="s">
        <v>232</v>
      </c>
      <c r="C143" s="7" t="s">
        <v>2198</v>
      </c>
      <c r="D143" s="7"/>
      <c r="E143" s="64">
        <v>1.0</v>
      </c>
      <c r="F143" s="7"/>
      <c r="G143" s="47">
        <v>24.99</v>
      </c>
      <c r="H143" s="47">
        <v>0.0</v>
      </c>
      <c r="I143" s="47">
        <v>1.02</v>
      </c>
      <c r="J143" s="8">
        <f t="shared" si="1"/>
        <v>23.97</v>
      </c>
      <c r="K143" s="8"/>
      <c r="L143" s="7"/>
      <c r="M143" s="7"/>
      <c r="N143" s="7"/>
      <c r="O143" s="7"/>
      <c r="P143" s="7" t="s">
        <v>490</v>
      </c>
      <c r="Q143" s="7" t="s">
        <v>1142</v>
      </c>
      <c r="R143" s="7"/>
      <c r="S143" s="7" t="s">
        <v>567</v>
      </c>
      <c r="T143" s="7" t="s">
        <v>493</v>
      </c>
      <c r="U143" s="65">
        <v>4244.0</v>
      </c>
    </row>
    <row r="144">
      <c r="A144" s="45">
        <v>45912.80590277778</v>
      </c>
      <c r="B144" s="7" t="s">
        <v>150</v>
      </c>
      <c r="C144" s="7" t="s">
        <v>2198</v>
      </c>
      <c r="D144" s="7"/>
      <c r="E144" s="64">
        <v>1.0</v>
      </c>
      <c r="F144" s="7"/>
      <c r="G144" s="47">
        <v>24.99</v>
      </c>
      <c r="H144" s="47">
        <v>0.0</v>
      </c>
      <c r="I144" s="47">
        <v>1.02</v>
      </c>
      <c r="J144" s="8">
        <f t="shared" si="1"/>
        <v>23.97</v>
      </c>
      <c r="K144" s="8"/>
      <c r="L144" s="7"/>
      <c r="M144" s="7"/>
      <c r="N144" s="7"/>
      <c r="O144" s="7"/>
      <c r="P144" s="7" t="s">
        <v>490</v>
      </c>
      <c r="Q144" s="7" t="s">
        <v>768</v>
      </c>
      <c r="R144" s="7"/>
      <c r="S144" s="7" t="s">
        <v>769</v>
      </c>
      <c r="T144" s="7" t="s">
        <v>493</v>
      </c>
      <c r="U144" s="65">
        <v>4243.0</v>
      </c>
    </row>
    <row r="145">
      <c r="A145" s="45">
        <v>45912.80546296296</v>
      </c>
      <c r="B145" s="7" t="s">
        <v>136</v>
      </c>
      <c r="C145" s="7" t="s">
        <v>2208</v>
      </c>
      <c r="D145" s="7"/>
      <c r="E145" s="64">
        <v>1.0</v>
      </c>
      <c r="F145" s="64">
        <v>1.0</v>
      </c>
      <c r="G145" s="47">
        <v>124.99</v>
      </c>
      <c r="H145" s="47">
        <v>0.0</v>
      </c>
      <c r="I145" s="47">
        <v>3.92</v>
      </c>
      <c r="J145" s="8">
        <f t="shared" si="1"/>
        <v>121.07</v>
      </c>
      <c r="K145" s="8"/>
      <c r="L145" s="7"/>
      <c r="M145" s="7"/>
      <c r="N145" s="7"/>
      <c r="O145" s="7"/>
      <c r="P145" s="7" t="s">
        <v>490</v>
      </c>
      <c r="Q145" s="7" t="s">
        <v>652</v>
      </c>
      <c r="R145" s="7"/>
      <c r="S145" s="7" t="s">
        <v>653</v>
      </c>
      <c r="T145" s="7" t="s">
        <v>493</v>
      </c>
      <c r="U145" s="65">
        <v>4240.0</v>
      </c>
    </row>
    <row r="146">
      <c r="A146" s="45">
        <v>45912.796168981484</v>
      </c>
      <c r="B146" s="7" t="s">
        <v>370</v>
      </c>
      <c r="C146" s="7" t="s">
        <v>2208</v>
      </c>
      <c r="D146" s="7"/>
      <c r="E146" s="64">
        <v>1.0</v>
      </c>
      <c r="F146" s="64">
        <v>1.0</v>
      </c>
      <c r="G146" s="47">
        <v>124.99</v>
      </c>
      <c r="H146" s="47">
        <v>0.0</v>
      </c>
      <c r="I146" s="47">
        <v>3.92</v>
      </c>
      <c r="J146" s="8">
        <f t="shared" si="1"/>
        <v>121.07</v>
      </c>
      <c r="K146" s="8"/>
      <c r="L146" s="7"/>
      <c r="M146" s="7"/>
      <c r="N146" s="7"/>
      <c r="O146" s="7"/>
      <c r="P146" s="7" t="s">
        <v>490</v>
      </c>
      <c r="Q146" s="7" t="s">
        <v>1094</v>
      </c>
      <c r="R146" s="7"/>
      <c r="S146" s="7" t="s">
        <v>1095</v>
      </c>
      <c r="T146" s="7" t="s">
        <v>493</v>
      </c>
      <c r="U146" s="65">
        <v>4238.0</v>
      </c>
    </row>
    <row r="147">
      <c r="A147" s="45">
        <v>45912.790613425925</v>
      </c>
      <c r="B147" s="7" t="s">
        <v>634</v>
      </c>
      <c r="C147" s="7" t="s">
        <v>2198</v>
      </c>
      <c r="D147" s="7"/>
      <c r="E147" s="64">
        <v>1.0</v>
      </c>
      <c r="F147" s="7"/>
      <c r="G147" s="47">
        <v>24.99</v>
      </c>
      <c r="H147" s="47">
        <v>0.0</v>
      </c>
      <c r="I147" s="47">
        <v>1.4</v>
      </c>
      <c r="J147" s="8">
        <f t="shared" si="1"/>
        <v>23.59</v>
      </c>
      <c r="K147" s="8"/>
      <c r="L147" s="7"/>
      <c r="M147" s="7"/>
      <c r="N147" s="7"/>
      <c r="O147" s="7"/>
      <c r="P147" s="7" t="s">
        <v>490</v>
      </c>
      <c r="Q147" s="7" t="s">
        <v>635</v>
      </c>
      <c r="R147" s="7" t="s">
        <v>636</v>
      </c>
      <c r="S147" s="7" t="s">
        <v>637</v>
      </c>
      <c r="T147" s="7" t="s">
        <v>638</v>
      </c>
      <c r="U147" s="65">
        <v>4236.0</v>
      </c>
    </row>
    <row r="148">
      <c r="A148" s="45">
        <v>45912.789375</v>
      </c>
      <c r="B148" s="7" t="s">
        <v>799</v>
      </c>
      <c r="C148" s="7" t="s">
        <v>2198</v>
      </c>
      <c r="D148" s="7"/>
      <c r="E148" s="64">
        <v>1.0</v>
      </c>
      <c r="F148" s="7"/>
      <c r="G148" s="47">
        <v>24.99</v>
      </c>
      <c r="H148" s="47">
        <v>0.0</v>
      </c>
      <c r="I148" s="47">
        <v>1.4</v>
      </c>
      <c r="J148" s="8">
        <f t="shared" si="1"/>
        <v>23.59</v>
      </c>
      <c r="K148" s="8"/>
      <c r="L148" s="7"/>
      <c r="M148" s="7"/>
      <c r="N148" s="7"/>
      <c r="O148" s="7"/>
      <c r="P148" s="7" t="s">
        <v>490</v>
      </c>
      <c r="Q148" s="7" t="s">
        <v>800</v>
      </c>
      <c r="R148" s="7"/>
      <c r="S148" s="7" t="s">
        <v>620</v>
      </c>
      <c r="T148" s="7" t="s">
        <v>545</v>
      </c>
      <c r="U148" s="65">
        <v>4235.0</v>
      </c>
    </row>
    <row r="149">
      <c r="A149" s="45">
        <v>45912.78475694444</v>
      </c>
      <c r="B149" s="7" t="s">
        <v>161</v>
      </c>
      <c r="C149" s="7" t="s">
        <v>2208</v>
      </c>
      <c r="D149" s="7"/>
      <c r="E149" s="64">
        <v>1.0</v>
      </c>
      <c r="F149" s="64">
        <v>1.0</v>
      </c>
      <c r="G149" s="47">
        <v>124.99</v>
      </c>
      <c r="H149" s="47">
        <v>0.0</v>
      </c>
      <c r="I149" s="47">
        <v>3.92</v>
      </c>
      <c r="J149" s="8">
        <f t="shared" si="1"/>
        <v>121.07</v>
      </c>
      <c r="K149" s="8"/>
      <c r="L149" s="7"/>
      <c r="M149" s="7"/>
      <c r="N149" s="7"/>
      <c r="O149" s="7"/>
      <c r="P149" s="7" t="s">
        <v>490</v>
      </c>
      <c r="Q149" s="7" t="s">
        <v>776</v>
      </c>
      <c r="R149" s="7"/>
      <c r="S149" s="7" t="s">
        <v>777</v>
      </c>
      <c r="T149" s="7" t="s">
        <v>493</v>
      </c>
      <c r="U149" s="65">
        <v>4234.0</v>
      </c>
    </row>
    <row r="150">
      <c r="A150" s="45">
        <v>45912.781875</v>
      </c>
      <c r="B150" s="7" t="s">
        <v>599</v>
      </c>
      <c r="C150" s="7" t="s">
        <v>2208</v>
      </c>
      <c r="D150" s="7"/>
      <c r="E150" s="64">
        <v>1.0</v>
      </c>
      <c r="F150" s="64">
        <v>1.0</v>
      </c>
      <c r="G150" s="47">
        <v>124.99</v>
      </c>
      <c r="H150" s="47">
        <v>0.0</v>
      </c>
      <c r="I150" s="47">
        <v>3.92</v>
      </c>
      <c r="J150" s="8">
        <f t="shared" si="1"/>
        <v>121.07</v>
      </c>
      <c r="K150" s="8"/>
      <c r="L150" s="7"/>
      <c r="M150" s="7"/>
      <c r="N150" s="7"/>
      <c r="O150" s="7"/>
      <c r="P150" s="7" t="s">
        <v>490</v>
      </c>
      <c r="Q150" s="7" t="s">
        <v>600</v>
      </c>
      <c r="R150" s="7"/>
      <c r="S150" s="7" t="s">
        <v>601</v>
      </c>
      <c r="T150" s="7" t="s">
        <v>493</v>
      </c>
      <c r="U150" s="65">
        <v>4232.0</v>
      </c>
    </row>
    <row r="151">
      <c r="A151" s="45">
        <v>45912.77646990741</v>
      </c>
      <c r="B151" s="7" t="s">
        <v>274</v>
      </c>
      <c r="C151" s="7" t="s">
        <v>2208</v>
      </c>
      <c r="D151" s="7"/>
      <c r="E151" s="64">
        <v>1.0</v>
      </c>
      <c r="F151" s="64">
        <v>1.0</v>
      </c>
      <c r="G151" s="47">
        <v>124.99</v>
      </c>
      <c r="H151" s="47">
        <v>0.0</v>
      </c>
      <c r="I151" s="47">
        <v>3.92</v>
      </c>
      <c r="J151" s="8">
        <f t="shared" si="1"/>
        <v>121.07</v>
      </c>
      <c r="K151" s="8"/>
      <c r="L151" s="7"/>
      <c r="M151" s="7"/>
      <c r="N151" s="7"/>
      <c r="O151" s="7"/>
      <c r="P151" s="7" t="s">
        <v>490</v>
      </c>
      <c r="Q151" s="7" t="s">
        <v>1540</v>
      </c>
      <c r="R151" s="7"/>
      <c r="S151" s="7" t="s">
        <v>1541</v>
      </c>
      <c r="T151" s="7" t="s">
        <v>493</v>
      </c>
      <c r="U151" s="65">
        <v>4231.0</v>
      </c>
    </row>
    <row r="152">
      <c r="A152" s="45">
        <v>45912.77543981482</v>
      </c>
      <c r="B152" s="7" t="s">
        <v>744</v>
      </c>
      <c r="C152" s="7" t="s">
        <v>2198</v>
      </c>
      <c r="D152" s="7"/>
      <c r="E152" s="64">
        <v>1.0</v>
      </c>
      <c r="F152" s="7"/>
      <c r="G152" s="47">
        <v>24.99</v>
      </c>
      <c r="H152" s="47">
        <v>0.0</v>
      </c>
      <c r="I152" s="47">
        <v>1.02</v>
      </c>
      <c r="J152" s="8">
        <f t="shared" si="1"/>
        <v>23.97</v>
      </c>
      <c r="K152" s="8"/>
      <c r="L152" s="7"/>
      <c r="M152" s="7"/>
      <c r="N152" s="7"/>
      <c r="O152" s="7"/>
      <c r="P152" s="7" t="s">
        <v>490</v>
      </c>
      <c r="Q152" s="7" t="s">
        <v>1604</v>
      </c>
      <c r="R152" s="7"/>
      <c r="S152" s="7" t="s">
        <v>746</v>
      </c>
      <c r="T152" s="7" t="s">
        <v>493</v>
      </c>
      <c r="U152" s="65">
        <v>4230.0</v>
      </c>
    </row>
    <row r="153">
      <c r="A153" s="45">
        <v>45912.77322916667</v>
      </c>
      <c r="B153" s="7" t="s">
        <v>133</v>
      </c>
      <c r="C153" s="7" t="s">
        <v>2198</v>
      </c>
      <c r="D153" s="7"/>
      <c r="E153" s="64">
        <v>1.0</v>
      </c>
      <c r="F153" s="7"/>
      <c r="G153" s="47">
        <v>24.99</v>
      </c>
      <c r="H153" s="47">
        <v>0.0</v>
      </c>
      <c r="I153" s="47">
        <v>1.02</v>
      </c>
      <c r="J153" s="8">
        <f t="shared" si="1"/>
        <v>23.97</v>
      </c>
      <c r="K153" s="8"/>
      <c r="L153" s="7"/>
      <c r="M153" s="7"/>
      <c r="N153" s="7"/>
      <c r="O153" s="7"/>
      <c r="P153" s="7" t="s">
        <v>490</v>
      </c>
      <c r="Q153" s="7" t="s">
        <v>843</v>
      </c>
      <c r="R153" s="7"/>
      <c r="S153" s="7" t="s">
        <v>844</v>
      </c>
      <c r="T153" s="7" t="s">
        <v>493</v>
      </c>
      <c r="U153" s="65">
        <v>4229.0</v>
      </c>
    </row>
    <row r="154">
      <c r="A154" s="45">
        <v>45912.77310185185</v>
      </c>
      <c r="B154" s="7" t="s">
        <v>1017</v>
      </c>
      <c r="C154" s="7" t="s">
        <v>2208</v>
      </c>
      <c r="D154" s="7"/>
      <c r="E154" s="64">
        <v>1.0</v>
      </c>
      <c r="F154" s="64">
        <v>1.0</v>
      </c>
      <c r="G154" s="47">
        <v>134.68</v>
      </c>
      <c r="H154" s="47">
        <v>0.0</v>
      </c>
      <c r="I154" s="47">
        <v>4.21</v>
      </c>
      <c r="J154" s="8">
        <f t="shared" si="1"/>
        <v>130.47</v>
      </c>
      <c r="K154" s="8"/>
      <c r="L154" s="7"/>
      <c r="M154" s="7"/>
      <c r="N154" s="7"/>
      <c r="O154" s="7"/>
      <c r="P154" s="7" t="s">
        <v>490</v>
      </c>
      <c r="Q154" s="7" t="s">
        <v>1018</v>
      </c>
      <c r="R154" s="7" t="s">
        <v>2020</v>
      </c>
      <c r="S154" s="7" t="s">
        <v>2259</v>
      </c>
      <c r="T154" s="7" t="s">
        <v>493</v>
      </c>
      <c r="U154" s="65">
        <v>4228.0</v>
      </c>
    </row>
    <row r="155">
      <c r="A155" s="45">
        <v>45912.768587962964</v>
      </c>
      <c r="B155" s="7" t="s">
        <v>2103</v>
      </c>
      <c r="C155" s="7" t="s">
        <v>2198</v>
      </c>
      <c r="D155" s="7"/>
      <c r="E155" s="64">
        <v>1.0</v>
      </c>
      <c r="F155" s="7"/>
      <c r="G155" s="47">
        <v>24.99</v>
      </c>
      <c r="H155" s="47">
        <v>0.0</v>
      </c>
      <c r="I155" s="47">
        <v>1.4</v>
      </c>
      <c r="J155" s="8">
        <f t="shared" si="1"/>
        <v>23.59</v>
      </c>
      <c r="K155" s="8"/>
      <c r="L155" s="7"/>
      <c r="M155" s="7"/>
      <c r="N155" s="7"/>
      <c r="O155" s="7"/>
      <c r="P155" s="7" t="s">
        <v>490</v>
      </c>
      <c r="Q155" s="7" t="s">
        <v>2104</v>
      </c>
      <c r="R155" s="7"/>
      <c r="S155" s="7" t="s">
        <v>2105</v>
      </c>
      <c r="T155" s="7" t="s">
        <v>555</v>
      </c>
      <c r="U155" s="65">
        <v>4227.0</v>
      </c>
    </row>
    <row r="156">
      <c r="A156" s="45">
        <v>45912.76675925926</v>
      </c>
      <c r="B156" s="7" t="s">
        <v>1764</v>
      </c>
      <c r="C156" s="7" t="s">
        <v>2217</v>
      </c>
      <c r="D156" s="7"/>
      <c r="E156" s="64">
        <v>2.0</v>
      </c>
      <c r="F156" s="7"/>
      <c r="G156" s="47">
        <v>49.98</v>
      </c>
      <c r="H156" s="47">
        <v>0.0</v>
      </c>
      <c r="I156" s="47">
        <v>2.5</v>
      </c>
      <c r="J156" s="8">
        <f t="shared" si="1"/>
        <v>47.48</v>
      </c>
      <c r="K156" s="8"/>
      <c r="L156" s="7"/>
      <c r="M156" s="7"/>
      <c r="N156" s="7"/>
      <c r="O156" s="7"/>
      <c r="P156" s="7" t="s">
        <v>490</v>
      </c>
      <c r="Q156" s="7"/>
      <c r="R156" s="7"/>
      <c r="S156" s="7"/>
      <c r="T156" s="7" t="s">
        <v>545</v>
      </c>
      <c r="U156" s="65">
        <v>4226.0</v>
      </c>
    </row>
    <row r="157">
      <c r="A157" s="45">
        <v>45912.76599537037</v>
      </c>
      <c r="B157" s="7" t="s">
        <v>204</v>
      </c>
      <c r="C157" s="7" t="s">
        <v>2198</v>
      </c>
      <c r="D157" s="7"/>
      <c r="E157" s="64">
        <v>1.0</v>
      </c>
      <c r="F157" s="7"/>
      <c r="G157" s="47">
        <v>24.99</v>
      </c>
      <c r="H157" s="47">
        <v>0.0</v>
      </c>
      <c r="I157" s="47">
        <v>1.4</v>
      </c>
      <c r="J157" s="8">
        <f t="shared" si="1"/>
        <v>23.59</v>
      </c>
      <c r="K157" s="8"/>
      <c r="L157" s="7"/>
      <c r="M157" s="7"/>
      <c r="N157" s="7"/>
      <c r="O157" s="7"/>
      <c r="P157" s="7" t="s">
        <v>490</v>
      </c>
      <c r="Q157" s="7" t="s">
        <v>1113</v>
      </c>
      <c r="R157" s="65">
        <v>46.0</v>
      </c>
      <c r="S157" s="7" t="s">
        <v>1114</v>
      </c>
      <c r="T157" s="7" t="s">
        <v>525</v>
      </c>
      <c r="U157" s="65">
        <v>4225.0</v>
      </c>
    </row>
    <row r="158">
      <c r="A158" s="45">
        <v>45912.76596064815</v>
      </c>
      <c r="B158" s="7" t="s">
        <v>203</v>
      </c>
      <c r="C158" s="7" t="s">
        <v>2208</v>
      </c>
      <c r="D158" s="7"/>
      <c r="E158" s="64">
        <v>1.0</v>
      </c>
      <c r="F158" s="64">
        <v>1.0</v>
      </c>
      <c r="G158" s="47">
        <v>206.83</v>
      </c>
      <c r="H158" s="47">
        <v>0.0</v>
      </c>
      <c r="I158" s="47">
        <v>9.4</v>
      </c>
      <c r="J158" s="8">
        <f t="shared" si="1"/>
        <v>197.43</v>
      </c>
      <c r="K158" s="8"/>
      <c r="L158" s="7"/>
      <c r="M158" s="7"/>
      <c r="N158" s="7"/>
      <c r="O158" s="7"/>
      <c r="P158" s="7" t="s">
        <v>490</v>
      </c>
      <c r="Q158" s="7"/>
      <c r="R158" s="7"/>
      <c r="S158" s="7"/>
      <c r="T158" s="7" t="s">
        <v>2185</v>
      </c>
      <c r="U158" s="65">
        <v>4224.0</v>
      </c>
    </row>
    <row r="159">
      <c r="A159" s="45">
        <v>45912.759722222225</v>
      </c>
      <c r="B159" s="7" t="s">
        <v>1594</v>
      </c>
      <c r="C159" s="7" t="s">
        <v>2198</v>
      </c>
      <c r="D159" s="7"/>
      <c r="E159" s="64">
        <v>1.0</v>
      </c>
      <c r="F159" s="7"/>
      <c r="G159" s="47">
        <v>24.99</v>
      </c>
      <c r="H159" s="47">
        <v>0.0</v>
      </c>
      <c r="I159" s="47">
        <v>1.02</v>
      </c>
      <c r="J159" s="8">
        <f t="shared" si="1"/>
        <v>23.97</v>
      </c>
      <c r="K159" s="8"/>
      <c r="L159" s="7"/>
      <c r="M159" s="7"/>
      <c r="N159" s="7"/>
      <c r="O159" s="7"/>
      <c r="P159" s="7" t="s">
        <v>490</v>
      </c>
      <c r="Q159" s="7" t="s">
        <v>1595</v>
      </c>
      <c r="R159" s="7"/>
      <c r="S159" s="7" t="s">
        <v>1596</v>
      </c>
      <c r="T159" s="7" t="s">
        <v>493</v>
      </c>
      <c r="U159" s="65">
        <v>4222.0</v>
      </c>
    </row>
    <row r="160">
      <c r="A160" s="45">
        <v>45912.75965277778</v>
      </c>
      <c r="B160" s="7" t="s">
        <v>206</v>
      </c>
      <c r="C160" s="7" t="s">
        <v>2198</v>
      </c>
      <c r="D160" s="7"/>
      <c r="E160" s="64">
        <v>1.0</v>
      </c>
      <c r="F160" s="7"/>
      <c r="G160" s="47">
        <v>24.99</v>
      </c>
      <c r="H160" s="47">
        <v>0.0</v>
      </c>
      <c r="I160" s="47">
        <v>1.4</v>
      </c>
      <c r="J160" s="8">
        <f t="shared" si="1"/>
        <v>23.59</v>
      </c>
      <c r="K160" s="8"/>
      <c r="L160" s="7"/>
      <c r="M160" s="7"/>
      <c r="N160" s="7"/>
      <c r="O160" s="7"/>
      <c r="P160" s="7" t="s">
        <v>490</v>
      </c>
      <c r="Q160" s="7" t="s">
        <v>1083</v>
      </c>
      <c r="R160" s="7"/>
      <c r="S160" s="7" t="s">
        <v>1084</v>
      </c>
      <c r="T160" s="7" t="s">
        <v>617</v>
      </c>
      <c r="U160" s="65">
        <v>4221.0</v>
      </c>
    </row>
    <row r="161">
      <c r="A161" s="45">
        <v>45912.754594907405</v>
      </c>
      <c r="B161" s="7" t="s">
        <v>1222</v>
      </c>
      <c r="C161" s="7" t="s">
        <v>2198</v>
      </c>
      <c r="D161" s="7"/>
      <c r="E161" s="64">
        <v>1.0</v>
      </c>
      <c r="F161" s="7"/>
      <c r="G161" s="47">
        <v>24.99</v>
      </c>
      <c r="H161" s="47">
        <v>0.0</v>
      </c>
      <c r="I161" s="47">
        <v>1.4</v>
      </c>
      <c r="J161" s="8">
        <f t="shared" si="1"/>
        <v>23.59</v>
      </c>
      <c r="K161" s="8"/>
      <c r="L161" s="7"/>
      <c r="M161" s="7"/>
      <c r="N161" s="7"/>
      <c r="O161" s="7"/>
      <c r="P161" s="7" t="s">
        <v>490</v>
      </c>
      <c r="Q161" s="7" t="s">
        <v>1223</v>
      </c>
      <c r="R161" s="7"/>
      <c r="S161" s="7" t="s">
        <v>1224</v>
      </c>
      <c r="T161" s="7" t="s">
        <v>823</v>
      </c>
      <c r="U161" s="65">
        <v>4219.0</v>
      </c>
    </row>
    <row r="162">
      <c r="A162" s="45">
        <v>45912.75443287037</v>
      </c>
      <c r="B162" s="7" t="s">
        <v>293</v>
      </c>
      <c r="C162" s="7" t="s">
        <v>2198</v>
      </c>
      <c r="D162" s="7"/>
      <c r="E162" s="64">
        <v>1.0</v>
      </c>
      <c r="F162" s="7"/>
      <c r="G162" s="47">
        <v>24.99</v>
      </c>
      <c r="H162" s="47">
        <v>0.0</v>
      </c>
      <c r="I162" s="47">
        <v>1.4</v>
      </c>
      <c r="J162" s="8">
        <f t="shared" si="1"/>
        <v>23.59</v>
      </c>
      <c r="K162" s="8"/>
      <c r="L162" s="7"/>
      <c r="M162" s="7"/>
      <c r="N162" s="7"/>
      <c r="O162" s="7"/>
      <c r="P162" s="7" t="s">
        <v>490</v>
      </c>
      <c r="Q162" s="7" t="s">
        <v>1579</v>
      </c>
      <c r="R162" s="7" t="s">
        <v>1580</v>
      </c>
      <c r="S162" s="7" t="s">
        <v>1581</v>
      </c>
      <c r="T162" s="7" t="s">
        <v>542</v>
      </c>
      <c r="U162" s="65">
        <v>4217.0</v>
      </c>
    </row>
    <row r="163">
      <c r="A163" s="45">
        <v>45912.75282407407</v>
      </c>
      <c r="B163" s="7" t="s">
        <v>328</v>
      </c>
      <c r="C163" s="7" t="s">
        <v>2208</v>
      </c>
      <c r="D163" s="7"/>
      <c r="E163" s="64">
        <v>1.0</v>
      </c>
      <c r="F163" s="64">
        <v>1.0</v>
      </c>
      <c r="G163" s="47">
        <v>124.99</v>
      </c>
      <c r="H163" s="47">
        <v>0.0</v>
      </c>
      <c r="I163" s="47">
        <v>3.92</v>
      </c>
      <c r="J163" s="8">
        <f t="shared" si="1"/>
        <v>121.07</v>
      </c>
      <c r="K163" s="8"/>
      <c r="L163" s="7"/>
      <c r="M163" s="7"/>
      <c r="N163" s="7"/>
      <c r="O163" s="7"/>
      <c r="P163" s="7" t="s">
        <v>490</v>
      </c>
      <c r="Q163" s="7" t="s">
        <v>1210</v>
      </c>
      <c r="R163" s="7"/>
      <c r="S163" s="7" t="s">
        <v>1211</v>
      </c>
      <c r="T163" s="7" t="s">
        <v>493</v>
      </c>
      <c r="U163" s="65">
        <v>4218.0</v>
      </c>
    </row>
    <row r="164">
      <c r="A164" s="45">
        <v>45912.75108796296</v>
      </c>
      <c r="B164" s="7" t="s">
        <v>2260</v>
      </c>
      <c r="C164" s="7" t="s">
        <v>2198</v>
      </c>
      <c r="D164" s="7"/>
      <c r="E164" s="64">
        <v>1.0</v>
      </c>
      <c r="F164" s="7"/>
      <c r="G164" s="47">
        <v>34.46</v>
      </c>
      <c r="H164" s="47">
        <v>0.0</v>
      </c>
      <c r="I164" s="47">
        <v>1.3</v>
      </c>
      <c r="J164" s="8">
        <f t="shared" si="1"/>
        <v>33.16</v>
      </c>
      <c r="K164" s="8"/>
      <c r="L164" s="7"/>
      <c r="M164" s="7"/>
      <c r="N164" s="7"/>
      <c r="O164" s="7"/>
      <c r="P164" s="7" t="s">
        <v>490</v>
      </c>
      <c r="Q164" s="7" t="s">
        <v>2261</v>
      </c>
      <c r="R164" s="7"/>
      <c r="S164" s="7" t="s">
        <v>947</v>
      </c>
      <c r="T164" s="7" t="s">
        <v>493</v>
      </c>
      <c r="U164" s="65">
        <v>4216.0</v>
      </c>
    </row>
    <row r="165">
      <c r="A165" s="45">
        <v>45912.74795138889</v>
      </c>
      <c r="B165" s="7" t="s">
        <v>1267</v>
      </c>
      <c r="C165" s="7" t="s">
        <v>2208</v>
      </c>
      <c r="D165" s="7"/>
      <c r="E165" s="64">
        <v>1.0</v>
      </c>
      <c r="F165" s="64">
        <v>1.0</v>
      </c>
      <c r="G165" s="47">
        <v>132.49</v>
      </c>
      <c r="H165" s="47">
        <v>0.0</v>
      </c>
      <c r="I165" s="47">
        <v>4.14</v>
      </c>
      <c r="J165" s="8">
        <f t="shared" si="1"/>
        <v>128.35</v>
      </c>
      <c r="K165" s="8"/>
      <c r="L165" s="7"/>
      <c r="M165" s="7"/>
      <c r="N165" s="7"/>
      <c r="O165" s="7"/>
      <c r="P165" s="7" t="s">
        <v>490</v>
      </c>
      <c r="Q165" s="7" t="s">
        <v>1268</v>
      </c>
      <c r="R165" s="7"/>
      <c r="S165" s="7" t="s">
        <v>1049</v>
      </c>
      <c r="T165" s="7" t="s">
        <v>493</v>
      </c>
      <c r="U165" s="65">
        <v>4213.0</v>
      </c>
    </row>
    <row r="166">
      <c r="A166" s="45">
        <v>45912.74768518518</v>
      </c>
      <c r="B166" s="7" t="s">
        <v>338</v>
      </c>
      <c r="C166" s="7" t="s">
        <v>2198</v>
      </c>
      <c r="D166" s="7"/>
      <c r="E166" s="64">
        <v>1.0</v>
      </c>
      <c r="F166" s="7"/>
      <c r="G166" s="47">
        <v>24.99</v>
      </c>
      <c r="H166" s="47">
        <v>0.0</v>
      </c>
      <c r="I166" s="47">
        <v>1.02</v>
      </c>
      <c r="J166" s="8">
        <f t="shared" si="1"/>
        <v>23.97</v>
      </c>
      <c r="K166" s="8"/>
      <c r="L166" s="7"/>
      <c r="M166" s="7"/>
      <c r="N166" s="7"/>
      <c r="O166" s="7"/>
      <c r="P166" s="7" t="s">
        <v>490</v>
      </c>
      <c r="Q166" s="7" t="s">
        <v>1062</v>
      </c>
      <c r="R166" s="7"/>
      <c r="S166" s="7" t="s">
        <v>1063</v>
      </c>
      <c r="T166" s="7" t="s">
        <v>493</v>
      </c>
      <c r="U166" s="65">
        <v>4212.0</v>
      </c>
    </row>
    <row r="167">
      <c r="A167" s="45">
        <v>45912.74519675926</v>
      </c>
      <c r="B167" s="7" t="s">
        <v>117</v>
      </c>
      <c r="C167" s="7" t="s">
        <v>2198</v>
      </c>
      <c r="D167" s="7"/>
      <c r="E167" s="64">
        <v>1.0</v>
      </c>
      <c r="F167" s="7"/>
      <c r="G167" s="47">
        <v>24.99</v>
      </c>
      <c r="H167" s="47">
        <v>0.0</v>
      </c>
      <c r="I167" s="47">
        <v>1.02</v>
      </c>
      <c r="J167" s="8">
        <f t="shared" si="1"/>
        <v>23.97</v>
      </c>
      <c r="K167" s="8"/>
      <c r="L167" s="7"/>
      <c r="M167" s="7"/>
      <c r="N167" s="7"/>
      <c r="O167" s="7"/>
      <c r="P167" s="7" t="s">
        <v>490</v>
      </c>
      <c r="Q167" s="7" t="s">
        <v>1714</v>
      </c>
      <c r="R167" s="7" t="s">
        <v>1715</v>
      </c>
      <c r="S167" s="7" t="s">
        <v>1716</v>
      </c>
      <c r="T167" s="7" t="s">
        <v>493</v>
      </c>
      <c r="U167" s="65">
        <v>4211.0</v>
      </c>
    </row>
    <row r="168">
      <c r="A168" s="45">
        <v>45912.742939814816</v>
      </c>
      <c r="B168" s="7" t="s">
        <v>2056</v>
      </c>
      <c r="C168" s="7" t="s">
        <v>2198</v>
      </c>
      <c r="D168" s="7"/>
      <c r="E168" s="64">
        <v>1.0</v>
      </c>
      <c r="F168" s="7"/>
      <c r="G168" s="47">
        <v>26.49</v>
      </c>
      <c r="H168" s="47">
        <v>0.0</v>
      </c>
      <c r="I168" s="47">
        <v>1.07</v>
      </c>
      <c r="J168" s="8">
        <f t="shared" si="1"/>
        <v>25.42</v>
      </c>
      <c r="K168" s="8"/>
      <c r="L168" s="7"/>
      <c r="M168" s="7"/>
      <c r="N168" s="7"/>
      <c r="O168" s="7"/>
      <c r="P168" s="7" t="s">
        <v>490</v>
      </c>
      <c r="Q168" s="7" t="s">
        <v>1404</v>
      </c>
      <c r="R168" s="7"/>
      <c r="S168" s="7" t="s">
        <v>1405</v>
      </c>
      <c r="T168" s="7" t="s">
        <v>493</v>
      </c>
      <c r="U168" s="65">
        <v>4210.0</v>
      </c>
    </row>
    <row r="169">
      <c r="A169" s="45">
        <v>45912.73849537037</v>
      </c>
      <c r="B169" s="7" t="s">
        <v>906</v>
      </c>
      <c r="C169" s="7" t="s">
        <v>2198</v>
      </c>
      <c r="D169" s="7"/>
      <c r="E169" s="64">
        <v>1.0</v>
      </c>
      <c r="F169" s="7"/>
      <c r="G169" s="47">
        <v>24.99</v>
      </c>
      <c r="H169" s="47">
        <v>0.0</v>
      </c>
      <c r="I169" s="47">
        <v>1.02</v>
      </c>
      <c r="J169" s="8">
        <f t="shared" si="1"/>
        <v>23.97</v>
      </c>
      <c r="K169" s="8"/>
      <c r="L169" s="7"/>
      <c r="M169" s="7"/>
      <c r="N169" s="7"/>
      <c r="O169" s="7"/>
      <c r="P169" s="7" t="s">
        <v>490</v>
      </c>
      <c r="Q169" s="7" t="s">
        <v>907</v>
      </c>
      <c r="R169" s="7"/>
      <c r="S169" s="7" t="s">
        <v>854</v>
      </c>
      <c r="T169" s="7" t="s">
        <v>493</v>
      </c>
      <c r="U169" s="65">
        <v>4208.0</v>
      </c>
    </row>
    <row r="170">
      <c r="A170" s="45">
        <v>45912.73752314815</v>
      </c>
      <c r="B170" s="7" t="s">
        <v>2262</v>
      </c>
      <c r="C170" s="7" t="s">
        <v>2208</v>
      </c>
      <c r="D170" s="7"/>
      <c r="E170" s="64">
        <v>1.0</v>
      </c>
      <c r="F170" s="64">
        <v>1.0</v>
      </c>
      <c r="G170" s="47">
        <v>156.13</v>
      </c>
      <c r="H170" s="47">
        <v>0.0</v>
      </c>
      <c r="I170" s="47">
        <v>7.17</v>
      </c>
      <c r="J170" s="8">
        <f t="shared" si="1"/>
        <v>148.96</v>
      </c>
      <c r="K170" s="8"/>
      <c r="L170" s="7"/>
      <c r="M170" s="7"/>
      <c r="N170" s="7"/>
      <c r="O170" s="7"/>
      <c r="P170" s="7" t="s">
        <v>490</v>
      </c>
      <c r="Q170" s="7" t="s">
        <v>2263</v>
      </c>
      <c r="R170" s="7"/>
      <c r="S170" s="7" t="s">
        <v>2264</v>
      </c>
      <c r="T170" s="7" t="s">
        <v>525</v>
      </c>
      <c r="U170" s="65">
        <v>4205.0</v>
      </c>
    </row>
    <row r="171">
      <c r="A171" s="45">
        <v>45912.736759259256</v>
      </c>
      <c r="B171" s="7" t="s">
        <v>1735</v>
      </c>
      <c r="C171" s="7" t="s">
        <v>2198</v>
      </c>
      <c r="D171" s="7"/>
      <c r="E171" s="64">
        <v>1.0</v>
      </c>
      <c r="F171" s="7"/>
      <c r="G171" s="47">
        <v>24.99</v>
      </c>
      <c r="H171" s="47">
        <v>0.0</v>
      </c>
      <c r="I171" s="47">
        <v>1.02</v>
      </c>
      <c r="J171" s="8">
        <f t="shared" si="1"/>
        <v>23.97</v>
      </c>
      <c r="K171" s="8"/>
      <c r="L171" s="7"/>
      <c r="M171" s="7"/>
      <c r="N171" s="7"/>
      <c r="O171" s="7"/>
      <c r="P171" s="7" t="s">
        <v>490</v>
      </c>
      <c r="Q171" s="7" t="s">
        <v>1736</v>
      </c>
      <c r="R171" s="7"/>
      <c r="S171" s="7" t="s">
        <v>1737</v>
      </c>
      <c r="T171" s="7" t="s">
        <v>493</v>
      </c>
      <c r="U171" s="65">
        <v>4204.0</v>
      </c>
    </row>
    <row r="172">
      <c r="A172" s="45">
        <v>45912.73521990741</v>
      </c>
      <c r="B172" s="7" t="s">
        <v>399</v>
      </c>
      <c r="C172" s="7" t="s">
        <v>2198</v>
      </c>
      <c r="D172" s="7"/>
      <c r="E172" s="64">
        <v>1.0</v>
      </c>
      <c r="F172" s="7"/>
      <c r="G172" s="47">
        <v>24.99</v>
      </c>
      <c r="H172" s="47">
        <v>0.0</v>
      </c>
      <c r="I172" s="47">
        <v>1.02</v>
      </c>
      <c r="J172" s="8">
        <f t="shared" si="1"/>
        <v>23.97</v>
      </c>
      <c r="K172" s="8"/>
      <c r="L172" s="7"/>
      <c r="M172" s="7"/>
      <c r="N172" s="7"/>
      <c r="O172" s="7"/>
      <c r="P172" s="7" t="s">
        <v>490</v>
      </c>
      <c r="Q172" s="7" t="s">
        <v>2265</v>
      </c>
      <c r="R172" s="7" t="s">
        <v>1215</v>
      </c>
      <c r="S172" s="7" t="s">
        <v>1320</v>
      </c>
      <c r="T172" s="7" t="s">
        <v>493</v>
      </c>
      <c r="U172" s="65">
        <v>4202.0</v>
      </c>
    </row>
    <row r="173">
      <c r="A173" s="45">
        <v>45912.733935185184</v>
      </c>
      <c r="B173" s="7" t="s">
        <v>192</v>
      </c>
      <c r="C173" s="7" t="s">
        <v>2198</v>
      </c>
      <c r="D173" s="7"/>
      <c r="E173" s="64">
        <v>1.0</v>
      </c>
      <c r="F173" s="7"/>
      <c r="G173" s="47">
        <v>24.99</v>
      </c>
      <c r="H173" s="47">
        <v>0.0</v>
      </c>
      <c r="I173" s="47">
        <v>1.4</v>
      </c>
      <c r="J173" s="8">
        <f t="shared" si="1"/>
        <v>23.59</v>
      </c>
      <c r="K173" s="8"/>
      <c r="L173" s="7"/>
      <c r="M173" s="7"/>
      <c r="N173" s="7"/>
      <c r="O173" s="7"/>
      <c r="P173" s="7" t="s">
        <v>490</v>
      </c>
      <c r="Q173" s="7" t="s">
        <v>1364</v>
      </c>
      <c r="R173" s="7"/>
      <c r="S173" s="7" t="s">
        <v>1365</v>
      </c>
      <c r="T173" s="7" t="s">
        <v>525</v>
      </c>
      <c r="U173" s="65">
        <v>4200.0</v>
      </c>
    </row>
    <row r="174">
      <c r="A174" s="45">
        <v>45912.73200231481</v>
      </c>
      <c r="B174" s="7" t="s">
        <v>1707</v>
      </c>
      <c r="C174" s="7" t="s">
        <v>2198</v>
      </c>
      <c r="D174" s="7"/>
      <c r="E174" s="64">
        <v>1.0</v>
      </c>
      <c r="F174" s="7"/>
      <c r="G174" s="47">
        <v>24.99</v>
      </c>
      <c r="H174" s="47">
        <v>0.0</v>
      </c>
      <c r="I174" s="47">
        <v>1.02</v>
      </c>
      <c r="J174" s="8">
        <f t="shared" si="1"/>
        <v>23.97</v>
      </c>
      <c r="K174" s="8"/>
      <c r="L174" s="7"/>
      <c r="M174" s="7"/>
      <c r="N174" s="7"/>
      <c r="O174" s="7"/>
      <c r="P174" s="7" t="s">
        <v>490</v>
      </c>
      <c r="Q174" s="7" t="s">
        <v>1708</v>
      </c>
      <c r="R174" s="7"/>
      <c r="S174" s="7" t="s">
        <v>1709</v>
      </c>
      <c r="T174" s="7" t="s">
        <v>493</v>
      </c>
      <c r="U174" s="65">
        <v>4199.0</v>
      </c>
    </row>
    <row r="175">
      <c r="A175" s="45">
        <v>45912.730578703704</v>
      </c>
      <c r="B175" s="7" t="s">
        <v>361</v>
      </c>
      <c r="C175" s="7" t="s">
        <v>2198</v>
      </c>
      <c r="D175" s="7"/>
      <c r="E175" s="64">
        <v>1.0</v>
      </c>
      <c r="F175" s="7"/>
      <c r="G175" s="47">
        <v>27.43</v>
      </c>
      <c r="H175" s="47">
        <v>0.0</v>
      </c>
      <c r="I175" s="47">
        <v>1.1</v>
      </c>
      <c r="J175" s="8">
        <f t="shared" si="1"/>
        <v>26.33</v>
      </c>
      <c r="K175" s="8"/>
      <c r="L175" s="7"/>
      <c r="M175" s="7"/>
      <c r="N175" s="7"/>
      <c r="O175" s="7"/>
      <c r="P175" s="7" t="s">
        <v>490</v>
      </c>
      <c r="Q175" s="7" t="s">
        <v>1269</v>
      </c>
      <c r="R175" s="7" t="s">
        <v>1270</v>
      </c>
      <c r="S175" s="7" t="s">
        <v>1271</v>
      </c>
      <c r="T175" s="7" t="s">
        <v>493</v>
      </c>
      <c r="U175" s="65">
        <v>4198.0</v>
      </c>
    </row>
    <row r="176">
      <c r="A176" s="45">
        <v>45912.730462962965</v>
      </c>
      <c r="B176" s="7" t="s">
        <v>307</v>
      </c>
      <c r="C176" s="7" t="s">
        <v>2198</v>
      </c>
      <c r="D176" s="7"/>
      <c r="E176" s="64">
        <v>1.0</v>
      </c>
      <c r="F176" s="7"/>
      <c r="G176" s="47">
        <v>24.99</v>
      </c>
      <c r="H176" s="47">
        <v>0.0</v>
      </c>
      <c r="I176" s="47">
        <v>1.4</v>
      </c>
      <c r="J176" s="8">
        <f t="shared" si="1"/>
        <v>23.59</v>
      </c>
      <c r="K176" s="8"/>
      <c r="L176" s="7"/>
      <c r="M176" s="7"/>
      <c r="N176" s="7"/>
      <c r="O176" s="7"/>
      <c r="P176" s="7" t="s">
        <v>490</v>
      </c>
      <c r="Q176" s="7" t="s">
        <v>1631</v>
      </c>
      <c r="R176" s="7"/>
      <c r="S176" s="7" t="s">
        <v>995</v>
      </c>
      <c r="T176" s="7" t="s">
        <v>545</v>
      </c>
      <c r="U176" s="65">
        <v>4197.0</v>
      </c>
    </row>
    <row r="177">
      <c r="A177" s="45">
        <v>45912.72981481482</v>
      </c>
      <c r="B177" s="7" t="s">
        <v>189</v>
      </c>
      <c r="C177" s="7" t="s">
        <v>2198</v>
      </c>
      <c r="D177" s="7"/>
      <c r="E177" s="64">
        <v>1.0</v>
      </c>
      <c r="F177" s="7"/>
      <c r="G177" s="47">
        <v>26.49</v>
      </c>
      <c r="H177" s="47">
        <v>0.0</v>
      </c>
      <c r="I177" s="47">
        <v>1.07</v>
      </c>
      <c r="J177" s="8">
        <f t="shared" si="1"/>
        <v>25.42</v>
      </c>
      <c r="K177" s="8"/>
      <c r="L177" s="7"/>
      <c r="M177" s="7"/>
      <c r="N177" s="7"/>
      <c r="O177" s="7"/>
      <c r="P177" s="7" t="s">
        <v>490</v>
      </c>
      <c r="Q177" s="7" t="s">
        <v>491</v>
      </c>
      <c r="R177" s="7"/>
      <c r="S177" s="7" t="s">
        <v>492</v>
      </c>
      <c r="T177" s="7" t="s">
        <v>493</v>
      </c>
      <c r="U177" s="65">
        <v>4195.0</v>
      </c>
    </row>
    <row r="178">
      <c r="A178" s="45">
        <v>45912.728159722225</v>
      </c>
      <c r="B178" s="7" t="s">
        <v>273</v>
      </c>
      <c r="C178" s="7" t="s">
        <v>2198</v>
      </c>
      <c r="D178" s="7"/>
      <c r="E178" s="64">
        <v>1.0</v>
      </c>
      <c r="F178" s="7"/>
      <c r="G178" s="47">
        <v>24.99</v>
      </c>
      <c r="H178" s="47">
        <v>0.0</v>
      </c>
      <c r="I178" s="47">
        <v>1.02</v>
      </c>
      <c r="J178" s="8">
        <f t="shared" si="1"/>
        <v>23.97</v>
      </c>
      <c r="K178" s="8"/>
      <c r="L178" s="7"/>
      <c r="M178" s="7"/>
      <c r="N178" s="7"/>
      <c r="O178" s="7"/>
      <c r="P178" s="7" t="s">
        <v>490</v>
      </c>
      <c r="Q178" s="7" t="s">
        <v>646</v>
      </c>
      <c r="R178" s="7"/>
      <c r="S178" s="7" t="s">
        <v>647</v>
      </c>
      <c r="T178" s="7" t="s">
        <v>493</v>
      </c>
      <c r="U178" s="65">
        <v>4193.0</v>
      </c>
    </row>
    <row r="179">
      <c r="A179" s="45">
        <v>45912.72791666666</v>
      </c>
      <c r="B179" s="7" t="s">
        <v>1234</v>
      </c>
      <c r="C179" s="7" t="s">
        <v>2198</v>
      </c>
      <c r="D179" s="7"/>
      <c r="E179" s="64">
        <v>1.0</v>
      </c>
      <c r="F179" s="7"/>
      <c r="G179" s="47">
        <v>24.99</v>
      </c>
      <c r="H179" s="47">
        <v>0.0</v>
      </c>
      <c r="I179" s="47">
        <v>1.02</v>
      </c>
      <c r="J179" s="8">
        <f t="shared" si="1"/>
        <v>23.97</v>
      </c>
      <c r="K179" s="8"/>
      <c r="L179" s="7"/>
      <c r="M179" s="7"/>
      <c r="N179" s="7"/>
      <c r="O179" s="7"/>
      <c r="P179" s="7" t="s">
        <v>490</v>
      </c>
      <c r="Q179" s="7" t="s">
        <v>1235</v>
      </c>
      <c r="R179" s="7"/>
      <c r="S179" s="7" t="s">
        <v>1236</v>
      </c>
      <c r="T179" s="7" t="s">
        <v>493</v>
      </c>
      <c r="U179" s="65">
        <v>4194.0</v>
      </c>
    </row>
    <row r="180">
      <c r="A180" s="45">
        <v>45912.72657407408</v>
      </c>
      <c r="B180" s="7" t="s">
        <v>402</v>
      </c>
      <c r="C180" s="7" t="s">
        <v>2198</v>
      </c>
      <c r="D180" s="7"/>
      <c r="E180" s="64">
        <v>1.0</v>
      </c>
      <c r="F180" s="7"/>
      <c r="G180" s="47">
        <v>24.99</v>
      </c>
      <c r="H180" s="47">
        <v>0.0</v>
      </c>
      <c r="I180" s="47">
        <v>1.4</v>
      </c>
      <c r="J180" s="8">
        <f t="shared" si="1"/>
        <v>23.59</v>
      </c>
      <c r="K180" s="8"/>
      <c r="L180" s="7"/>
      <c r="M180" s="7"/>
      <c r="N180" s="7"/>
      <c r="O180" s="7"/>
      <c r="P180" s="7" t="s">
        <v>490</v>
      </c>
      <c r="Q180" s="7" t="s">
        <v>1285</v>
      </c>
      <c r="R180" s="7"/>
      <c r="S180" s="7" t="s">
        <v>1286</v>
      </c>
      <c r="T180" s="7" t="s">
        <v>1287</v>
      </c>
      <c r="U180" s="65">
        <v>4189.0</v>
      </c>
    </row>
    <row r="181">
      <c r="A181" s="45">
        <v>45912.72592592592</v>
      </c>
      <c r="B181" s="7" t="s">
        <v>366</v>
      </c>
      <c r="C181" s="7" t="s">
        <v>2208</v>
      </c>
      <c r="D181" s="7"/>
      <c r="E181" s="64">
        <v>1.0</v>
      </c>
      <c r="F181" s="64">
        <v>1.0</v>
      </c>
      <c r="G181" s="47">
        <v>124.99</v>
      </c>
      <c r="H181" s="47">
        <v>0.0</v>
      </c>
      <c r="I181" s="47">
        <v>5.8</v>
      </c>
      <c r="J181" s="8">
        <f t="shared" si="1"/>
        <v>119.19</v>
      </c>
      <c r="K181" s="8"/>
      <c r="L181" s="7"/>
      <c r="M181" s="7"/>
      <c r="N181" s="7"/>
      <c r="O181" s="7"/>
      <c r="P181" s="7" t="s">
        <v>490</v>
      </c>
      <c r="Q181" s="7" t="s">
        <v>2266</v>
      </c>
      <c r="R181" s="7"/>
      <c r="S181" s="7" t="s">
        <v>572</v>
      </c>
      <c r="T181" s="7" t="s">
        <v>510</v>
      </c>
      <c r="U181" s="65">
        <v>4185.0</v>
      </c>
    </row>
    <row r="182">
      <c r="A182" s="45">
        <v>45912.7253587963</v>
      </c>
      <c r="B182" s="7" t="s">
        <v>378</v>
      </c>
      <c r="C182" s="7" t="s">
        <v>2198</v>
      </c>
      <c r="D182" s="7"/>
      <c r="E182" s="64">
        <v>1.0</v>
      </c>
      <c r="F182" s="7"/>
      <c r="G182" s="47">
        <v>24.99</v>
      </c>
      <c r="H182" s="47">
        <v>0.0</v>
      </c>
      <c r="I182" s="47">
        <v>1.02</v>
      </c>
      <c r="J182" s="8">
        <f t="shared" si="1"/>
        <v>23.97</v>
      </c>
      <c r="K182" s="8"/>
      <c r="L182" s="7"/>
      <c r="M182" s="7"/>
      <c r="N182" s="7"/>
      <c r="O182" s="7"/>
      <c r="P182" s="7" t="s">
        <v>490</v>
      </c>
      <c r="Q182" s="7" t="s">
        <v>772</v>
      </c>
      <c r="R182" s="7"/>
      <c r="S182" s="7" t="s">
        <v>773</v>
      </c>
      <c r="T182" s="7" t="s">
        <v>493</v>
      </c>
      <c r="U182" s="65">
        <v>4186.0</v>
      </c>
    </row>
    <row r="183">
      <c r="A183" s="45">
        <v>45912.725277777776</v>
      </c>
      <c r="B183" s="7" t="s">
        <v>642</v>
      </c>
      <c r="C183" s="7" t="s">
        <v>2198</v>
      </c>
      <c r="D183" s="7"/>
      <c r="E183" s="64">
        <v>1.0</v>
      </c>
      <c r="F183" s="7"/>
      <c r="G183" s="47">
        <v>24.99</v>
      </c>
      <c r="H183" s="47">
        <v>0.0</v>
      </c>
      <c r="I183" s="47">
        <v>1.4</v>
      </c>
      <c r="J183" s="8">
        <f t="shared" si="1"/>
        <v>23.59</v>
      </c>
      <c r="K183" s="8"/>
      <c r="L183" s="7"/>
      <c r="M183" s="7"/>
      <c r="N183" s="7"/>
      <c r="O183" s="7"/>
      <c r="P183" s="7" t="s">
        <v>490</v>
      </c>
      <c r="Q183" s="7" t="s">
        <v>2002</v>
      </c>
      <c r="R183" s="7" t="s">
        <v>2267</v>
      </c>
      <c r="S183" s="7" t="s">
        <v>645</v>
      </c>
      <c r="T183" s="7" t="s">
        <v>622</v>
      </c>
      <c r="U183" s="65">
        <v>4188.0</v>
      </c>
    </row>
    <row r="184">
      <c r="A184" s="45">
        <v>45912.72390046297</v>
      </c>
      <c r="B184" s="7" t="s">
        <v>1350</v>
      </c>
      <c r="C184" s="7" t="s">
        <v>2198</v>
      </c>
      <c r="D184" s="7"/>
      <c r="E184" s="64">
        <v>1.0</v>
      </c>
      <c r="F184" s="7"/>
      <c r="G184" s="47">
        <v>24.99</v>
      </c>
      <c r="H184" s="47">
        <v>0.0</v>
      </c>
      <c r="I184" s="47">
        <v>1.4</v>
      </c>
      <c r="J184" s="8">
        <f t="shared" si="1"/>
        <v>23.59</v>
      </c>
      <c r="K184" s="8"/>
      <c r="L184" s="7"/>
      <c r="M184" s="7"/>
      <c r="N184" s="7"/>
      <c r="O184" s="7"/>
      <c r="P184" s="7" t="s">
        <v>490</v>
      </c>
      <c r="Q184" s="7" t="s">
        <v>1351</v>
      </c>
      <c r="R184" s="7"/>
      <c r="S184" s="7" t="s">
        <v>1352</v>
      </c>
      <c r="T184" s="7" t="s">
        <v>545</v>
      </c>
      <c r="U184" s="65">
        <v>4182.0</v>
      </c>
    </row>
    <row r="185">
      <c r="A185" s="45">
        <v>45912.723599537036</v>
      </c>
      <c r="B185" s="7" t="s">
        <v>2268</v>
      </c>
      <c r="C185" s="7" t="s">
        <v>2198</v>
      </c>
      <c r="D185" s="7"/>
      <c r="E185" s="64">
        <v>1.0</v>
      </c>
      <c r="F185" s="7"/>
      <c r="G185" s="47">
        <v>24.99</v>
      </c>
      <c r="H185" s="47">
        <v>0.0</v>
      </c>
      <c r="I185" s="47">
        <v>1.02</v>
      </c>
      <c r="J185" s="8">
        <f t="shared" si="1"/>
        <v>23.97</v>
      </c>
      <c r="K185" s="8"/>
      <c r="L185" s="7"/>
      <c r="M185" s="7"/>
      <c r="N185" s="7"/>
      <c r="O185" s="7"/>
      <c r="P185" s="7" t="s">
        <v>490</v>
      </c>
      <c r="Q185" s="7" t="s">
        <v>1105</v>
      </c>
      <c r="R185" s="7"/>
      <c r="S185" s="7" t="s">
        <v>1106</v>
      </c>
      <c r="T185" s="7" t="s">
        <v>493</v>
      </c>
      <c r="U185" s="65">
        <v>4184.0</v>
      </c>
    </row>
    <row r="186">
      <c r="A186" s="45">
        <v>45912.72356481481</v>
      </c>
      <c r="B186" s="7" t="s">
        <v>1630</v>
      </c>
      <c r="C186" s="7" t="s">
        <v>2208</v>
      </c>
      <c r="D186" s="7"/>
      <c r="E186" s="64">
        <v>1.0</v>
      </c>
      <c r="F186" s="64">
        <v>1.0</v>
      </c>
      <c r="G186" s="47">
        <v>124.99</v>
      </c>
      <c r="H186" s="47">
        <v>0.0</v>
      </c>
      <c r="I186" s="47">
        <v>5.8</v>
      </c>
      <c r="J186" s="8">
        <f t="shared" si="1"/>
        <v>119.19</v>
      </c>
      <c r="K186" s="8"/>
      <c r="L186" s="7"/>
      <c r="M186" s="7"/>
      <c r="N186" s="7"/>
      <c r="O186" s="7"/>
      <c r="P186" s="7" t="s">
        <v>490</v>
      </c>
      <c r="Q186" s="7" t="s">
        <v>1817</v>
      </c>
      <c r="R186" s="7"/>
      <c r="S186" s="7" t="s">
        <v>1196</v>
      </c>
      <c r="T186" s="7" t="s">
        <v>1197</v>
      </c>
      <c r="U186" s="65">
        <v>4183.0</v>
      </c>
    </row>
    <row r="187">
      <c r="A187" s="45">
        <v>45912.72341435185</v>
      </c>
      <c r="B187" s="7" t="s">
        <v>1798</v>
      </c>
      <c r="C187" s="7" t="s">
        <v>2208</v>
      </c>
      <c r="D187" s="7"/>
      <c r="E187" s="64">
        <v>1.0</v>
      </c>
      <c r="F187" s="64">
        <v>1.0</v>
      </c>
      <c r="G187" s="47">
        <v>124.99</v>
      </c>
      <c r="H187" s="47">
        <v>0.0</v>
      </c>
      <c r="I187" s="47">
        <v>5.8</v>
      </c>
      <c r="J187" s="8">
        <f t="shared" si="1"/>
        <v>119.19</v>
      </c>
      <c r="K187" s="8"/>
      <c r="L187" s="7"/>
      <c r="M187" s="7"/>
      <c r="N187" s="7"/>
      <c r="O187" s="7"/>
      <c r="P187" s="7" t="s">
        <v>490</v>
      </c>
      <c r="Q187" s="7" t="s">
        <v>685</v>
      </c>
      <c r="R187" s="7" t="s">
        <v>1983</v>
      </c>
      <c r="S187" s="7"/>
      <c r="T187" s="7" t="s">
        <v>973</v>
      </c>
      <c r="U187" s="65">
        <v>4179.0</v>
      </c>
    </row>
    <row r="188">
      <c r="A188" s="45">
        <v>45912.72258101852</v>
      </c>
      <c r="B188" s="7" t="s">
        <v>342</v>
      </c>
      <c r="C188" s="7" t="s">
        <v>2198</v>
      </c>
      <c r="D188" s="7"/>
      <c r="E188" s="64">
        <v>1.0</v>
      </c>
      <c r="F188" s="7"/>
      <c r="G188" s="47">
        <v>24.99</v>
      </c>
      <c r="H188" s="47">
        <v>0.0</v>
      </c>
      <c r="I188" s="47">
        <v>1.02</v>
      </c>
      <c r="J188" s="8">
        <f t="shared" si="1"/>
        <v>23.97</v>
      </c>
      <c r="K188" s="8"/>
      <c r="L188" s="7"/>
      <c r="M188" s="7"/>
      <c r="N188" s="7"/>
      <c r="O188" s="7"/>
      <c r="P188" s="7" t="s">
        <v>490</v>
      </c>
      <c r="Q188" s="7"/>
      <c r="R188" s="7"/>
      <c r="S188" s="7"/>
      <c r="T188" s="7" t="s">
        <v>493</v>
      </c>
      <c r="U188" s="65">
        <v>4180.0</v>
      </c>
    </row>
    <row r="189">
      <c r="A189" s="45">
        <v>45912.72231481481</v>
      </c>
      <c r="B189" s="7" t="s">
        <v>205</v>
      </c>
      <c r="C189" s="7" t="s">
        <v>2198</v>
      </c>
      <c r="D189" s="7"/>
      <c r="E189" s="64">
        <v>1.0</v>
      </c>
      <c r="F189" s="7"/>
      <c r="G189" s="47">
        <v>24.99</v>
      </c>
      <c r="H189" s="47">
        <v>0.0</v>
      </c>
      <c r="I189" s="47">
        <v>1.4</v>
      </c>
      <c r="J189" s="8">
        <f t="shared" si="1"/>
        <v>23.59</v>
      </c>
      <c r="K189" s="8"/>
      <c r="L189" s="7"/>
      <c r="M189" s="7"/>
      <c r="N189" s="7"/>
      <c r="O189" s="7"/>
      <c r="P189" s="7" t="s">
        <v>490</v>
      </c>
      <c r="Q189" s="7" t="s">
        <v>2269</v>
      </c>
      <c r="R189" s="7"/>
      <c r="S189" s="7" t="s">
        <v>965</v>
      </c>
      <c r="T189" s="7" t="s">
        <v>966</v>
      </c>
      <c r="U189" s="65">
        <v>4178.0</v>
      </c>
    </row>
    <row r="190">
      <c r="A190" s="45">
        <v>45912.72226851852</v>
      </c>
      <c r="B190" s="7" t="s">
        <v>890</v>
      </c>
      <c r="C190" s="7" t="s">
        <v>2198</v>
      </c>
      <c r="D190" s="7"/>
      <c r="E190" s="64">
        <v>1.0</v>
      </c>
      <c r="F190" s="7"/>
      <c r="G190" s="47">
        <v>24.99</v>
      </c>
      <c r="H190" s="47">
        <v>0.0</v>
      </c>
      <c r="I190" s="47">
        <v>1.4</v>
      </c>
      <c r="J190" s="8">
        <f t="shared" si="1"/>
        <v>23.59</v>
      </c>
      <c r="K190" s="8"/>
      <c r="L190" s="7"/>
      <c r="M190" s="7"/>
      <c r="N190" s="7"/>
      <c r="O190" s="7"/>
      <c r="P190" s="7" t="s">
        <v>490</v>
      </c>
      <c r="Q190" s="7"/>
      <c r="R190" s="7"/>
      <c r="S190" s="7"/>
      <c r="T190" s="7" t="s">
        <v>560</v>
      </c>
      <c r="U190" s="65">
        <v>4176.0</v>
      </c>
    </row>
    <row r="191">
      <c r="A191" s="45">
        <v>45912.7221412037</v>
      </c>
      <c r="B191" s="7" t="s">
        <v>208</v>
      </c>
      <c r="C191" s="7" t="s">
        <v>2198</v>
      </c>
      <c r="D191" s="7"/>
      <c r="E191" s="64">
        <v>1.0</v>
      </c>
      <c r="F191" s="7"/>
      <c r="G191" s="47">
        <v>24.99</v>
      </c>
      <c r="H191" s="47">
        <v>0.0</v>
      </c>
      <c r="I191" s="47">
        <v>1.02</v>
      </c>
      <c r="J191" s="8">
        <f t="shared" si="1"/>
        <v>23.97</v>
      </c>
      <c r="K191" s="8"/>
      <c r="L191" s="7"/>
      <c r="M191" s="7"/>
      <c r="N191" s="7"/>
      <c r="O191" s="7"/>
      <c r="P191" s="7" t="s">
        <v>490</v>
      </c>
      <c r="Q191" s="7" t="s">
        <v>1814</v>
      </c>
      <c r="R191" s="7" t="s">
        <v>1815</v>
      </c>
      <c r="S191" s="7" t="s">
        <v>1109</v>
      </c>
      <c r="T191" s="7" t="s">
        <v>493</v>
      </c>
      <c r="U191" s="65">
        <v>4181.0</v>
      </c>
    </row>
    <row r="192">
      <c r="A192" s="45">
        <v>45912.7215625</v>
      </c>
      <c r="B192" s="7" t="s">
        <v>223</v>
      </c>
      <c r="C192" s="7" t="s">
        <v>2208</v>
      </c>
      <c r="D192" s="7"/>
      <c r="E192" s="64">
        <v>1.0</v>
      </c>
      <c r="F192" s="64">
        <v>1.0</v>
      </c>
      <c r="G192" s="47">
        <v>124.99</v>
      </c>
      <c r="H192" s="47">
        <v>0.0</v>
      </c>
      <c r="I192" s="47">
        <v>3.92</v>
      </c>
      <c r="J192" s="8">
        <f t="shared" si="1"/>
        <v>121.07</v>
      </c>
      <c r="K192" s="8"/>
      <c r="L192" s="7"/>
      <c r="M192" s="7"/>
      <c r="N192" s="7"/>
      <c r="O192" s="7"/>
      <c r="P192" s="7" t="s">
        <v>490</v>
      </c>
      <c r="Q192" s="7" t="s">
        <v>940</v>
      </c>
      <c r="R192" s="7"/>
      <c r="S192" s="7" t="s">
        <v>941</v>
      </c>
      <c r="T192" s="7" t="s">
        <v>493</v>
      </c>
      <c r="U192" s="65">
        <v>4175.0</v>
      </c>
    </row>
    <row r="193">
      <c r="A193" s="45">
        <v>45912.721354166664</v>
      </c>
      <c r="B193" s="7" t="s">
        <v>2048</v>
      </c>
      <c r="C193" s="7" t="s">
        <v>2208</v>
      </c>
      <c r="D193" s="7"/>
      <c r="E193" s="64">
        <v>1.0</v>
      </c>
      <c r="F193" s="64">
        <v>1.0</v>
      </c>
      <c r="G193" s="47">
        <v>177.97</v>
      </c>
      <c r="H193" s="47">
        <v>0.0</v>
      </c>
      <c r="I193" s="47">
        <v>8.13</v>
      </c>
      <c r="J193" s="8">
        <f t="shared" si="1"/>
        <v>169.84</v>
      </c>
      <c r="K193" s="8"/>
      <c r="L193" s="7"/>
      <c r="M193" s="7"/>
      <c r="N193" s="7"/>
      <c r="O193" s="7"/>
      <c r="P193" s="7" t="s">
        <v>490</v>
      </c>
      <c r="Q193" s="7" t="s">
        <v>1625</v>
      </c>
      <c r="R193" s="7" t="s">
        <v>1626</v>
      </c>
      <c r="S193" s="7" t="s">
        <v>875</v>
      </c>
      <c r="T193" s="7" t="s">
        <v>555</v>
      </c>
      <c r="U193" s="65">
        <v>4177.0</v>
      </c>
    </row>
    <row r="194">
      <c r="A194" s="45">
        <v>45912.719293981485</v>
      </c>
      <c r="B194" s="7" t="s">
        <v>1124</v>
      </c>
      <c r="C194" s="7" t="s">
        <v>2198</v>
      </c>
      <c r="D194" s="7"/>
      <c r="E194" s="64">
        <v>1.0</v>
      </c>
      <c r="F194" s="7"/>
      <c r="G194" s="47">
        <v>24.99</v>
      </c>
      <c r="H194" s="47">
        <v>0.0</v>
      </c>
      <c r="I194" s="47">
        <v>1.4</v>
      </c>
      <c r="J194" s="8">
        <f t="shared" si="1"/>
        <v>23.59</v>
      </c>
      <c r="K194" s="8"/>
      <c r="L194" s="7"/>
      <c r="M194" s="7"/>
      <c r="N194" s="7"/>
      <c r="O194" s="7"/>
      <c r="P194" s="7" t="s">
        <v>490</v>
      </c>
      <c r="Q194" s="7" t="s">
        <v>1125</v>
      </c>
      <c r="R194" s="7"/>
      <c r="S194" s="7" t="s">
        <v>1126</v>
      </c>
      <c r="T194" s="7" t="s">
        <v>525</v>
      </c>
      <c r="U194" s="65">
        <v>4171.0</v>
      </c>
    </row>
    <row r="195">
      <c r="A195" s="45">
        <v>45912.71895833333</v>
      </c>
      <c r="B195" s="7" t="s">
        <v>1394</v>
      </c>
      <c r="C195" s="7" t="s">
        <v>2208</v>
      </c>
      <c r="D195" s="7"/>
      <c r="E195" s="64">
        <v>1.0</v>
      </c>
      <c r="F195" s="64">
        <v>1.0</v>
      </c>
      <c r="G195" s="47">
        <v>124.99</v>
      </c>
      <c r="H195" s="47">
        <v>0.0</v>
      </c>
      <c r="I195" s="47">
        <v>5.8</v>
      </c>
      <c r="J195" s="8">
        <f t="shared" si="1"/>
        <v>119.19</v>
      </c>
      <c r="K195" s="8"/>
      <c r="L195" s="7"/>
      <c r="M195" s="7"/>
      <c r="N195" s="7"/>
      <c r="O195" s="7"/>
      <c r="P195" s="7" t="s">
        <v>490</v>
      </c>
      <c r="Q195" s="7" t="s">
        <v>1395</v>
      </c>
      <c r="R195" s="7"/>
      <c r="S195" s="7" t="s">
        <v>1396</v>
      </c>
      <c r="T195" s="7" t="s">
        <v>542</v>
      </c>
      <c r="U195" s="65">
        <v>4173.0</v>
      </c>
    </row>
    <row r="196">
      <c r="A196" s="45">
        <v>45912.71716435185</v>
      </c>
      <c r="B196" s="7" t="s">
        <v>319</v>
      </c>
      <c r="C196" s="7" t="s">
        <v>2198</v>
      </c>
      <c r="D196" s="7"/>
      <c r="E196" s="64">
        <v>1.0</v>
      </c>
      <c r="F196" s="7"/>
      <c r="G196" s="47">
        <v>24.99</v>
      </c>
      <c r="H196" s="47">
        <v>0.0</v>
      </c>
      <c r="I196" s="47">
        <v>1.02</v>
      </c>
      <c r="J196" s="8">
        <f t="shared" si="1"/>
        <v>23.97</v>
      </c>
      <c r="K196" s="8"/>
      <c r="L196" s="7"/>
      <c r="M196" s="7"/>
      <c r="N196" s="7"/>
      <c r="O196" s="7"/>
      <c r="P196" s="7" t="s">
        <v>490</v>
      </c>
      <c r="Q196" s="7" t="s">
        <v>1248</v>
      </c>
      <c r="R196" s="7"/>
      <c r="S196" s="7" t="s">
        <v>1249</v>
      </c>
      <c r="T196" s="7" t="s">
        <v>493</v>
      </c>
      <c r="U196" s="65">
        <v>4165.0</v>
      </c>
    </row>
    <row r="197">
      <c r="A197" s="45">
        <v>45912.71716435185</v>
      </c>
      <c r="B197" s="7" t="s">
        <v>464</v>
      </c>
      <c r="C197" s="7" t="s">
        <v>2198</v>
      </c>
      <c r="D197" s="7"/>
      <c r="E197" s="64">
        <v>1.0</v>
      </c>
      <c r="F197" s="7"/>
      <c r="G197" s="47">
        <v>24.99</v>
      </c>
      <c r="H197" s="47">
        <v>0.0</v>
      </c>
      <c r="I197" s="47">
        <v>1.02</v>
      </c>
      <c r="J197" s="8">
        <f t="shared" si="1"/>
        <v>23.97</v>
      </c>
      <c r="K197" s="8"/>
      <c r="L197" s="7"/>
      <c r="M197" s="7"/>
      <c r="N197" s="7"/>
      <c r="O197" s="7"/>
      <c r="P197" s="7" t="s">
        <v>490</v>
      </c>
      <c r="Q197" s="7" t="s">
        <v>1369</v>
      </c>
      <c r="R197" s="7"/>
      <c r="S197" s="7" t="s">
        <v>1370</v>
      </c>
      <c r="T197" s="7" t="s">
        <v>493</v>
      </c>
      <c r="U197" s="65">
        <v>4170.0</v>
      </c>
    </row>
    <row r="198">
      <c r="A198" s="45">
        <v>45912.71686342593</v>
      </c>
      <c r="B198" s="7" t="s">
        <v>348</v>
      </c>
      <c r="C198" s="7" t="s">
        <v>2198</v>
      </c>
      <c r="D198" s="7"/>
      <c r="E198" s="64">
        <v>1.0</v>
      </c>
      <c r="F198" s="7"/>
      <c r="G198" s="47">
        <v>24.99</v>
      </c>
      <c r="H198" s="47">
        <v>0.0</v>
      </c>
      <c r="I198" s="47">
        <v>1.02</v>
      </c>
      <c r="J198" s="8">
        <f t="shared" si="1"/>
        <v>23.97</v>
      </c>
      <c r="K198" s="8"/>
      <c r="L198" s="7"/>
      <c r="M198" s="7"/>
      <c r="N198" s="7"/>
      <c r="O198" s="7"/>
      <c r="P198" s="7" t="s">
        <v>490</v>
      </c>
      <c r="Q198" s="7" t="s">
        <v>2270</v>
      </c>
      <c r="R198" s="7"/>
      <c r="S198" s="7" t="s">
        <v>1147</v>
      </c>
      <c r="T198" s="7" t="s">
        <v>493</v>
      </c>
      <c r="U198" s="65">
        <v>4169.0</v>
      </c>
    </row>
    <row r="199">
      <c r="A199" s="45">
        <v>45912.71668981481</v>
      </c>
      <c r="B199" s="7" t="s">
        <v>224</v>
      </c>
      <c r="C199" s="7" t="s">
        <v>2208</v>
      </c>
      <c r="D199" s="7"/>
      <c r="E199" s="64">
        <v>1.0</v>
      </c>
      <c r="F199" s="64">
        <v>1.0</v>
      </c>
      <c r="G199" s="47">
        <v>124.99</v>
      </c>
      <c r="H199" s="47">
        <v>0.0</v>
      </c>
      <c r="I199" s="47">
        <v>5.8</v>
      </c>
      <c r="J199" s="8">
        <f t="shared" si="1"/>
        <v>119.19</v>
      </c>
      <c r="K199" s="8"/>
      <c r="L199" s="7"/>
      <c r="M199" s="7"/>
      <c r="N199" s="7"/>
      <c r="O199" s="7"/>
      <c r="P199" s="7" t="s">
        <v>490</v>
      </c>
      <c r="Q199" s="7" t="s">
        <v>1967</v>
      </c>
      <c r="R199" s="7"/>
      <c r="S199" s="7" t="s">
        <v>1968</v>
      </c>
      <c r="T199" s="7" t="s">
        <v>1821</v>
      </c>
      <c r="U199" s="65">
        <v>4168.0</v>
      </c>
    </row>
    <row r="200">
      <c r="A200" s="45">
        <v>45912.71653935185</v>
      </c>
      <c r="B200" s="7" t="s">
        <v>2271</v>
      </c>
      <c r="C200" s="7" t="s">
        <v>2208</v>
      </c>
      <c r="D200" s="7"/>
      <c r="E200" s="64">
        <v>1.0</v>
      </c>
      <c r="F200" s="64">
        <v>1.0</v>
      </c>
      <c r="G200" s="47">
        <v>156.87</v>
      </c>
      <c r="H200" s="47">
        <v>0.0</v>
      </c>
      <c r="I200" s="47">
        <v>7.2</v>
      </c>
      <c r="J200" s="8">
        <f t="shared" si="1"/>
        <v>149.67</v>
      </c>
      <c r="K200" s="8"/>
      <c r="L200" s="7"/>
      <c r="M200" s="7"/>
      <c r="N200" s="7"/>
      <c r="O200" s="7"/>
      <c r="P200" s="7" t="s">
        <v>490</v>
      </c>
      <c r="Q200" s="7" t="s">
        <v>2272</v>
      </c>
      <c r="R200" s="7"/>
      <c r="S200" s="7" t="s">
        <v>2273</v>
      </c>
      <c r="T200" s="7" t="s">
        <v>726</v>
      </c>
      <c r="U200" s="65">
        <v>4164.0</v>
      </c>
    </row>
    <row r="201">
      <c r="A201" s="45">
        <v>45912.71638888889</v>
      </c>
      <c r="B201" s="7" t="s">
        <v>275</v>
      </c>
      <c r="C201" s="7" t="s">
        <v>2208</v>
      </c>
      <c r="D201" s="7"/>
      <c r="E201" s="64">
        <v>1.0</v>
      </c>
      <c r="F201" s="64">
        <v>1.0</v>
      </c>
      <c r="G201" s="47">
        <v>124.99</v>
      </c>
      <c r="H201" s="47">
        <v>0.0</v>
      </c>
      <c r="I201" s="47">
        <v>3.92</v>
      </c>
      <c r="J201" s="8">
        <f t="shared" si="1"/>
        <v>121.07</v>
      </c>
      <c r="K201" s="8"/>
      <c r="L201" s="7"/>
      <c r="M201" s="7"/>
      <c r="N201" s="7"/>
      <c r="O201" s="7"/>
      <c r="P201" s="7" t="s">
        <v>490</v>
      </c>
      <c r="Q201" s="7" t="s">
        <v>1331</v>
      </c>
      <c r="R201" s="7"/>
      <c r="S201" s="7" t="s">
        <v>1332</v>
      </c>
      <c r="T201" s="7" t="s">
        <v>493</v>
      </c>
      <c r="U201" s="65">
        <v>4167.0</v>
      </c>
    </row>
    <row r="202">
      <c r="A202" s="45">
        <v>45912.71607638889</v>
      </c>
      <c r="B202" s="7" t="s">
        <v>138</v>
      </c>
      <c r="C202" s="7" t="s">
        <v>2198</v>
      </c>
      <c r="D202" s="7"/>
      <c r="E202" s="64">
        <v>1.0</v>
      </c>
      <c r="F202" s="7"/>
      <c r="G202" s="47">
        <v>38.23</v>
      </c>
      <c r="H202" s="47">
        <v>0.0</v>
      </c>
      <c r="I202" s="47">
        <v>1.98</v>
      </c>
      <c r="J202" s="8">
        <f t="shared" si="1"/>
        <v>36.25</v>
      </c>
      <c r="K202" s="8"/>
      <c r="L202" s="7"/>
      <c r="M202" s="7"/>
      <c r="N202" s="7"/>
      <c r="O202" s="7"/>
      <c r="P202" s="7" t="s">
        <v>490</v>
      </c>
      <c r="Q202" s="7"/>
      <c r="R202" s="7"/>
      <c r="S202" s="7"/>
      <c r="T202" s="7" t="s">
        <v>948</v>
      </c>
      <c r="U202" s="65">
        <v>4159.0</v>
      </c>
    </row>
    <row r="203">
      <c r="A203" s="45">
        <v>45912.71601851852</v>
      </c>
      <c r="B203" s="7" t="s">
        <v>365</v>
      </c>
      <c r="C203" s="7" t="s">
        <v>2208</v>
      </c>
      <c r="D203" s="7"/>
      <c r="E203" s="64">
        <v>1.0</v>
      </c>
      <c r="F203" s="64">
        <v>1.0</v>
      </c>
      <c r="G203" s="47">
        <v>124.99</v>
      </c>
      <c r="H203" s="47">
        <v>0.0</v>
      </c>
      <c r="I203" s="47">
        <v>5.8</v>
      </c>
      <c r="J203" s="8">
        <f t="shared" si="1"/>
        <v>119.19</v>
      </c>
      <c r="K203" s="8"/>
      <c r="L203" s="7"/>
      <c r="M203" s="7"/>
      <c r="N203" s="7"/>
      <c r="O203" s="7"/>
      <c r="P203" s="7" t="s">
        <v>490</v>
      </c>
      <c r="Q203" s="7" t="s">
        <v>1021</v>
      </c>
      <c r="R203" s="7"/>
      <c r="S203" s="7" t="s">
        <v>1022</v>
      </c>
      <c r="T203" s="7" t="s">
        <v>545</v>
      </c>
      <c r="U203" s="65">
        <v>4166.0</v>
      </c>
    </row>
    <row r="204">
      <c r="A204" s="45">
        <v>45912.715682870374</v>
      </c>
      <c r="B204" s="7" t="s">
        <v>418</v>
      </c>
      <c r="C204" s="7" t="s">
        <v>2198</v>
      </c>
      <c r="D204" s="7"/>
      <c r="E204" s="64">
        <v>1.0</v>
      </c>
      <c r="F204" s="7"/>
      <c r="G204" s="47">
        <v>24.99</v>
      </c>
      <c r="H204" s="47">
        <v>0.0</v>
      </c>
      <c r="I204" s="47">
        <v>1.4</v>
      </c>
      <c r="J204" s="8">
        <f t="shared" si="1"/>
        <v>23.59</v>
      </c>
      <c r="K204" s="8"/>
      <c r="L204" s="7"/>
      <c r="M204" s="7"/>
      <c r="N204" s="7"/>
      <c r="O204" s="7"/>
      <c r="P204" s="7" t="s">
        <v>490</v>
      </c>
      <c r="Q204" s="7" t="s">
        <v>1335</v>
      </c>
      <c r="R204" s="7"/>
      <c r="S204" s="7" t="s">
        <v>1336</v>
      </c>
      <c r="T204" s="7" t="s">
        <v>545</v>
      </c>
      <c r="U204" s="65">
        <v>4163.0</v>
      </c>
    </row>
    <row r="205">
      <c r="A205" s="45">
        <v>45912.71512731481</v>
      </c>
      <c r="B205" s="7" t="s">
        <v>1127</v>
      </c>
      <c r="C205" s="7" t="s">
        <v>2198</v>
      </c>
      <c r="D205" s="7"/>
      <c r="E205" s="64">
        <v>1.0</v>
      </c>
      <c r="F205" s="7"/>
      <c r="G205" s="47">
        <v>24.99</v>
      </c>
      <c r="H205" s="47">
        <v>0.0</v>
      </c>
      <c r="I205" s="47">
        <v>1.02</v>
      </c>
      <c r="J205" s="8">
        <f t="shared" si="1"/>
        <v>23.97</v>
      </c>
      <c r="K205" s="8"/>
      <c r="L205" s="7"/>
      <c r="M205" s="7"/>
      <c r="N205" s="7"/>
      <c r="O205" s="7"/>
      <c r="P205" s="7" t="s">
        <v>490</v>
      </c>
      <c r="Q205" s="7" t="s">
        <v>1128</v>
      </c>
      <c r="R205" s="7"/>
      <c r="S205" s="7" t="s">
        <v>1129</v>
      </c>
      <c r="T205" s="7" t="s">
        <v>493</v>
      </c>
      <c r="U205" s="65">
        <v>4160.0</v>
      </c>
    </row>
    <row r="206">
      <c r="A206" s="45">
        <v>45912.71493055556</v>
      </c>
      <c r="B206" s="7" t="s">
        <v>2080</v>
      </c>
      <c r="C206" s="7" t="s">
        <v>2198</v>
      </c>
      <c r="D206" s="7"/>
      <c r="E206" s="64">
        <v>1.0</v>
      </c>
      <c r="F206" s="7"/>
      <c r="G206" s="47">
        <v>24.99</v>
      </c>
      <c r="H206" s="47">
        <v>0.0</v>
      </c>
      <c r="I206" s="47">
        <v>1.4</v>
      </c>
      <c r="J206" s="8">
        <f t="shared" si="1"/>
        <v>23.59</v>
      </c>
      <c r="K206" s="8"/>
      <c r="L206" s="7"/>
      <c r="M206" s="7"/>
      <c r="N206" s="7"/>
      <c r="O206" s="7"/>
      <c r="P206" s="7" t="s">
        <v>490</v>
      </c>
      <c r="Q206" s="7" t="s">
        <v>1955</v>
      </c>
      <c r="R206" s="7"/>
      <c r="S206" s="7" t="s">
        <v>1956</v>
      </c>
      <c r="T206" s="7" t="s">
        <v>939</v>
      </c>
      <c r="U206" s="65">
        <v>4158.0</v>
      </c>
    </row>
    <row r="207">
      <c r="A207" s="45">
        <v>45912.71467592593</v>
      </c>
      <c r="B207" s="7" t="s">
        <v>317</v>
      </c>
      <c r="C207" s="7" t="s">
        <v>2198</v>
      </c>
      <c r="D207" s="7"/>
      <c r="E207" s="64">
        <v>1.0</v>
      </c>
      <c r="F207" s="7"/>
      <c r="G207" s="47">
        <v>24.99</v>
      </c>
      <c r="H207" s="47">
        <v>0.0</v>
      </c>
      <c r="I207" s="47">
        <v>1.02</v>
      </c>
      <c r="J207" s="8">
        <f t="shared" si="1"/>
        <v>23.97</v>
      </c>
      <c r="K207" s="8"/>
      <c r="L207" s="7"/>
      <c r="M207" s="7"/>
      <c r="N207" s="7"/>
      <c r="O207" s="7"/>
      <c r="P207" s="7" t="s">
        <v>490</v>
      </c>
      <c r="Q207" s="7" t="s">
        <v>2109</v>
      </c>
      <c r="R207" s="7"/>
      <c r="S207" s="7" t="s">
        <v>1147</v>
      </c>
      <c r="T207" s="7" t="s">
        <v>493</v>
      </c>
      <c r="U207" s="65">
        <v>4152.0</v>
      </c>
    </row>
    <row r="208">
      <c r="A208" s="45">
        <v>45912.714108796295</v>
      </c>
      <c r="B208" s="7" t="s">
        <v>423</v>
      </c>
      <c r="C208" s="7" t="s">
        <v>2198</v>
      </c>
      <c r="D208" s="7"/>
      <c r="E208" s="64">
        <v>1.0</v>
      </c>
      <c r="F208" s="7"/>
      <c r="G208" s="47">
        <v>24.99</v>
      </c>
      <c r="H208" s="47">
        <v>0.0</v>
      </c>
      <c r="I208" s="47">
        <v>1.4</v>
      </c>
      <c r="J208" s="8">
        <f t="shared" si="1"/>
        <v>23.59</v>
      </c>
      <c r="K208" s="8"/>
      <c r="L208" s="7"/>
      <c r="M208" s="7"/>
      <c r="N208" s="7"/>
      <c r="O208" s="7"/>
      <c r="P208" s="7" t="s">
        <v>490</v>
      </c>
      <c r="Q208" s="7" t="s">
        <v>1445</v>
      </c>
      <c r="R208" s="7"/>
      <c r="S208" s="7" t="s">
        <v>541</v>
      </c>
      <c r="T208" s="7" t="s">
        <v>542</v>
      </c>
      <c r="U208" s="65">
        <v>4157.0</v>
      </c>
    </row>
    <row r="209">
      <c r="A209" s="45">
        <v>45912.71396990741</v>
      </c>
      <c r="B209" s="7" t="s">
        <v>353</v>
      </c>
      <c r="C209" s="7" t="s">
        <v>2198</v>
      </c>
      <c r="D209" s="7"/>
      <c r="E209" s="64">
        <v>1.0</v>
      </c>
      <c r="F209" s="7"/>
      <c r="G209" s="47">
        <v>24.99</v>
      </c>
      <c r="H209" s="47">
        <v>0.0</v>
      </c>
      <c r="I209" s="47">
        <v>1.4</v>
      </c>
      <c r="J209" s="8">
        <f t="shared" si="1"/>
        <v>23.59</v>
      </c>
      <c r="K209" s="8"/>
      <c r="L209" s="7"/>
      <c r="M209" s="7"/>
      <c r="N209" s="7"/>
      <c r="O209" s="7"/>
      <c r="P209" s="7" t="s">
        <v>490</v>
      </c>
      <c r="Q209" s="7" t="s">
        <v>1621</v>
      </c>
      <c r="R209" s="7"/>
      <c r="S209" s="7" t="s">
        <v>1264</v>
      </c>
      <c r="T209" s="7" t="s">
        <v>545</v>
      </c>
      <c r="U209" s="65">
        <v>4153.0</v>
      </c>
    </row>
    <row r="210">
      <c r="A210" s="45">
        <v>45912.71393518519</v>
      </c>
      <c r="B210" s="7" t="s">
        <v>416</v>
      </c>
      <c r="C210" s="7" t="s">
        <v>2208</v>
      </c>
      <c r="D210" s="7"/>
      <c r="E210" s="64">
        <v>1.0</v>
      </c>
      <c r="F210" s="64">
        <v>1.0</v>
      </c>
      <c r="G210" s="47">
        <v>124.99</v>
      </c>
      <c r="H210" s="47">
        <v>0.0</v>
      </c>
      <c r="I210" s="47">
        <v>3.92</v>
      </c>
      <c r="J210" s="8">
        <f t="shared" si="1"/>
        <v>121.07</v>
      </c>
      <c r="K210" s="8"/>
      <c r="L210" s="7"/>
      <c r="M210" s="7"/>
      <c r="N210" s="7"/>
      <c r="O210" s="7"/>
      <c r="P210" s="7" t="s">
        <v>490</v>
      </c>
      <c r="Q210" s="7" t="s">
        <v>1440</v>
      </c>
      <c r="R210" s="7" t="s">
        <v>1441</v>
      </c>
      <c r="S210" s="7" t="s">
        <v>1442</v>
      </c>
      <c r="T210" s="7" t="s">
        <v>493</v>
      </c>
      <c r="U210" s="65">
        <v>4154.0</v>
      </c>
    </row>
    <row r="211">
      <c r="A211" s="45">
        <v>45912.71361111111</v>
      </c>
      <c r="B211" s="7" t="s">
        <v>1432</v>
      </c>
      <c r="C211" s="7" t="s">
        <v>2198</v>
      </c>
      <c r="D211" s="7"/>
      <c r="E211" s="64">
        <v>1.0</v>
      </c>
      <c r="F211" s="7"/>
      <c r="G211" s="47">
        <v>24.99</v>
      </c>
      <c r="H211" s="47">
        <v>0.0</v>
      </c>
      <c r="I211" s="47">
        <v>1.02</v>
      </c>
      <c r="J211" s="8">
        <f t="shared" si="1"/>
        <v>23.97</v>
      </c>
      <c r="K211" s="8"/>
      <c r="L211" s="7"/>
      <c r="M211" s="7"/>
      <c r="N211" s="7"/>
      <c r="O211" s="7"/>
      <c r="P211" s="7" t="s">
        <v>490</v>
      </c>
      <c r="Q211" s="7" t="s">
        <v>1433</v>
      </c>
      <c r="R211" s="7"/>
      <c r="S211" s="7" t="s">
        <v>1434</v>
      </c>
      <c r="T211" s="7" t="s">
        <v>493</v>
      </c>
      <c r="U211" s="65">
        <v>4146.0</v>
      </c>
    </row>
    <row r="212">
      <c r="A212" s="45">
        <v>45912.71356481482</v>
      </c>
      <c r="B212" s="7" t="s">
        <v>253</v>
      </c>
      <c r="C212" s="7" t="s">
        <v>2208</v>
      </c>
      <c r="D212" s="7"/>
      <c r="E212" s="64">
        <v>1.0</v>
      </c>
      <c r="F212" s="64">
        <v>1.0</v>
      </c>
      <c r="G212" s="47">
        <v>124.99</v>
      </c>
      <c r="H212" s="47">
        <v>0.0</v>
      </c>
      <c r="I212" s="47">
        <v>3.92</v>
      </c>
      <c r="J212" s="8">
        <f t="shared" si="1"/>
        <v>121.07</v>
      </c>
      <c r="K212" s="8"/>
      <c r="L212" s="7"/>
      <c r="M212" s="7"/>
      <c r="N212" s="7"/>
      <c r="O212" s="7"/>
      <c r="P212" s="7" t="s">
        <v>490</v>
      </c>
      <c r="Q212" s="7" t="s">
        <v>927</v>
      </c>
      <c r="R212" s="7"/>
      <c r="S212" s="7" t="s">
        <v>928</v>
      </c>
      <c r="T212" s="7" t="s">
        <v>493</v>
      </c>
      <c r="U212" s="65">
        <v>4151.0</v>
      </c>
    </row>
    <row r="213">
      <c r="A213" s="45">
        <v>45912.71355324074</v>
      </c>
      <c r="B213" s="7" t="s">
        <v>518</v>
      </c>
      <c r="C213" s="7" t="s">
        <v>2198</v>
      </c>
      <c r="D213" s="7"/>
      <c r="E213" s="64">
        <v>1.0</v>
      </c>
      <c r="F213" s="7"/>
      <c r="G213" s="47">
        <v>24.99</v>
      </c>
      <c r="H213" s="47">
        <v>0.0</v>
      </c>
      <c r="I213" s="47">
        <v>1.4</v>
      </c>
      <c r="J213" s="8">
        <f t="shared" si="1"/>
        <v>23.59</v>
      </c>
      <c r="K213" s="8"/>
      <c r="L213" s="7"/>
      <c r="M213" s="7"/>
      <c r="N213" s="7"/>
      <c r="O213" s="7"/>
      <c r="P213" s="7" t="s">
        <v>490</v>
      </c>
      <c r="Q213" s="7" t="s">
        <v>519</v>
      </c>
      <c r="R213" s="7"/>
      <c r="S213" s="7" t="s">
        <v>520</v>
      </c>
      <c r="T213" s="7" t="s">
        <v>521</v>
      </c>
      <c r="U213" s="65">
        <v>4150.0</v>
      </c>
    </row>
    <row r="214">
      <c r="A214" s="45">
        <v>45912.71335648148</v>
      </c>
      <c r="B214" s="7" t="s">
        <v>236</v>
      </c>
      <c r="C214" s="7" t="s">
        <v>2208</v>
      </c>
      <c r="D214" s="7"/>
      <c r="E214" s="64">
        <v>1.0</v>
      </c>
      <c r="F214" s="64">
        <v>1.0</v>
      </c>
      <c r="G214" s="47">
        <v>124.99</v>
      </c>
      <c r="H214" s="47">
        <v>0.0</v>
      </c>
      <c r="I214" s="47">
        <v>3.92</v>
      </c>
      <c r="J214" s="8">
        <f t="shared" si="1"/>
        <v>121.07</v>
      </c>
      <c r="K214" s="8"/>
      <c r="L214" s="7"/>
      <c r="M214" s="7"/>
      <c r="N214" s="7"/>
      <c r="O214" s="7"/>
      <c r="P214" s="7" t="s">
        <v>490</v>
      </c>
      <c r="Q214" s="7" t="s">
        <v>1635</v>
      </c>
      <c r="R214" s="7"/>
      <c r="S214" s="7" t="s">
        <v>1636</v>
      </c>
      <c r="T214" s="7" t="s">
        <v>493</v>
      </c>
      <c r="U214" s="65">
        <v>4147.0</v>
      </c>
    </row>
    <row r="215">
      <c r="A215" s="45">
        <v>45912.71333333333</v>
      </c>
      <c r="B215" s="7" t="s">
        <v>1822</v>
      </c>
      <c r="C215" s="7" t="s">
        <v>2208</v>
      </c>
      <c r="D215" s="7"/>
      <c r="E215" s="64">
        <v>1.0</v>
      </c>
      <c r="F215" s="64">
        <v>1.0</v>
      </c>
      <c r="G215" s="47">
        <v>135.3</v>
      </c>
      <c r="H215" s="47">
        <v>0.0</v>
      </c>
      <c r="I215" s="47">
        <v>4.22</v>
      </c>
      <c r="J215" s="8">
        <f t="shared" si="1"/>
        <v>131.08</v>
      </c>
      <c r="K215" s="8"/>
      <c r="L215" s="7"/>
      <c r="M215" s="7"/>
      <c r="N215" s="7"/>
      <c r="O215" s="7"/>
      <c r="P215" s="7" t="s">
        <v>490</v>
      </c>
      <c r="Q215" s="7" t="s">
        <v>1823</v>
      </c>
      <c r="R215" s="7"/>
      <c r="S215" s="7" t="s">
        <v>1356</v>
      </c>
      <c r="T215" s="7" t="s">
        <v>493</v>
      </c>
      <c r="U215" s="65">
        <v>4148.0</v>
      </c>
    </row>
    <row r="216">
      <c r="A216" s="45">
        <v>45912.71299768519</v>
      </c>
      <c r="B216" s="7" t="s">
        <v>287</v>
      </c>
      <c r="C216" s="7" t="s">
        <v>2198</v>
      </c>
      <c r="D216" s="7"/>
      <c r="E216" s="64">
        <v>1.0</v>
      </c>
      <c r="F216" s="7"/>
      <c r="G216" s="47">
        <v>24.99</v>
      </c>
      <c r="H216" s="47">
        <v>0.0</v>
      </c>
      <c r="I216" s="47">
        <v>1.02</v>
      </c>
      <c r="J216" s="8">
        <f t="shared" si="1"/>
        <v>23.97</v>
      </c>
      <c r="K216" s="8"/>
      <c r="L216" s="7"/>
      <c r="M216" s="7"/>
      <c r="N216" s="7"/>
      <c r="O216" s="7"/>
      <c r="P216" s="7" t="s">
        <v>490</v>
      </c>
      <c r="Q216" s="7"/>
      <c r="R216" s="7"/>
      <c r="S216" s="7"/>
      <c r="T216" s="7" t="s">
        <v>493</v>
      </c>
      <c r="U216" s="65">
        <v>4144.0</v>
      </c>
    </row>
    <row r="217">
      <c r="A217" s="45">
        <v>45912.71236111111</v>
      </c>
      <c r="B217" s="7" t="s">
        <v>351</v>
      </c>
      <c r="C217" s="7" t="s">
        <v>2198</v>
      </c>
      <c r="D217" s="7"/>
      <c r="E217" s="64">
        <v>1.0</v>
      </c>
      <c r="F217" s="7"/>
      <c r="G217" s="47">
        <v>24.99</v>
      </c>
      <c r="H217" s="47">
        <v>0.0</v>
      </c>
      <c r="I217" s="47">
        <v>1.4</v>
      </c>
      <c r="J217" s="8">
        <f t="shared" si="1"/>
        <v>23.59</v>
      </c>
      <c r="K217" s="8"/>
      <c r="L217" s="7"/>
      <c r="M217" s="7"/>
      <c r="N217" s="7"/>
      <c r="O217" s="7"/>
      <c r="P217" s="7" t="s">
        <v>490</v>
      </c>
      <c r="Q217" s="7" t="s">
        <v>2174</v>
      </c>
      <c r="R217" s="7" t="s">
        <v>2175</v>
      </c>
      <c r="S217" s="7" t="s">
        <v>1601</v>
      </c>
      <c r="T217" s="7" t="s">
        <v>497</v>
      </c>
      <c r="U217" s="65">
        <v>4145.0</v>
      </c>
    </row>
    <row r="218">
      <c r="A218" s="45">
        <v>45912.711018518516</v>
      </c>
      <c r="B218" s="7" t="s">
        <v>1153</v>
      </c>
      <c r="C218" s="7" t="s">
        <v>2198</v>
      </c>
      <c r="D218" s="7"/>
      <c r="E218" s="64">
        <v>1.0</v>
      </c>
      <c r="F218" s="7"/>
      <c r="G218" s="47">
        <v>24.99</v>
      </c>
      <c r="H218" s="47">
        <v>0.0</v>
      </c>
      <c r="I218" s="47">
        <v>1.02</v>
      </c>
      <c r="J218" s="8">
        <f t="shared" si="1"/>
        <v>23.97</v>
      </c>
      <c r="K218" s="8"/>
      <c r="L218" s="7"/>
      <c r="M218" s="7"/>
      <c r="N218" s="7"/>
      <c r="O218" s="7"/>
      <c r="P218" s="7" t="s">
        <v>490</v>
      </c>
      <c r="Q218" s="7" t="s">
        <v>1154</v>
      </c>
      <c r="R218" s="7"/>
      <c r="S218" s="7" t="s">
        <v>1155</v>
      </c>
      <c r="T218" s="7" t="s">
        <v>493</v>
      </c>
      <c r="U218" s="65">
        <v>4142.0</v>
      </c>
    </row>
    <row r="219">
      <c r="A219" s="45">
        <v>45912.71056712963</v>
      </c>
      <c r="B219" s="7" t="s">
        <v>1237</v>
      </c>
      <c r="C219" s="7" t="s">
        <v>2198</v>
      </c>
      <c r="D219" s="7"/>
      <c r="E219" s="64">
        <v>1.0</v>
      </c>
      <c r="F219" s="7"/>
      <c r="G219" s="47">
        <v>27.05</v>
      </c>
      <c r="H219" s="47">
        <v>0.0</v>
      </c>
      <c r="I219" s="47">
        <v>1.08</v>
      </c>
      <c r="J219" s="8">
        <f t="shared" si="1"/>
        <v>25.97</v>
      </c>
      <c r="K219" s="8"/>
      <c r="L219" s="7"/>
      <c r="M219" s="7"/>
      <c r="N219" s="7"/>
      <c r="O219" s="7"/>
      <c r="P219" s="7" t="s">
        <v>490</v>
      </c>
      <c r="Q219" s="7" t="s">
        <v>1238</v>
      </c>
      <c r="R219" s="7"/>
      <c r="S219" s="7" t="s">
        <v>1239</v>
      </c>
      <c r="T219" s="7" t="s">
        <v>493</v>
      </c>
      <c r="U219" s="65">
        <v>4141.0</v>
      </c>
    </row>
    <row r="220">
      <c r="A220" s="45">
        <v>45912.71045138889</v>
      </c>
      <c r="B220" s="7" t="s">
        <v>440</v>
      </c>
      <c r="C220" s="7" t="s">
        <v>2198</v>
      </c>
      <c r="D220" s="7"/>
      <c r="E220" s="64">
        <v>1.0</v>
      </c>
      <c r="F220" s="7"/>
      <c r="G220" s="47">
        <v>24.99</v>
      </c>
      <c r="H220" s="47">
        <v>0.0</v>
      </c>
      <c r="I220" s="47">
        <v>1.02</v>
      </c>
      <c r="J220" s="8">
        <f t="shared" si="1"/>
        <v>23.97</v>
      </c>
      <c r="K220" s="8"/>
      <c r="L220" s="7"/>
      <c r="M220" s="7"/>
      <c r="N220" s="7"/>
      <c r="O220" s="7"/>
      <c r="P220" s="7" t="s">
        <v>490</v>
      </c>
      <c r="Q220" s="7" t="s">
        <v>1949</v>
      </c>
      <c r="R220" s="7"/>
      <c r="S220" s="7" t="s">
        <v>1745</v>
      </c>
      <c r="T220" s="7" t="s">
        <v>493</v>
      </c>
      <c r="U220" s="65">
        <v>4140.0</v>
      </c>
    </row>
    <row r="221">
      <c r="A221" s="45">
        <v>45912.70991898148</v>
      </c>
      <c r="B221" s="7" t="s">
        <v>190</v>
      </c>
      <c r="C221" s="7" t="s">
        <v>2198</v>
      </c>
      <c r="D221" s="7"/>
      <c r="E221" s="64">
        <v>1.0</v>
      </c>
      <c r="F221" s="7"/>
      <c r="G221" s="47">
        <v>24.99</v>
      </c>
      <c r="H221" s="47">
        <v>0.0</v>
      </c>
      <c r="I221" s="47">
        <v>1.4</v>
      </c>
      <c r="J221" s="8">
        <f t="shared" si="1"/>
        <v>23.59</v>
      </c>
      <c r="K221" s="8"/>
      <c r="L221" s="7"/>
      <c r="M221" s="7"/>
      <c r="N221" s="7"/>
      <c r="O221" s="7"/>
      <c r="P221" s="7" t="s">
        <v>490</v>
      </c>
      <c r="Q221" s="7" t="s">
        <v>778</v>
      </c>
      <c r="R221" s="7"/>
      <c r="S221" s="7" t="s">
        <v>779</v>
      </c>
      <c r="T221" s="7" t="s">
        <v>51</v>
      </c>
      <c r="U221" s="65">
        <v>4139.0</v>
      </c>
    </row>
    <row r="222">
      <c r="A222" s="45">
        <v>45912.709699074076</v>
      </c>
      <c r="B222" s="7" t="s">
        <v>162</v>
      </c>
      <c r="C222" s="7" t="s">
        <v>2208</v>
      </c>
      <c r="D222" s="7"/>
      <c r="E222" s="64">
        <v>1.0</v>
      </c>
      <c r="F222" s="64">
        <v>1.0</v>
      </c>
      <c r="G222" s="47">
        <v>124.99</v>
      </c>
      <c r="H222" s="47">
        <v>0.0</v>
      </c>
      <c r="I222" s="47">
        <v>5.8</v>
      </c>
      <c r="J222" s="8">
        <f t="shared" si="1"/>
        <v>119.19</v>
      </c>
      <c r="K222" s="8"/>
      <c r="L222" s="7"/>
      <c r="M222" s="7"/>
      <c r="N222" s="7"/>
      <c r="O222" s="7"/>
      <c r="P222" s="7" t="s">
        <v>490</v>
      </c>
      <c r="Q222" s="7" t="s">
        <v>2274</v>
      </c>
      <c r="R222" s="65">
        <v>4.0</v>
      </c>
      <c r="S222" s="7" t="s">
        <v>842</v>
      </c>
      <c r="T222" s="7" t="s">
        <v>525</v>
      </c>
      <c r="U222" s="65">
        <v>4136.0</v>
      </c>
    </row>
    <row r="223">
      <c r="A223" s="45">
        <v>45912.70967592593</v>
      </c>
      <c r="B223" s="7" t="s">
        <v>296</v>
      </c>
      <c r="C223" s="7" t="s">
        <v>2198</v>
      </c>
      <c r="D223" s="7"/>
      <c r="E223" s="64">
        <v>1.0</v>
      </c>
      <c r="F223" s="7"/>
      <c r="G223" s="47">
        <v>24.99</v>
      </c>
      <c r="H223" s="47">
        <v>0.0</v>
      </c>
      <c r="I223" s="47">
        <v>1.4</v>
      </c>
      <c r="J223" s="8">
        <f t="shared" si="1"/>
        <v>23.59</v>
      </c>
      <c r="K223" s="8"/>
      <c r="L223" s="7"/>
      <c r="M223" s="7"/>
      <c r="N223" s="7"/>
      <c r="O223" s="7"/>
      <c r="P223" s="7" t="s">
        <v>490</v>
      </c>
      <c r="Q223" s="7" t="s">
        <v>968</v>
      </c>
      <c r="R223" s="7"/>
      <c r="S223" s="7" t="s">
        <v>969</v>
      </c>
      <c r="T223" s="7" t="s">
        <v>617</v>
      </c>
      <c r="U223" s="65">
        <v>4138.0</v>
      </c>
    </row>
    <row r="224">
      <c r="A224" s="45">
        <v>45912.709652777776</v>
      </c>
      <c r="B224" s="7" t="s">
        <v>434</v>
      </c>
      <c r="C224" s="7" t="s">
        <v>2208</v>
      </c>
      <c r="D224" s="7"/>
      <c r="E224" s="64">
        <v>1.0</v>
      </c>
      <c r="F224" s="64">
        <v>1.0</v>
      </c>
      <c r="G224" s="47">
        <v>132.49</v>
      </c>
      <c r="H224" s="47">
        <v>0.0</v>
      </c>
      <c r="I224" s="47">
        <v>4.14</v>
      </c>
      <c r="J224" s="8">
        <f t="shared" si="1"/>
        <v>128.35</v>
      </c>
      <c r="K224" s="8"/>
      <c r="L224" s="7"/>
      <c r="M224" s="7"/>
      <c r="N224" s="7"/>
      <c r="O224" s="7"/>
      <c r="P224" s="7" t="s">
        <v>490</v>
      </c>
      <c r="Q224" s="7" t="s">
        <v>1342</v>
      </c>
      <c r="R224" s="7"/>
      <c r="S224" s="7" t="s">
        <v>1343</v>
      </c>
      <c r="T224" s="7" t="s">
        <v>493</v>
      </c>
      <c r="U224" s="65">
        <v>4137.0</v>
      </c>
    </row>
    <row r="225">
      <c r="A225" s="45">
        <v>45912.70883101852</v>
      </c>
      <c r="B225" s="7" t="s">
        <v>272</v>
      </c>
      <c r="C225" s="7" t="s">
        <v>2208</v>
      </c>
      <c r="D225" s="7"/>
      <c r="E225" s="64">
        <v>1.0</v>
      </c>
      <c r="F225" s="64">
        <v>1.0</v>
      </c>
      <c r="G225" s="47">
        <v>124.99</v>
      </c>
      <c r="H225" s="47">
        <v>0.0</v>
      </c>
      <c r="I225" s="47">
        <v>5.8</v>
      </c>
      <c r="J225" s="8">
        <f t="shared" si="1"/>
        <v>119.19</v>
      </c>
      <c r="K225" s="8"/>
      <c r="L225" s="7"/>
      <c r="M225" s="7"/>
      <c r="N225" s="7"/>
      <c r="O225" s="7"/>
      <c r="P225" s="7" t="s">
        <v>490</v>
      </c>
      <c r="Q225" s="7" t="s">
        <v>1131</v>
      </c>
      <c r="R225" s="7"/>
      <c r="S225" s="7" t="s">
        <v>1132</v>
      </c>
      <c r="T225" s="7" t="s">
        <v>545</v>
      </c>
      <c r="U225" s="65">
        <v>4121.0</v>
      </c>
    </row>
    <row r="226">
      <c r="A226" s="45">
        <v>45912.70878472222</v>
      </c>
      <c r="B226" s="7" t="s">
        <v>977</v>
      </c>
      <c r="C226" s="7" t="s">
        <v>2198</v>
      </c>
      <c r="D226" s="7"/>
      <c r="E226" s="64">
        <v>1.0</v>
      </c>
      <c r="F226" s="7"/>
      <c r="G226" s="47">
        <v>24.99</v>
      </c>
      <c r="H226" s="47">
        <v>0.0</v>
      </c>
      <c r="I226" s="47">
        <v>1.02</v>
      </c>
      <c r="J226" s="8">
        <f t="shared" si="1"/>
        <v>23.97</v>
      </c>
      <c r="K226" s="8"/>
      <c r="L226" s="7"/>
      <c r="M226" s="7"/>
      <c r="N226" s="7"/>
      <c r="O226" s="7"/>
      <c r="P226" s="7" t="s">
        <v>490</v>
      </c>
      <c r="Q226" s="7" t="s">
        <v>978</v>
      </c>
      <c r="R226" s="7" t="s">
        <v>979</v>
      </c>
      <c r="S226" s="7" t="s">
        <v>980</v>
      </c>
      <c r="T226" s="7" t="s">
        <v>493</v>
      </c>
      <c r="U226" s="65">
        <v>4135.0</v>
      </c>
    </row>
    <row r="227">
      <c r="A227" s="45">
        <v>45912.70873842593</v>
      </c>
      <c r="B227" s="7" t="s">
        <v>1245</v>
      </c>
      <c r="C227" s="7" t="s">
        <v>2198</v>
      </c>
      <c r="D227" s="7"/>
      <c r="E227" s="64">
        <v>1.0</v>
      </c>
      <c r="F227" s="7"/>
      <c r="G227" s="47">
        <v>24.99</v>
      </c>
      <c r="H227" s="47">
        <v>0.0</v>
      </c>
      <c r="I227" s="47">
        <v>1.02</v>
      </c>
      <c r="J227" s="8">
        <f t="shared" si="1"/>
        <v>23.97</v>
      </c>
      <c r="K227" s="8"/>
      <c r="L227" s="7"/>
      <c r="M227" s="7"/>
      <c r="N227" s="7"/>
      <c r="O227" s="7"/>
      <c r="P227" s="7" t="s">
        <v>490</v>
      </c>
      <c r="Q227" s="7" t="s">
        <v>1246</v>
      </c>
      <c r="R227" s="7"/>
      <c r="S227" s="7" t="s">
        <v>1247</v>
      </c>
      <c r="T227" s="7" t="s">
        <v>493</v>
      </c>
      <c r="U227" s="65">
        <v>4133.0</v>
      </c>
    </row>
    <row r="228">
      <c r="A228" s="45">
        <v>45912.708553240744</v>
      </c>
      <c r="B228" s="7" t="s">
        <v>337</v>
      </c>
      <c r="C228" s="7" t="s">
        <v>2198</v>
      </c>
      <c r="D228" s="7"/>
      <c r="E228" s="64">
        <v>1.0</v>
      </c>
      <c r="F228" s="7"/>
      <c r="G228" s="47">
        <v>24.99</v>
      </c>
      <c r="H228" s="47">
        <v>0.0</v>
      </c>
      <c r="I228" s="47">
        <v>1.02</v>
      </c>
      <c r="J228" s="8">
        <f t="shared" si="1"/>
        <v>23.97</v>
      </c>
      <c r="K228" s="8"/>
      <c r="L228" s="7"/>
      <c r="M228" s="7"/>
      <c r="N228" s="7"/>
      <c r="O228" s="7"/>
      <c r="P228" s="7" t="s">
        <v>490</v>
      </c>
      <c r="Q228" s="7" t="s">
        <v>1885</v>
      </c>
      <c r="R228" s="7"/>
      <c r="S228" s="7" t="s">
        <v>1147</v>
      </c>
      <c r="T228" s="7" t="s">
        <v>493</v>
      </c>
      <c r="U228" s="65">
        <v>4134.0</v>
      </c>
    </row>
    <row r="229">
      <c r="A229" s="45">
        <v>45912.708090277774</v>
      </c>
      <c r="B229" s="7" t="s">
        <v>741</v>
      </c>
      <c r="C229" s="7" t="s">
        <v>2198</v>
      </c>
      <c r="D229" s="7"/>
      <c r="E229" s="64">
        <v>1.0</v>
      </c>
      <c r="F229" s="7"/>
      <c r="G229" s="47">
        <v>24.99</v>
      </c>
      <c r="H229" s="47">
        <v>0.0</v>
      </c>
      <c r="I229" s="47">
        <v>1.02</v>
      </c>
      <c r="J229" s="8">
        <f t="shared" si="1"/>
        <v>23.97</v>
      </c>
      <c r="K229" s="8"/>
      <c r="L229" s="7"/>
      <c r="M229" s="7"/>
      <c r="N229" s="7"/>
      <c r="O229" s="7"/>
      <c r="P229" s="7" t="s">
        <v>490</v>
      </c>
      <c r="Q229" s="7" t="s">
        <v>742</v>
      </c>
      <c r="R229" s="7"/>
      <c r="S229" s="7" t="s">
        <v>743</v>
      </c>
      <c r="T229" s="7" t="s">
        <v>493</v>
      </c>
      <c r="U229" s="65">
        <v>4132.0</v>
      </c>
    </row>
    <row r="230">
      <c r="A230" s="45">
        <v>45912.70648148148</v>
      </c>
      <c r="B230" s="7" t="s">
        <v>2275</v>
      </c>
      <c r="C230" s="7" t="s">
        <v>2198</v>
      </c>
      <c r="D230" s="7"/>
      <c r="E230" s="64">
        <v>1.0</v>
      </c>
      <c r="F230" s="7"/>
      <c r="G230" s="47">
        <v>24.99</v>
      </c>
      <c r="H230" s="47">
        <v>0.0</v>
      </c>
      <c r="I230" s="47">
        <v>1.02</v>
      </c>
      <c r="J230" s="8">
        <f t="shared" si="1"/>
        <v>23.97</v>
      </c>
      <c r="K230" s="8"/>
      <c r="L230" s="7"/>
      <c r="M230" s="7"/>
      <c r="N230" s="7"/>
      <c r="O230" s="7"/>
      <c r="P230" s="7" t="s">
        <v>490</v>
      </c>
      <c r="Q230" s="7" t="s">
        <v>760</v>
      </c>
      <c r="R230" s="7" t="s">
        <v>761</v>
      </c>
      <c r="S230" s="7" t="s">
        <v>762</v>
      </c>
      <c r="T230" s="7" t="s">
        <v>493</v>
      </c>
      <c r="U230" s="65">
        <v>4129.0</v>
      </c>
    </row>
    <row r="231">
      <c r="A231" s="45">
        <v>45912.7062037037</v>
      </c>
      <c r="B231" s="7" t="s">
        <v>394</v>
      </c>
      <c r="C231" s="7" t="s">
        <v>2198</v>
      </c>
      <c r="D231" s="7"/>
      <c r="E231" s="64">
        <v>1.0</v>
      </c>
      <c r="F231" s="7"/>
      <c r="G231" s="47">
        <v>24.99</v>
      </c>
      <c r="H231" s="47">
        <v>0.0</v>
      </c>
      <c r="I231" s="47">
        <v>1.4</v>
      </c>
      <c r="J231" s="8">
        <f t="shared" si="1"/>
        <v>23.59</v>
      </c>
      <c r="K231" s="8"/>
      <c r="L231" s="7"/>
      <c r="M231" s="7"/>
      <c r="N231" s="7"/>
      <c r="O231" s="7"/>
      <c r="P231" s="7" t="s">
        <v>490</v>
      </c>
      <c r="Q231" s="7" t="s">
        <v>1854</v>
      </c>
      <c r="R231" s="7"/>
      <c r="S231" s="7" t="s">
        <v>1672</v>
      </c>
      <c r="T231" s="7" t="s">
        <v>521</v>
      </c>
      <c r="U231" s="65">
        <v>4128.0</v>
      </c>
    </row>
    <row r="232">
      <c r="A232" s="45">
        <v>45912.70542824074</v>
      </c>
      <c r="B232" s="7" t="s">
        <v>388</v>
      </c>
      <c r="C232" s="7" t="s">
        <v>2198</v>
      </c>
      <c r="D232" s="7"/>
      <c r="E232" s="64">
        <v>1.0</v>
      </c>
      <c r="F232" s="7"/>
      <c r="G232" s="47">
        <v>24.99</v>
      </c>
      <c r="H232" s="47">
        <v>0.0</v>
      </c>
      <c r="I232" s="47">
        <v>1.4</v>
      </c>
      <c r="J232" s="8">
        <f t="shared" si="1"/>
        <v>23.59</v>
      </c>
      <c r="K232" s="8"/>
      <c r="L232" s="7"/>
      <c r="M232" s="7"/>
      <c r="N232" s="7"/>
      <c r="O232" s="7"/>
      <c r="P232" s="7" t="s">
        <v>490</v>
      </c>
      <c r="Q232" s="7" t="s">
        <v>1665</v>
      </c>
      <c r="R232" s="7"/>
      <c r="S232" s="7" t="s">
        <v>2062</v>
      </c>
      <c r="T232" s="7" t="s">
        <v>555</v>
      </c>
      <c r="U232" s="65">
        <v>4127.0</v>
      </c>
    </row>
    <row r="233">
      <c r="A233" s="45">
        <v>45912.70537037037</v>
      </c>
      <c r="B233" s="7" t="s">
        <v>442</v>
      </c>
      <c r="C233" s="7" t="s">
        <v>2198</v>
      </c>
      <c r="D233" s="7"/>
      <c r="E233" s="64">
        <v>1.0</v>
      </c>
      <c r="F233" s="7"/>
      <c r="G233" s="47">
        <v>24.99</v>
      </c>
      <c r="H233" s="47">
        <v>0.0</v>
      </c>
      <c r="I233" s="47">
        <v>1.02</v>
      </c>
      <c r="J233" s="8">
        <f t="shared" si="1"/>
        <v>23.97</v>
      </c>
      <c r="K233" s="8"/>
      <c r="L233" s="7"/>
      <c r="M233" s="7"/>
      <c r="N233" s="7"/>
      <c r="O233" s="7"/>
      <c r="P233" s="7" t="s">
        <v>490</v>
      </c>
      <c r="Q233" s="7" t="s">
        <v>1623</v>
      </c>
      <c r="R233" s="7"/>
      <c r="S233" s="7" t="s">
        <v>1349</v>
      </c>
      <c r="T233" s="7" t="s">
        <v>493</v>
      </c>
      <c r="U233" s="65">
        <v>4125.0</v>
      </c>
    </row>
    <row r="234">
      <c r="A234" s="45">
        <v>45912.705034722225</v>
      </c>
      <c r="B234" s="7" t="s">
        <v>113</v>
      </c>
      <c r="C234" s="7" t="s">
        <v>2198</v>
      </c>
      <c r="D234" s="7"/>
      <c r="E234" s="64">
        <v>1.0</v>
      </c>
      <c r="F234" s="7"/>
      <c r="G234" s="47">
        <v>24.99</v>
      </c>
      <c r="H234" s="47">
        <v>0.0</v>
      </c>
      <c r="I234" s="47">
        <v>1.4</v>
      </c>
      <c r="J234" s="8">
        <f t="shared" si="1"/>
        <v>23.59</v>
      </c>
      <c r="K234" s="8"/>
      <c r="L234" s="7"/>
      <c r="M234" s="7"/>
      <c r="N234" s="7"/>
      <c r="O234" s="7"/>
      <c r="P234" s="7" t="s">
        <v>490</v>
      </c>
      <c r="Q234" s="7" t="s">
        <v>553</v>
      </c>
      <c r="R234" s="7"/>
      <c r="S234" s="7" t="s">
        <v>554</v>
      </c>
      <c r="T234" s="7" t="s">
        <v>555</v>
      </c>
      <c r="U234" s="65">
        <v>4120.0</v>
      </c>
    </row>
    <row r="235">
      <c r="A235" s="45">
        <v>45912.70460648148</v>
      </c>
      <c r="B235" s="7" t="s">
        <v>592</v>
      </c>
      <c r="C235" s="7" t="s">
        <v>2198</v>
      </c>
      <c r="D235" s="7"/>
      <c r="E235" s="64">
        <v>1.0</v>
      </c>
      <c r="F235" s="7"/>
      <c r="G235" s="47">
        <v>27.61</v>
      </c>
      <c r="H235" s="47">
        <v>0.0</v>
      </c>
      <c r="I235" s="47">
        <v>1.1</v>
      </c>
      <c r="J235" s="8">
        <f t="shared" si="1"/>
        <v>26.51</v>
      </c>
      <c r="K235" s="8"/>
      <c r="L235" s="7"/>
      <c r="M235" s="7"/>
      <c r="N235" s="7"/>
      <c r="O235" s="7"/>
      <c r="P235" s="7" t="s">
        <v>490</v>
      </c>
      <c r="Q235" s="7" t="s">
        <v>593</v>
      </c>
      <c r="R235" s="7"/>
      <c r="S235" s="7" t="s">
        <v>594</v>
      </c>
      <c r="T235" s="7" t="s">
        <v>493</v>
      </c>
      <c r="U235" s="65">
        <v>4099.0</v>
      </c>
    </row>
    <row r="236">
      <c r="A236" s="45">
        <v>45912.70381944445</v>
      </c>
      <c r="B236" s="7" t="s">
        <v>429</v>
      </c>
      <c r="C236" s="7" t="s">
        <v>2208</v>
      </c>
      <c r="D236" s="7"/>
      <c r="E236" s="64">
        <v>1.0</v>
      </c>
      <c r="F236" s="64">
        <v>1.0</v>
      </c>
      <c r="G236" s="47">
        <v>124.99</v>
      </c>
      <c r="H236" s="47">
        <v>0.0</v>
      </c>
      <c r="I236" s="47">
        <v>5.8</v>
      </c>
      <c r="J236" s="8">
        <f t="shared" si="1"/>
        <v>119.19</v>
      </c>
      <c r="K236" s="8"/>
      <c r="L236" s="7"/>
      <c r="M236" s="7"/>
      <c r="N236" s="7"/>
      <c r="O236" s="7"/>
      <c r="P236" s="7" t="s">
        <v>490</v>
      </c>
      <c r="Q236" s="7" t="s">
        <v>1438</v>
      </c>
      <c r="R236" s="7"/>
      <c r="S236" s="7" t="s">
        <v>1439</v>
      </c>
      <c r="T236" s="7" t="s">
        <v>939</v>
      </c>
      <c r="U236" s="65">
        <v>4122.0</v>
      </c>
    </row>
    <row r="237">
      <c r="A237" s="45">
        <v>45912.702997685185</v>
      </c>
      <c r="B237" s="7" t="s">
        <v>374</v>
      </c>
      <c r="C237" s="7" t="s">
        <v>2198</v>
      </c>
      <c r="D237" s="7"/>
      <c r="E237" s="64">
        <v>1.0</v>
      </c>
      <c r="F237" s="7"/>
      <c r="G237" s="47">
        <v>24.99</v>
      </c>
      <c r="H237" s="47">
        <v>0.0</v>
      </c>
      <c r="I237" s="47">
        <v>1.4</v>
      </c>
      <c r="J237" s="8">
        <f t="shared" si="1"/>
        <v>23.59</v>
      </c>
      <c r="K237" s="8"/>
      <c r="L237" s="7"/>
      <c r="M237" s="7"/>
      <c r="N237" s="7"/>
      <c r="O237" s="7"/>
      <c r="P237" s="7" t="s">
        <v>490</v>
      </c>
      <c r="Q237" s="7" t="s">
        <v>507</v>
      </c>
      <c r="R237" s="7" t="s">
        <v>2276</v>
      </c>
      <c r="S237" s="7" t="s">
        <v>509</v>
      </c>
      <c r="T237" s="7" t="s">
        <v>510</v>
      </c>
      <c r="U237" s="65">
        <v>4118.0</v>
      </c>
    </row>
    <row r="238">
      <c r="A238" s="45">
        <v>45912.70276620371</v>
      </c>
      <c r="B238" s="7" t="s">
        <v>723</v>
      </c>
      <c r="C238" s="7" t="s">
        <v>2208</v>
      </c>
      <c r="D238" s="7"/>
      <c r="E238" s="64">
        <v>1.0</v>
      </c>
      <c r="F238" s="64">
        <v>1.0</v>
      </c>
      <c r="G238" s="47">
        <v>124.99</v>
      </c>
      <c r="H238" s="47">
        <v>0.0</v>
      </c>
      <c r="I238" s="47">
        <v>5.8</v>
      </c>
      <c r="J238" s="8">
        <f t="shared" si="1"/>
        <v>119.19</v>
      </c>
      <c r="K238" s="8"/>
      <c r="L238" s="7"/>
      <c r="M238" s="7"/>
      <c r="N238" s="7"/>
      <c r="O238" s="7"/>
      <c r="P238" s="7" t="s">
        <v>490</v>
      </c>
      <c r="Q238" s="7" t="s">
        <v>724</v>
      </c>
      <c r="R238" s="7"/>
      <c r="S238" s="7" t="s">
        <v>725</v>
      </c>
      <c r="T238" s="7" t="s">
        <v>726</v>
      </c>
      <c r="U238" s="65">
        <v>4119.0</v>
      </c>
    </row>
    <row r="239">
      <c r="A239" s="45">
        <v>45912.70153935185</v>
      </c>
      <c r="B239" s="7" t="s">
        <v>240</v>
      </c>
      <c r="C239" s="7" t="s">
        <v>2208</v>
      </c>
      <c r="D239" s="7"/>
      <c r="E239" s="64">
        <v>1.0</v>
      </c>
      <c r="F239" s="64">
        <v>1.0</v>
      </c>
      <c r="G239" s="47">
        <v>135.43</v>
      </c>
      <c r="H239" s="47">
        <v>0.0</v>
      </c>
      <c r="I239" s="47">
        <v>4.23</v>
      </c>
      <c r="J239" s="8">
        <f t="shared" si="1"/>
        <v>131.2</v>
      </c>
      <c r="K239" s="8"/>
      <c r="L239" s="7"/>
      <c r="M239" s="7"/>
      <c r="N239" s="7"/>
      <c r="O239" s="7"/>
      <c r="P239" s="7" t="s">
        <v>490</v>
      </c>
      <c r="Q239" s="7" t="s">
        <v>1544</v>
      </c>
      <c r="R239" s="7"/>
      <c r="S239" s="7" t="s">
        <v>1545</v>
      </c>
      <c r="T239" s="7" t="s">
        <v>493</v>
      </c>
      <c r="U239" s="65">
        <v>4116.0</v>
      </c>
    </row>
    <row r="240">
      <c r="A240" s="45">
        <v>45912.70101851852</v>
      </c>
      <c r="B240" s="7" t="s">
        <v>1384</v>
      </c>
      <c r="C240" s="7" t="s">
        <v>2208</v>
      </c>
      <c r="D240" s="7"/>
      <c r="E240" s="64">
        <v>1.0</v>
      </c>
      <c r="F240" s="64">
        <v>1.0</v>
      </c>
      <c r="G240" s="47">
        <v>124.99</v>
      </c>
      <c r="H240" s="47">
        <v>0.0</v>
      </c>
      <c r="I240" s="47">
        <v>3.92</v>
      </c>
      <c r="J240" s="8">
        <f t="shared" si="1"/>
        <v>121.07</v>
      </c>
      <c r="K240" s="8"/>
      <c r="L240" s="7"/>
      <c r="M240" s="7"/>
      <c r="N240" s="7"/>
      <c r="O240" s="7"/>
      <c r="P240" s="7" t="s">
        <v>490</v>
      </c>
      <c r="Q240" s="7" t="s">
        <v>1385</v>
      </c>
      <c r="R240" s="7"/>
      <c r="S240" s="7" t="s">
        <v>1386</v>
      </c>
      <c r="T240" s="7" t="s">
        <v>493</v>
      </c>
      <c r="U240" s="65">
        <v>4111.0</v>
      </c>
    </row>
    <row r="241">
      <c r="A241" s="45">
        <v>45912.70049768518</v>
      </c>
      <c r="B241" s="7" t="s">
        <v>199</v>
      </c>
      <c r="C241" s="7" t="s">
        <v>2198</v>
      </c>
      <c r="D241" s="7"/>
      <c r="E241" s="64">
        <v>1.0</v>
      </c>
      <c r="F241" s="7"/>
      <c r="G241" s="47">
        <v>24.99</v>
      </c>
      <c r="H241" s="47">
        <v>0.0</v>
      </c>
      <c r="I241" s="47">
        <v>1.4</v>
      </c>
      <c r="J241" s="8">
        <f t="shared" si="1"/>
        <v>23.59</v>
      </c>
      <c r="K241" s="8"/>
      <c r="L241" s="7"/>
      <c r="M241" s="7"/>
      <c r="N241" s="7"/>
      <c r="O241" s="7"/>
      <c r="P241" s="7" t="s">
        <v>490</v>
      </c>
      <c r="Q241" s="7" t="s">
        <v>1687</v>
      </c>
      <c r="R241" s="7"/>
      <c r="S241" s="7" t="s">
        <v>1379</v>
      </c>
      <c r="T241" s="7" t="s">
        <v>525</v>
      </c>
      <c r="U241" s="65">
        <v>4110.0</v>
      </c>
    </row>
    <row r="242">
      <c r="A242" s="45">
        <v>45912.70017361111</v>
      </c>
      <c r="B242" s="7" t="s">
        <v>130</v>
      </c>
      <c r="C242" s="7" t="s">
        <v>2208</v>
      </c>
      <c r="D242" s="7"/>
      <c r="E242" s="64">
        <v>1.0</v>
      </c>
      <c r="F242" s="64">
        <v>1.0</v>
      </c>
      <c r="G242" s="47">
        <v>124.99</v>
      </c>
      <c r="H242" s="47">
        <v>0.0</v>
      </c>
      <c r="I242" s="47">
        <v>5.8</v>
      </c>
      <c r="J242" s="8">
        <f t="shared" si="1"/>
        <v>119.19</v>
      </c>
      <c r="K242" s="8"/>
      <c r="L242" s="7"/>
      <c r="M242" s="7"/>
      <c r="N242" s="7"/>
      <c r="O242" s="7"/>
      <c r="P242" s="7" t="s">
        <v>490</v>
      </c>
      <c r="Q242" s="7"/>
      <c r="R242" s="7"/>
      <c r="S242" s="7"/>
      <c r="T242" s="7" t="s">
        <v>521</v>
      </c>
      <c r="U242" s="65">
        <v>4104.0</v>
      </c>
    </row>
    <row r="243">
      <c r="A243" s="45">
        <v>45912.699907407405</v>
      </c>
      <c r="B243" s="7" t="s">
        <v>244</v>
      </c>
      <c r="C243" s="7" t="s">
        <v>2208</v>
      </c>
      <c r="D243" s="7"/>
      <c r="E243" s="64">
        <v>1.0</v>
      </c>
      <c r="F243" s="64">
        <v>1.0</v>
      </c>
      <c r="G243" s="47">
        <v>138.23</v>
      </c>
      <c r="H243" s="47">
        <v>0.0</v>
      </c>
      <c r="I243" s="47">
        <v>4.31</v>
      </c>
      <c r="J243" s="8">
        <f t="shared" si="1"/>
        <v>133.92</v>
      </c>
      <c r="K243" s="8"/>
      <c r="L243" s="7"/>
      <c r="M243" s="7"/>
      <c r="N243" s="7"/>
      <c r="O243" s="7"/>
      <c r="P243" s="7" t="s">
        <v>490</v>
      </c>
      <c r="Q243" s="7" t="s">
        <v>2148</v>
      </c>
      <c r="R243" s="7"/>
      <c r="S243" s="7" t="s">
        <v>1152</v>
      </c>
      <c r="T243" s="7" t="s">
        <v>493</v>
      </c>
      <c r="U243" s="65">
        <v>4108.0</v>
      </c>
    </row>
    <row r="244">
      <c r="A244" s="45">
        <v>45912.699525462966</v>
      </c>
      <c r="B244" s="7" t="s">
        <v>1839</v>
      </c>
      <c r="C244" s="7" t="s">
        <v>2198</v>
      </c>
      <c r="D244" s="7"/>
      <c r="E244" s="64">
        <v>1.0</v>
      </c>
      <c r="F244" s="7"/>
      <c r="G244" s="47">
        <v>24.99</v>
      </c>
      <c r="H244" s="47">
        <v>0.0</v>
      </c>
      <c r="I244" s="47">
        <v>1.02</v>
      </c>
      <c r="J244" s="8">
        <f t="shared" si="1"/>
        <v>23.97</v>
      </c>
      <c r="K244" s="8"/>
      <c r="L244" s="7"/>
      <c r="M244" s="7"/>
      <c r="N244" s="7"/>
      <c r="O244" s="7"/>
      <c r="P244" s="7" t="s">
        <v>490</v>
      </c>
      <c r="Q244" s="7" t="s">
        <v>1067</v>
      </c>
      <c r="R244" s="7"/>
      <c r="S244" s="7" t="s">
        <v>1068</v>
      </c>
      <c r="T244" s="7" t="s">
        <v>493</v>
      </c>
      <c r="U244" s="65">
        <v>4107.0</v>
      </c>
    </row>
    <row r="245">
      <c r="A245" s="45">
        <v>45912.69881944444</v>
      </c>
      <c r="B245" s="7" t="s">
        <v>1047</v>
      </c>
      <c r="C245" s="7" t="s">
        <v>2198</v>
      </c>
      <c r="D245" s="7"/>
      <c r="E245" s="64">
        <v>1.0</v>
      </c>
      <c r="F245" s="7"/>
      <c r="G245" s="47">
        <v>27.3</v>
      </c>
      <c r="H245" s="47">
        <v>0.0</v>
      </c>
      <c r="I245" s="47">
        <v>1.09</v>
      </c>
      <c r="J245" s="8">
        <f t="shared" si="1"/>
        <v>26.21</v>
      </c>
      <c r="K245" s="8"/>
      <c r="L245" s="7"/>
      <c r="M245" s="7"/>
      <c r="N245" s="7"/>
      <c r="O245" s="7"/>
      <c r="P245" s="7" t="s">
        <v>490</v>
      </c>
      <c r="Q245" s="7" t="s">
        <v>1048</v>
      </c>
      <c r="R245" s="7"/>
      <c r="S245" s="7" t="s">
        <v>1049</v>
      </c>
      <c r="T245" s="7" t="s">
        <v>493</v>
      </c>
      <c r="U245" s="65">
        <v>4106.0</v>
      </c>
    </row>
    <row r="246">
      <c r="A246" s="45">
        <v>45912.69857638889</v>
      </c>
      <c r="B246" s="7" t="s">
        <v>1808</v>
      </c>
      <c r="C246" s="7" t="s">
        <v>2208</v>
      </c>
      <c r="D246" s="7"/>
      <c r="E246" s="64">
        <v>1.0</v>
      </c>
      <c r="F246" s="64">
        <v>1.0</v>
      </c>
      <c r="G246" s="47">
        <v>124.99</v>
      </c>
      <c r="H246" s="47">
        <v>0.0</v>
      </c>
      <c r="I246" s="47">
        <v>3.92</v>
      </c>
      <c r="J246" s="8">
        <f t="shared" si="1"/>
        <v>121.07</v>
      </c>
      <c r="K246" s="8"/>
      <c r="L246" s="7"/>
      <c r="M246" s="7"/>
      <c r="N246" s="7"/>
      <c r="O246" s="7"/>
      <c r="P246" s="7" t="s">
        <v>490</v>
      </c>
      <c r="Q246" s="7" t="s">
        <v>1220</v>
      </c>
      <c r="R246" s="7"/>
      <c r="S246" s="7" t="s">
        <v>1221</v>
      </c>
      <c r="T246" s="7" t="s">
        <v>493</v>
      </c>
      <c r="U246" s="65">
        <v>4105.0</v>
      </c>
    </row>
    <row r="247">
      <c r="A247" s="45">
        <v>45912.69684027778</v>
      </c>
      <c r="B247" s="7" t="s">
        <v>1690</v>
      </c>
      <c r="C247" s="7" t="s">
        <v>2198</v>
      </c>
      <c r="D247" s="7"/>
      <c r="E247" s="64">
        <v>1.0</v>
      </c>
      <c r="F247" s="7"/>
      <c r="G247" s="47">
        <v>24.99</v>
      </c>
      <c r="H247" s="47">
        <v>0.0</v>
      </c>
      <c r="I247" s="47">
        <v>1.4</v>
      </c>
      <c r="J247" s="8">
        <f t="shared" si="1"/>
        <v>23.59</v>
      </c>
      <c r="K247" s="8"/>
      <c r="L247" s="7"/>
      <c r="M247" s="7"/>
      <c r="N247" s="7"/>
      <c r="O247" s="7"/>
      <c r="P247" s="7" t="s">
        <v>490</v>
      </c>
      <c r="Q247" s="7"/>
      <c r="R247" s="7"/>
      <c r="S247" s="7"/>
      <c r="T247" s="7" t="s">
        <v>545</v>
      </c>
      <c r="U247" s="65">
        <v>4103.0</v>
      </c>
    </row>
    <row r="248">
      <c r="A248" s="45">
        <v>45912.69666666666</v>
      </c>
      <c r="B248" s="7" t="s">
        <v>783</v>
      </c>
      <c r="C248" s="7" t="s">
        <v>2208</v>
      </c>
      <c r="D248" s="7"/>
      <c r="E248" s="64">
        <v>1.0</v>
      </c>
      <c r="F248" s="64">
        <v>1.0</v>
      </c>
      <c r="G248" s="47">
        <v>124.99</v>
      </c>
      <c r="H248" s="47">
        <v>0.0</v>
      </c>
      <c r="I248" s="47">
        <v>3.92</v>
      </c>
      <c r="J248" s="8">
        <f t="shared" si="1"/>
        <v>121.07</v>
      </c>
      <c r="K248" s="8"/>
      <c r="L248" s="7"/>
      <c r="M248" s="7"/>
      <c r="N248" s="7"/>
      <c r="O248" s="7"/>
      <c r="P248" s="7" t="s">
        <v>490</v>
      </c>
      <c r="Q248" s="65">
        <v>14710.0</v>
      </c>
      <c r="R248" s="7" t="s">
        <v>1788</v>
      </c>
      <c r="S248" s="7" t="s">
        <v>785</v>
      </c>
      <c r="T248" s="7" t="s">
        <v>493</v>
      </c>
      <c r="U248" s="65">
        <v>4102.0</v>
      </c>
    </row>
    <row r="249">
      <c r="A249" s="45">
        <v>45912.69579861111</v>
      </c>
      <c r="B249" s="7" t="s">
        <v>447</v>
      </c>
      <c r="C249" s="7" t="s">
        <v>2198</v>
      </c>
      <c r="D249" s="7"/>
      <c r="E249" s="64">
        <v>1.0</v>
      </c>
      <c r="F249" s="7"/>
      <c r="G249" s="47">
        <v>24.99</v>
      </c>
      <c r="H249" s="47">
        <v>0.0</v>
      </c>
      <c r="I249" s="47">
        <v>1.02</v>
      </c>
      <c r="J249" s="8">
        <f t="shared" si="1"/>
        <v>23.97</v>
      </c>
      <c r="K249" s="8"/>
      <c r="L249" s="7"/>
      <c r="M249" s="7"/>
      <c r="N249" s="7"/>
      <c r="O249" s="7"/>
      <c r="P249" s="7" t="s">
        <v>490</v>
      </c>
      <c r="Q249" s="7" t="s">
        <v>2277</v>
      </c>
      <c r="R249" s="7" t="s">
        <v>2278</v>
      </c>
      <c r="S249" s="7" t="s">
        <v>575</v>
      </c>
      <c r="T249" s="7" t="s">
        <v>493</v>
      </c>
      <c r="U249" s="65">
        <v>4101.0</v>
      </c>
    </row>
    <row r="250">
      <c r="A250" s="45">
        <v>45912.695625</v>
      </c>
      <c r="B250" s="7" t="s">
        <v>1820</v>
      </c>
      <c r="C250" s="7" t="s">
        <v>2208</v>
      </c>
      <c r="D250" s="7"/>
      <c r="E250" s="64">
        <v>1.0</v>
      </c>
      <c r="F250" s="64">
        <v>1.0</v>
      </c>
      <c r="G250" s="47">
        <v>138.23</v>
      </c>
      <c r="H250" s="47">
        <v>0.0</v>
      </c>
      <c r="I250" s="47">
        <v>4.31</v>
      </c>
      <c r="J250" s="8">
        <f t="shared" si="1"/>
        <v>133.92</v>
      </c>
      <c r="K250" s="8"/>
      <c r="L250" s="7"/>
      <c r="M250" s="7"/>
      <c r="N250" s="7"/>
      <c r="O250" s="7"/>
      <c r="P250" s="7" t="s">
        <v>490</v>
      </c>
      <c r="Q250" s="7" t="s">
        <v>1606</v>
      </c>
      <c r="R250" s="7"/>
      <c r="S250" s="7" t="s">
        <v>1607</v>
      </c>
      <c r="T250" s="7" t="s">
        <v>493</v>
      </c>
      <c r="U250" s="65">
        <v>4092.0</v>
      </c>
    </row>
    <row r="251">
      <c r="A251" s="45">
        <v>45912.69556712963</v>
      </c>
      <c r="B251" s="7" t="s">
        <v>1446</v>
      </c>
      <c r="C251" s="7" t="s">
        <v>2198</v>
      </c>
      <c r="D251" s="7"/>
      <c r="E251" s="64">
        <v>1.0</v>
      </c>
      <c r="F251" s="7"/>
      <c r="G251" s="47">
        <v>26.93</v>
      </c>
      <c r="H251" s="47">
        <v>0.0</v>
      </c>
      <c r="I251" s="47">
        <v>1.08</v>
      </c>
      <c r="J251" s="8">
        <f t="shared" si="1"/>
        <v>25.85</v>
      </c>
      <c r="K251" s="8"/>
      <c r="L251" s="7"/>
      <c r="M251" s="7"/>
      <c r="N251" s="7"/>
      <c r="O251" s="7"/>
      <c r="P251" s="7" t="s">
        <v>490</v>
      </c>
      <c r="Q251" s="7" t="s">
        <v>1447</v>
      </c>
      <c r="R251" s="7"/>
      <c r="S251" s="7" t="s">
        <v>1448</v>
      </c>
      <c r="T251" s="7" t="s">
        <v>493</v>
      </c>
      <c r="U251" s="65">
        <v>4031.0</v>
      </c>
    </row>
    <row r="252">
      <c r="A252" s="45">
        <v>45912.69547453704</v>
      </c>
      <c r="B252" s="7" t="s">
        <v>400</v>
      </c>
      <c r="C252" s="7" t="s">
        <v>2198</v>
      </c>
      <c r="D252" s="7"/>
      <c r="E252" s="64">
        <v>1.0</v>
      </c>
      <c r="F252" s="7"/>
      <c r="G252" s="47">
        <v>26.93</v>
      </c>
      <c r="H252" s="47">
        <v>0.0</v>
      </c>
      <c r="I252" s="47">
        <v>1.08</v>
      </c>
      <c r="J252" s="8">
        <f t="shared" si="1"/>
        <v>25.85</v>
      </c>
      <c r="K252" s="8"/>
      <c r="L252" s="7"/>
      <c r="M252" s="7"/>
      <c r="N252" s="7"/>
      <c r="O252" s="7"/>
      <c r="P252" s="7" t="s">
        <v>490</v>
      </c>
      <c r="Q252" s="7" t="s">
        <v>1213</v>
      </c>
      <c r="R252" s="7"/>
      <c r="S252" s="7" t="s">
        <v>549</v>
      </c>
      <c r="T252" s="7" t="s">
        <v>493</v>
      </c>
      <c r="U252" s="65">
        <v>4096.0</v>
      </c>
    </row>
    <row r="253">
      <c r="A253" s="45">
        <v>45912.695439814815</v>
      </c>
      <c r="B253" s="7" t="s">
        <v>1784</v>
      </c>
      <c r="C253" s="7" t="s">
        <v>2198</v>
      </c>
      <c r="D253" s="7"/>
      <c r="E253" s="64">
        <v>1.0</v>
      </c>
      <c r="F253" s="7"/>
      <c r="G253" s="47">
        <v>27.43</v>
      </c>
      <c r="H253" s="47">
        <v>0.0</v>
      </c>
      <c r="I253" s="47">
        <v>1.1</v>
      </c>
      <c r="J253" s="8">
        <f t="shared" si="1"/>
        <v>26.33</v>
      </c>
      <c r="K253" s="8"/>
      <c r="L253" s="7"/>
      <c r="M253" s="7"/>
      <c r="N253" s="7"/>
      <c r="O253" s="7"/>
      <c r="P253" s="7" t="s">
        <v>490</v>
      </c>
      <c r="Q253" s="7" t="s">
        <v>1785</v>
      </c>
      <c r="R253" s="7" t="s">
        <v>1786</v>
      </c>
      <c r="S253" s="7" t="s">
        <v>1787</v>
      </c>
      <c r="T253" s="7" t="s">
        <v>493</v>
      </c>
      <c r="U253" s="65">
        <v>4100.0</v>
      </c>
    </row>
    <row r="254">
      <c r="A254" s="45">
        <v>45912.69496527778</v>
      </c>
      <c r="B254" s="7" t="s">
        <v>312</v>
      </c>
      <c r="C254" s="7" t="s">
        <v>2208</v>
      </c>
      <c r="D254" s="7"/>
      <c r="E254" s="64">
        <v>1.0</v>
      </c>
      <c r="F254" s="64">
        <v>1.0</v>
      </c>
      <c r="G254" s="47">
        <v>124.99</v>
      </c>
      <c r="H254" s="47">
        <v>0.0</v>
      </c>
      <c r="I254" s="47">
        <v>5.8</v>
      </c>
      <c r="J254" s="8">
        <f t="shared" si="1"/>
        <v>119.19</v>
      </c>
      <c r="K254" s="8"/>
      <c r="L254" s="7"/>
      <c r="M254" s="7"/>
      <c r="N254" s="7"/>
      <c r="O254" s="7"/>
      <c r="P254" s="7" t="s">
        <v>490</v>
      </c>
      <c r="Q254" s="7" t="s">
        <v>1844</v>
      </c>
      <c r="R254" s="7" t="s">
        <v>610</v>
      </c>
      <c r="S254" s="7" t="s">
        <v>1845</v>
      </c>
      <c r="T254" s="7" t="s">
        <v>542</v>
      </c>
      <c r="U254" s="65">
        <v>4098.0</v>
      </c>
    </row>
    <row r="255">
      <c r="A255" s="45">
        <v>45912.694710648146</v>
      </c>
      <c r="B255" s="7" t="s">
        <v>674</v>
      </c>
      <c r="C255" s="7" t="s">
        <v>2208</v>
      </c>
      <c r="D255" s="7"/>
      <c r="E255" s="64">
        <v>1.0</v>
      </c>
      <c r="F255" s="64">
        <v>1.0</v>
      </c>
      <c r="G255" s="47">
        <v>124.99</v>
      </c>
      <c r="H255" s="47">
        <v>0.0</v>
      </c>
      <c r="I255" s="47">
        <v>3.92</v>
      </c>
      <c r="J255" s="8">
        <f t="shared" si="1"/>
        <v>121.07</v>
      </c>
      <c r="K255" s="8"/>
      <c r="L255" s="7"/>
      <c r="M255" s="7"/>
      <c r="N255" s="7"/>
      <c r="O255" s="7"/>
      <c r="P255" s="7" t="s">
        <v>490</v>
      </c>
      <c r="Q255" s="7" t="s">
        <v>675</v>
      </c>
      <c r="R255" s="7"/>
      <c r="S255" s="7" t="s">
        <v>676</v>
      </c>
      <c r="T255" s="7" t="s">
        <v>493</v>
      </c>
      <c r="U255" s="65">
        <v>4094.0</v>
      </c>
    </row>
    <row r="256">
      <c r="A256" s="45">
        <v>45912.69464120371</v>
      </c>
      <c r="B256" s="7" t="s">
        <v>358</v>
      </c>
      <c r="C256" s="7" t="s">
        <v>2198</v>
      </c>
      <c r="D256" s="7"/>
      <c r="E256" s="64">
        <v>1.0</v>
      </c>
      <c r="F256" s="7"/>
      <c r="G256" s="47">
        <v>24.99</v>
      </c>
      <c r="H256" s="47">
        <v>0.0</v>
      </c>
      <c r="I256" s="47">
        <v>1.02</v>
      </c>
      <c r="J256" s="8">
        <f t="shared" si="1"/>
        <v>23.97</v>
      </c>
      <c r="K256" s="8"/>
      <c r="L256" s="7"/>
      <c r="M256" s="7"/>
      <c r="N256" s="7"/>
      <c r="O256" s="7"/>
      <c r="P256" s="7" t="s">
        <v>490</v>
      </c>
      <c r="Q256" s="7" t="s">
        <v>1176</v>
      </c>
      <c r="R256" s="7"/>
      <c r="S256" s="7" t="s">
        <v>1147</v>
      </c>
      <c r="T256" s="7" t="s">
        <v>493</v>
      </c>
      <c r="U256" s="65">
        <v>4095.0</v>
      </c>
    </row>
    <row r="257">
      <c r="A257" s="45">
        <v>45912.694606481484</v>
      </c>
      <c r="B257" s="7" t="s">
        <v>422</v>
      </c>
      <c r="C257" s="7" t="s">
        <v>2208</v>
      </c>
      <c r="D257" s="7"/>
      <c r="E257" s="64">
        <v>1.0</v>
      </c>
      <c r="F257" s="64">
        <v>1.0</v>
      </c>
      <c r="G257" s="47">
        <v>124.99</v>
      </c>
      <c r="H257" s="47">
        <v>0.0</v>
      </c>
      <c r="I257" s="47">
        <v>5.8</v>
      </c>
      <c r="J257" s="8">
        <f t="shared" si="1"/>
        <v>119.19</v>
      </c>
      <c r="K257" s="8"/>
      <c r="L257" s="7"/>
      <c r="M257" s="7"/>
      <c r="N257" s="7"/>
      <c r="O257" s="7"/>
      <c r="P257" s="7" t="s">
        <v>490</v>
      </c>
      <c r="Q257" s="7" t="s">
        <v>1684</v>
      </c>
      <c r="R257" s="7"/>
      <c r="S257" s="7" t="s">
        <v>1233</v>
      </c>
      <c r="T257" s="7" t="s">
        <v>525</v>
      </c>
      <c r="U257" s="65">
        <v>4093.0</v>
      </c>
    </row>
    <row r="258">
      <c r="A258" s="45">
        <v>45912.69446759259</v>
      </c>
      <c r="B258" s="7" t="s">
        <v>1056</v>
      </c>
      <c r="C258" s="7" t="s">
        <v>2198</v>
      </c>
      <c r="D258" s="7"/>
      <c r="E258" s="64">
        <v>1.0</v>
      </c>
      <c r="F258" s="7"/>
      <c r="G258" s="47">
        <v>24.99</v>
      </c>
      <c r="H258" s="47">
        <v>0.0</v>
      </c>
      <c r="I258" s="47">
        <v>1.4</v>
      </c>
      <c r="J258" s="8">
        <f t="shared" si="1"/>
        <v>23.59</v>
      </c>
      <c r="K258" s="8"/>
      <c r="L258" s="7"/>
      <c r="M258" s="7"/>
      <c r="N258" s="7"/>
      <c r="O258" s="7"/>
      <c r="P258" s="7" t="s">
        <v>490</v>
      </c>
      <c r="Q258" s="7" t="s">
        <v>1587</v>
      </c>
      <c r="R258" s="7"/>
      <c r="S258" s="7" t="s">
        <v>1588</v>
      </c>
      <c r="T258" s="7" t="s">
        <v>545</v>
      </c>
      <c r="U258" s="65">
        <v>4097.0</v>
      </c>
    </row>
    <row r="259">
      <c r="A259" s="45">
        <v>45912.694398148145</v>
      </c>
      <c r="B259" s="7" t="s">
        <v>314</v>
      </c>
      <c r="C259" s="7" t="s">
        <v>2198</v>
      </c>
      <c r="D259" s="7"/>
      <c r="E259" s="64">
        <v>1.0</v>
      </c>
      <c r="F259" s="7"/>
      <c r="G259" s="47">
        <v>24.99</v>
      </c>
      <c r="H259" s="47">
        <v>0.0</v>
      </c>
      <c r="I259" s="47">
        <v>1.02</v>
      </c>
      <c r="J259" s="8">
        <f t="shared" si="1"/>
        <v>23.97</v>
      </c>
      <c r="K259" s="8"/>
      <c r="L259" s="7"/>
      <c r="M259" s="7"/>
      <c r="N259" s="7"/>
      <c r="O259" s="7"/>
      <c r="P259" s="7" t="s">
        <v>490</v>
      </c>
      <c r="Q259" s="7" t="s">
        <v>1457</v>
      </c>
      <c r="R259" s="7"/>
      <c r="S259" s="7" t="s">
        <v>1458</v>
      </c>
      <c r="T259" s="7" t="s">
        <v>493</v>
      </c>
      <c r="U259" s="65">
        <v>4087.0</v>
      </c>
    </row>
    <row r="260">
      <c r="A260" s="45">
        <v>45912.69378472222</v>
      </c>
      <c r="B260" s="7" t="s">
        <v>2189</v>
      </c>
      <c r="C260" s="7" t="s">
        <v>2198</v>
      </c>
      <c r="D260" s="7"/>
      <c r="E260" s="64">
        <v>1.0</v>
      </c>
      <c r="F260" s="7"/>
      <c r="G260" s="47">
        <v>24.99</v>
      </c>
      <c r="H260" s="47">
        <v>0.0</v>
      </c>
      <c r="I260" s="47">
        <v>1.4</v>
      </c>
      <c r="J260" s="8">
        <f t="shared" si="1"/>
        <v>23.59</v>
      </c>
      <c r="K260" s="8"/>
      <c r="L260" s="7"/>
      <c r="M260" s="7"/>
      <c r="N260" s="7"/>
      <c r="O260" s="7"/>
      <c r="P260" s="7" t="s">
        <v>490</v>
      </c>
      <c r="Q260" s="7" t="s">
        <v>2190</v>
      </c>
      <c r="R260" s="7" t="s">
        <v>2191</v>
      </c>
      <c r="S260" s="7" t="s">
        <v>620</v>
      </c>
      <c r="T260" s="7" t="s">
        <v>545</v>
      </c>
      <c r="U260" s="65">
        <v>4091.0</v>
      </c>
    </row>
    <row r="261">
      <c r="A261" s="45">
        <v>45912.69357638889</v>
      </c>
      <c r="B261" s="7" t="s">
        <v>831</v>
      </c>
      <c r="C261" s="7" t="s">
        <v>2198</v>
      </c>
      <c r="D261" s="7"/>
      <c r="E261" s="64">
        <v>1.0</v>
      </c>
      <c r="F261" s="7"/>
      <c r="G261" s="47">
        <v>24.99</v>
      </c>
      <c r="H261" s="47">
        <v>0.0</v>
      </c>
      <c r="I261" s="47">
        <v>1.02</v>
      </c>
      <c r="J261" s="8">
        <f t="shared" si="1"/>
        <v>23.97</v>
      </c>
      <c r="K261" s="8"/>
      <c r="L261" s="7"/>
      <c r="M261" s="7"/>
      <c r="N261" s="7"/>
      <c r="O261" s="7"/>
      <c r="P261" s="7" t="s">
        <v>490</v>
      </c>
      <c r="Q261" s="7" t="s">
        <v>832</v>
      </c>
      <c r="R261" s="7" t="s">
        <v>833</v>
      </c>
      <c r="S261" s="7" t="s">
        <v>834</v>
      </c>
      <c r="T261" s="7" t="s">
        <v>493</v>
      </c>
      <c r="U261" s="65">
        <v>4084.0</v>
      </c>
    </row>
    <row r="262">
      <c r="A262" s="45">
        <v>45912.69353009259</v>
      </c>
      <c r="B262" s="7" t="s">
        <v>396</v>
      </c>
      <c r="C262" s="7" t="s">
        <v>2208</v>
      </c>
      <c r="D262" s="7"/>
      <c r="E262" s="64">
        <v>1.0</v>
      </c>
      <c r="F262" s="64">
        <v>1.0</v>
      </c>
      <c r="G262" s="47">
        <v>124.99</v>
      </c>
      <c r="H262" s="47">
        <v>0.0</v>
      </c>
      <c r="I262" s="47">
        <v>3.92</v>
      </c>
      <c r="J262" s="8">
        <f t="shared" si="1"/>
        <v>121.07</v>
      </c>
      <c r="K262" s="8"/>
      <c r="L262" s="7"/>
      <c r="M262" s="7"/>
      <c r="N262" s="7"/>
      <c r="O262" s="7"/>
      <c r="P262" s="7" t="s">
        <v>490</v>
      </c>
      <c r="Q262" s="7" t="s">
        <v>1361</v>
      </c>
      <c r="R262" s="7" t="s">
        <v>1362</v>
      </c>
      <c r="S262" s="7" t="s">
        <v>1363</v>
      </c>
      <c r="T262" s="7" t="s">
        <v>493</v>
      </c>
      <c r="U262" s="65">
        <v>4048.0</v>
      </c>
    </row>
    <row r="263">
      <c r="A263" s="45">
        <v>45912.69349537037</v>
      </c>
      <c r="B263" s="7" t="s">
        <v>536</v>
      </c>
      <c r="C263" s="7" t="s">
        <v>2198</v>
      </c>
      <c r="D263" s="7"/>
      <c r="E263" s="64">
        <v>1.0</v>
      </c>
      <c r="F263" s="7"/>
      <c r="G263" s="47">
        <v>27.05</v>
      </c>
      <c r="H263" s="47">
        <v>0.0</v>
      </c>
      <c r="I263" s="47">
        <v>1.08</v>
      </c>
      <c r="J263" s="8">
        <f t="shared" si="1"/>
        <v>25.97</v>
      </c>
      <c r="K263" s="8"/>
      <c r="L263" s="7"/>
      <c r="M263" s="7"/>
      <c r="N263" s="7"/>
      <c r="O263" s="7"/>
      <c r="P263" s="7" t="s">
        <v>490</v>
      </c>
      <c r="Q263" s="7" t="s">
        <v>537</v>
      </c>
      <c r="R263" s="7"/>
      <c r="S263" s="7" t="s">
        <v>538</v>
      </c>
      <c r="T263" s="7" t="s">
        <v>493</v>
      </c>
      <c r="U263" s="65">
        <v>4090.0</v>
      </c>
    </row>
    <row r="264">
      <c r="A264" s="45">
        <v>45912.6931712963</v>
      </c>
      <c r="B264" s="7" t="s">
        <v>433</v>
      </c>
      <c r="C264" s="7" t="s">
        <v>2208</v>
      </c>
      <c r="D264" s="7"/>
      <c r="E264" s="64">
        <v>1.0</v>
      </c>
      <c r="F264" s="64">
        <v>1.0</v>
      </c>
      <c r="G264" s="47">
        <v>124.99</v>
      </c>
      <c r="H264" s="47">
        <v>0.0</v>
      </c>
      <c r="I264" s="47">
        <v>3.92</v>
      </c>
      <c r="J264" s="8">
        <f t="shared" si="1"/>
        <v>121.07</v>
      </c>
      <c r="K264" s="8"/>
      <c r="L264" s="7"/>
      <c r="M264" s="7"/>
      <c r="N264" s="7"/>
      <c r="O264" s="7"/>
      <c r="P264" s="7" t="s">
        <v>490</v>
      </c>
      <c r="Q264" s="7" t="s">
        <v>2035</v>
      </c>
      <c r="R264" s="7" t="s">
        <v>1215</v>
      </c>
      <c r="S264" s="7" t="s">
        <v>850</v>
      </c>
      <c r="T264" s="7" t="s">
        <v>493</v>
      </c>
      <c r="U264" s="65">
        <v>4089.0</v>
      </c>
    </row>
    <row r="265">
      <c r="A265" s="45">
        <v>45912.6928587963</v>
      </c>
      <c r="B265" s="7" t="s">
        <v>804</v>
      </c>
      <c r="C265" s="7" t="s">
        <v>2198</v>
      </c>
      <c r="D265" s="7"/>
      <c r="E265" s="64">
        <v>1.0</v>
      </c>
      <c r="F265" s="7"/>
      <c r="G265" s="47">
        <v>24.99</v>
      </c>
      <c r="H265" s="47">
        <v>0.0</v>
      </c>
      <c r="I265" s="47">
        <v>1.02</v>
      </c>
      <c r="J265" s="8">
        <f t="shared" si="1"/>
        <v>23.97</v>
      </c>
      <c r="K265" s="8"/>
      <c r="L265" s="7"/>
      <c r="M265" s="7"/>
      <c r="N265" s="7"/>
      <c r="O265" s="7"/>
      <c r="P265" s="7" t="s">
        <v>490</v>
      </c>
      <c r="Q265" s="7" t="s">
        <v>805</v>
      </c>
      <c r="R265" s="7"/>
      <c r="S265" s="7" t="s">
        <v>806</v>
      </c>
      <c r="T265" s="7" t="s">
        <v>493</v>
      </c>
      <c r="U265" s="65">
        <v>4086.0</v>
      </c>
    </row>
    <row r="266">
      <c r="A266" s="45">
        <v>45912.692557870374</v>
      </c>
      <c r="B266" s="7" t="s">
        <v>383</v>
      </c>
      <c r="C266" s="7" t="s">
        <v>2208</v>
      </c>
      <c r="D266" s="7"/>
      <c r="E266" s="64">
        <v>1.0</v>
      </c>
      <c r="F266" s="64">
        <v>1.0</v>
      </c>
      <c r="G266" s="47">
        <v>124.99</v>
      </c>
      <c r="H266" s="47">
        <v>0.0</v>
      </c>
      <c r="I266" s="47">
        <v>5.8</v>
      </c>
      <c r="J266" s="8">
        <f t="shared" si="1"/>
        <v>119.19</v>
      </c>
      <c r="K266" s="8"/>
      <c r="L266" s="7"/>
      <c r="M266" s="7"/>
      <c r="N266" s="7"/>
      <c r="O266" s="7"/>
      <c r="P266" s="7" t="s">
        <v>490</v>
      </c>
      <c r="Q266" s="7" t="s">
        <v>961</v>
      </c>
      <c r="R266" s="7"/>
      <c r="S266" s="7" t="s">
        <v>962</v>
      </c>
      <c r="T266" s="7" t="s">
        <v>726</v>
      </c>
      <c r="U266" s="65">
        <v>4076.0</v>
      </c>
    </row>
    <row r="267">
      <c r="A267" s="45">
        <v>45912.6925462963</v>
      </c>
      <c r="B267" s="7" t="s">
        <v>333</v>
      </c>
      <c r="C267" s="7" t="s">
        <v>2198</v>
      </c>
      <c r="D267" s="7"/>
      <c r="E267" s="64">
        <v>1.0</v>
      </c>
      <c r="F267" s="7"/>
      <c r="G267" s="47">
        <v>24.99</v>
      </c>
      <c r="H267" s="47">
        <v>0.0</v>
      </c>
      <c r="I267" s="47">
        <v>1.02</v>
      </c>
      <c r="J267" s="8">
        <f t="shared" si="1"/>
        <v>23.97</v>
      </c>
      <c r="K267" s="8"/>
      <c r="L267" s="7"/>
      <c r="M267" s="7"/>
      <c r="N267" s="7"/>
      <c r="O267" s="7"/>
      <c r="P267" s="7" t="s">
        <v>490</v>
      </c>
      <c r="Q267" s="7" t="s">
        <v>801</v>
      </c>
      <c r="R267" s="7"/>
      <c r="S267" s="7" t="s">
        <v>802</v>
      </c>
      <c r="T267" s="7" t="s">
        <v>493</v>
      </c>
      <c r="U267" s="65">
        <v>4062.0</v>
      </c>
    </row>
    <row r="268">
      <c r="A268" s="45">
        <v>45912.6925</v>
      </c>
      <c r="B268" s="7" t="s">
        <v>336</v>
      </c>
      <c r="C268" s="7" t="s">
        <v>2208</v>
      </c>
      <c r="D268" s="7"/>
      <c r="E268" s="64">
        <v>1.0</v>
      </c>
      <c r="F268" s="64">
        <v>1.0</v>
      </c>
      <c r="G268" s="47">
        <v>124.99</v>
      </c>
      <c r="H268" s="47">
        <v>0.0</v>
      </c>
      <c r="I268" s="47">
        <v>3.92</v>
      </c>
      <c r="J268" s="8">
        <f t="shared" si="1"/>
        <v>121.07</v>
      </c>
      <c r="K268" s="8"/>
      <c r="L268" s="7"/>
      <c r="M268" s="7"/>
      <c r="N268" s="7"/>
      <c r="O268" s="7"/>
      <c r="P268" s="7" t="s">
        <v>490</v>
      </c>
      <c r="Q268" s="7" t="s">
        <v>1430</v>
      </c>
      <c r="R268" s="7"/>
      <c r="S268" s="7" t="s">
        <v>1431</v>
      </c>
      <c r="T268" s="7" t="s">
        <v>493</v>
      </c>
      <c r="U268" s="65">
        <v>4085.0</v>
      </c>
    </row>
    <row r="269">
      <c r="A269" s="45">
        <v>45912.69237268518</v>
      </c>
      <c r="B269" s="7" t="s">
        <v>448</v>
      </c>
      <c r="C269" s="7" t="s">
        <v>2208</v>
      </c>
      <c r="D269" s="7"/>
      <c r="E269" s="64">
        <v>1.0</v>
      </c>
      <c r="F269" s="64">
        <v>1.0</v>
      </c>
      <c r="G269" s="47">
        <v>124.99</v>
      </c>
      <c r="H269" s="47">
        <v>0.0</v>
      </c>
      <c r="I269" s="47">
        <v>3.92</v>
      </c>
      <c r="J269" s="8">
        <f t="shared" si="1"/>
        <v>121.07</v>
      </c>
      <c r="K269" s="8"/>
      <c r="L269" s="7"/>
      <c r="M269" s="7"/>
      <c r="N269" s="7"/>
      <c r="O269" s="7"/>
      <c r="P269" s="7" t="s">
        <v>490</v>
      </c>
      <c r="Q269" s="7" t="s">
        <v>803</v>
      </c>
      <c r="R269" s="7"/>
      <c r="S269" s="7" t="s">
        <v>732</v>
      </c>
      <c r="T269" s="7" t="s">
        <v>493</v>
      </c>
      <c r="U269" s="65">
        <v>4088.0</v>
      </c>
    </row>
    <row r="270">
      <c r="A270" s="45">
        <v>45912.69194444444</v>
      </c>
      <c r="B270" s="7" t="s">
        <v>1121</v>
      </c>
      <c r="C270" s="7" t="s">
        <v>2208</v>
      </c>
      <c r="D270" s="7"/>
      <c r="E270" s="64">
        <v>1.0</v>
      </c>
      <c r="F270" s="64">
        <v>1.0</v>
      </c>
      <c r="G270" s="47">
        <v>124.99</v>
      </c>
      <c r="H270" s="47">
        <v>0.0</v>
      </c>
      <c r="I270" s="47">
        <v>5.8</v>
      </c>
      <c r="J270" s="8">
        <f t="shared" si="1"/>
        <v>119.19</v>
      </c>
      <c r="K270" s="8"/>
      <c r="L270" s="7"/>
      <c r="M270" s="7"/>
      <c r="N270" s="7"/>
      <c r="O270" s="7"/>
      <c r="P270" s="7" t="s">
        <v>490</v>
      </c>
      <c r="Q270" s="7" t="s">
        <v>1122</v>
      </c>
      <c r="R270" s="7"/>
      <c r="S270" s="7" t="s">
        <v>1123</v>
      </c>
      <c r="T270" s="7" t="s">
        <v>525</v>
      </c>
      <c r="U270" s="65">
        <v>4078.0</v>
      </c>
    </row>
    <row r="271">
      <c r="A271" s="45">
        <v>45912.6919212963</v>
      </c>
      <c r="B271" s="7" t="s">
        <v>1080</v>
      </c>
      <c r="C271" s="7" t="s">
        <v>2208</v>
      </c>
      <c r="D271" s="7"/>
      <c r="E271" s="64">
        <v>1.0</v>
      </c>
      <c r="F271" s="64">
        <v>1.0</v>
      </c>
      <c r="G271" s="47">
        <v>124.99</v>
      </c>
      <c r="H271" s="47">
        <v>0.0</v>
      </c>
      <c r="I271" s="47">
        <v>3.92</v>
      </c>
      <c r="J271" s="8">
        <f t="shared" si="1"/>
        <v>121.07</v>
      </c>
      <c r="K271" s="8"/>
      <c r="L271" s="7"/>
      <c r="M271" s="7"/>
      <c r="N271" s="7"/>
      <c r="O271" s="7"/>
      <c r="P271" s="7" t="s">
        <v>490</v>
      </c>
      <c r="Q271" s="7"/>
      <c r="R271" s="7"/>
      <c r="S271" s="7"/>
      <c r="T271" s="7" t="s">
        <v>493</v>
      </c>
      <c r="U271" s="65">
        <v>4080.0</v>
      </c>
    </row>
    <row r="272">
      <c r="A272" s="45">
        <v>45912.69153935185</v>
      </c>
      <c r="B272" s="7" t="s">
        <v>427</v>
      </c>
      <c r="C272" s="7" t="s">
        <v>2208</v>
      </c>
      <c r="D272" s="7"/>
      <c r="E272" s="64">
        <v>1.0</v>
      </c>
      <c r="F272" s="64">
        <v>1.0</v>
      </c>
      <c r="G272" s="47">
        <v>124.99</v>
      </c>
      <c r="H272" s="47">
        <v>0.0</v>
      </c>
      <c r="I272" s="47">
        <v>3.92</v>
      </c>
      <c r="J272" s="8">
        <f t="shared" si="1"/>
        <v>121.07</v>
      </c>
      <c r="K272" s="8"/>
      <c r="L272" s="7"/>
      <c r="M272" s="7"/>
      <c r="N272" s="7"/>
      <c r="O272" s="7"/>
      <c r="P272" s="7" t="s">
        <v>490</v>
      </c>
      <c r="Q272" s="7" t="s">
        <v>1359</v>
      </c>
      <c r="R272" s="7"/>
      <c r="S272" s="7" t="s">
        <v>1360</v>
      </c>
      <c r="T272" s="7" t="s">
        <v>493</v>
      </c>
      <c r="U272" s="65">
        <v>4079.0</v>
      </c>
    </row>
    <row r="273">
      <c r="A273" s="45">
        <v>45912.691099537034</v>
      </c>
      <c r="B273" s="7" t="s">
        <v>443</v>
      </c>
      <c r="C273" s="7" t="s">
        <v>2198</v>
      </c>
      <c r="D273" s="7"/>
      <c r="E273" s="64">
        <v>1.0</v>
      </c>
      <c r="F273" s="7"/>
      <c r="G273" s="47">
        <v>24.99</v>
      </c>
      <c r="H273" s="47">
        <v>0.0</v>
      </c>
      <c r="I273" s="47">
        <v>1.02</v>
      </c>
      <c r="J273" s="8">
        <f t="shared" si="1"/>
        <v>23.97</v>
      </c>
      <c r="K273" s="8"/>
      <c r="L273" s="7"/>
      <c r="M273" s="7"/>
      <c r="N273" s="7"/>
      <c r="O273" s="7"/>
      <c r="P273" s="7" t="s">
        <v>490</v>
      </c>
      <c r="Q273" s="7" t="s">
        <v>1145</v>
      </c>
      <c r="R273" s="7" t="s">
        <v>1146</v>
      </c>
      <c r="S273" s="7" t="s">
        <v>1147</v>
      </c>
      <c r="T273" s="7" t="s">
        <v>493</v>
      </c>
      <c r="U273" s="65">
        <v>4073.0</v>
      </c>
    </row>
    <row r="274">
      <c r="A274" s="45">
        <v>45912.69068287037</v>
      </c>
      <c r="B274" s="7" t="s">
        <v>1191</v>
      </c>
      <c r="C274" s="7" t="s">
        <v>2198</v>
      </c>
      <c r="D274" s="7"/>
      <c r="E274" s="64">
        <v>1.0</v>
      </c>
      <c r="F274" s="7"/>
      <c r="G274" s="47">
        <v>27.3</v>
      </c>
      <c r="H274" s="47">
        <v>0.0</v>
      </c>
      <c r="I274" s="47">
        <v>1.09</v>
      </c>
      <c r="J274" s="8">
        <f t="shared" si="1"/>
        <v>26.21</v>
      </c>
      <c r="K274" s="8"/>
      <c r="L274" s="7"/>
      <c r="M274" s="7"/>
      <c r="N274" s="7"/>
      <c r="O274" s="7"/>
      <c r="P274" s="7" t="s">
        <v>490</v>
      </c>
      <c r="Q274" s="7" t="s">
        <v>1192</v>
      </c>
      <c r="R274" s="7"/>
      <c r="S274" s="7" t="s">
        <v>1193</v>
      </c>
      <c r="T274" s="7" t="s">
        <v>493</v>
      </c>
      <c r="U274" s="65">
        <v>4074.0</v>
      </c>
    </row>
    <row r="275">
      <c r="A275" s="45">
        <v>45912.69045138889</v>
      </c>
      <c r="B275" s="7" t="s">
        <v>61</v>
      </c>
      <c r="C275" s="7" t="s">
        <v>2198</v>
      </c>
      <c r="D275" s="7"/>
      <c r="E275" s="64">
        <v>1.0</v>
      </c>
      <c r="F275" s="7"/>
      <c r="G275" s="47">
        <v>24.99</v>
      </c>
      <c r="H275" s="47">
        <v>0.0</v>
      </c>
      <c r="I275" s="47">
        <v>1.02</v>
      </c>
      <c r="J275" s="8">
        <f t="shared" si="1"/>
        <v>23.97</v>
      </c>
      <c r="K275" s="8"/>
      <c r="L275" s="7"/>
      <c r="M275" s="7"/>
      <c r="N275" s="7"/>
      <c r="O275" s="7"/>
      <c r="P275" s="7" t="s">
        <v>490</v>
      </c>
      <c r="Q275" s="7" t="s">
        <v>1228</v>
      </c>
      <c r="R275" s="7"/>
      <c r="S275" s="7" t="s">
        <v>1229</v>
      </c>
      <c r="T275" s="7" t="s">
        <v>493</v>
      </c>
      <c r="U275" s="65">
        <v>4072.0</v>
      </c>
    </row>
    <row r="276">
      <c r="A276" s="45">
        <v>45912.69037037037</v>
      </c>
      <c r="B276" s="7" t="s">
        <v>1933</v>
      </c>
      <c r="C276" s="7" t="s">
        <v>2208</v>
      </c>
      <c r="D276" s="7"/>
      <c r="E276" s="64">
        <v>1.0</v>
      </c>
      <c r="F276" s="64">
        <v>1.0</v>
      </c>
      <c r="G276" s="47">
        <v>124.99</v>
      </c>
      <c r="H276" s="47">
        <v>0.0</v>
      </c>
      <c r="I276" s="47">
        <v>5.8</v>
      </c>
      <c r="J276" s="8">
        <f t="shared" si="1"/>
        <v>119.19</v>
      </c>
      <c r="K276" s="8"/>
      <c r="L276" s="7"/>
      <c r="M276" s="7"/>
      <c r="N276" s="7"/>
      <c r="O276" s="7"/>
      <c r="P276" s="7" t="s">
        <v>490</v>
      </c>
      <c r="Q276" s="7" t="s">
        <v>2279</v>
      </c>
      <c r="R276" s="7"/>
      <c r="S276" s="7" t="s">
        <v>572</v>
      </c>
      <c r="T276" s="7" t="s">
        <v>1012</v>
      </c>
      <c r="U276" s="65">
        <v>4065.0</v>
      </c>
    </row>
    <row r="277">
      <c r="A277" s="45">
        <v>45912.690254629626</v>
      </c>
      <c r="B277" s="7" t="s">
        <v>2280</v>
      </c>
      <c r="C277" s="7" t="s">
        <v>2198</v>
      </c>
      <c r="D277" s="7"/>
      <c r="E277" s="64">
        <v>1.0</v>
      </c>
      <c r="F277" s="7"/>
      <c r="G277" s="47">
        <v>24.99</v>
      </c>
      <c r="H277" s="47">
        <v>0.0</v>
      </c>
      <c r="I277" s="47">
        <v>1.4</v>
      </c>
      <c r="J277" s="8">
        <f t="shared" si="1"/>
        <v>23.59</v>
      </c>
      <c r="K277" s="8"/>
      <c r="L277" s="7"/>
      <c r="M277" s="7"/>
      <c r="N277" s="7"/>
      <c r="O277" s="7"/>
      <c r="P277" s="7" t="s">
        <v>490</v>
      </c>
      <c r="Q277" s="7" t="s">
        <v>1272</v>
      </c>
      <c r="R277" s="7"/>
      <c r="S277" s="7" t="s">
        <v>1659</v>
      </c>
      <c r="T277" s="7" t="s">
        <v>521</v>
      </c>
      <c r="U277" s="65">
        <v>4061.0</v>
      </c>
    </row>
    <row r="278">
      <c r="A278" s="45">
        <v>45912.69020833333</v>
      </c>
      <c r="B278" s="7" t="s">
        <v>1162</v>
      </c>
      <c r="C278" s="7" t="s">
        <v>2198</v>
      </c>
      <c r="D278" s="7"/>
      <c r="E278" s="64">
        <v>1.0</v>
      </c>
      <c r="F278" s="7"/>
      <c r="G278" s="47">
        <v>36.68</v>
      </c>
      <c r="H278" s="47">
        <v>0.0</v>
      </c>
      <c r="I278" s="47">
        <v>1.36</v>
      </c>
      <c r="J278" s="8">
        <f t="shared" si="1"/>
        <v>35.32</v>
      </c>
      <c r="K278" s="8"/>
      <c r="L278" s="7"/>
      <c r="M278" s="7"/>
      <c r="N278" s="7"/>
      <c r="O278" s="7"/>
      <c r="P278" s="7" t="s">
        <v>490</v>
      </c>
      <c r="Q278" s="7" t="s">
        <v>1163</v>
      </c>
      <c r="R278" s="7"/>
      <c r="S278" s="7" t="s">
        <v>653</v>
      </c>
      <c r="T278" s="7" t="s">
        <v>493</v>
      </c>
      <c r="U278" s="65">
        <v>4070.0</v>
      </c>
    </row>
    <row r="279">
      <c r="A279" s="45">
        <v>45912.69012731482</v>
      </c>
      <c r="B279" s="7" t="s">
        <v>2281</v>
      </c>
      <c r="C279" s="7" t="s">
        <v>2208</v>
      </c>
      <c r="D279" s="7"/>
      <c r="E279" s="64">
        <v>1.0</v>
      </c>
      <c r="F279" s="64">
        <v>1.0</v>
      </c>
      <c r="G279" s="47">
        <v>124.99</v>
      </c>
      <c r="H279" s="47">
        <v>0.0</v>
      </c>
      <c r="I279" s="47">
        <v>5.8</v>
      </c>
      <c r="J279" s="8">
        <f t="shared" si="1"/>
        <v>119.19</v>
      </c>
      <c r="K279" s="8"/>
      <c r="L279" s="7"/>
      <c r="M279" s="7"/>
      <c r="N279" s="7"/>
      <c r="O279" s="7"/>
      <c r="P279" s="7" t="s">
        <v>490</v>
      </c>
      <c r="Q279" s="7" t="s">
        <v>813</v>
      </c>
      <c r="R279" s="7" t="s">
        <v>1668</v>
      </c>
      <c r="S279" s="7" t="s">
        <v>815</v>
      </c>
      <c r="T279" s="7" t="s">
        <v>555</v>
      </c>
      <c r="U279" s="65">
        <v>4067.0</v>
      </c>
    </row>
    <row r="280">
      <c r="A280" s="45">
        <v>45912.690104166664</v>
      </c>
      <c r="B280" s="7" t="s">
        <v>403</v>
      </c>
      <c r="C280" s="7" t="s">
        <v>2198</v>
      </c>
      <c r="D280" s="7"/>
      <c r="E280" s="64">
        <v>1.0</v>
      </c>
      <c r="F280" s="7"/>
      <c r="G280" s="47">
        <v>24.99</v>
      </c>
      <c r="H280" s="47">
        <v>0.0</v>
      </c>
      <c r="I280" s="47">
        <v>1.02</v>
      </c>
      <c r="J280" s="8">
        <f t="shared" si="1"/>
        <v>23.97</v>
      </c>
      <c r="K280" s="8"/>
      <c r="L280" s="7"/>
      <c r="M280" s="7"/>
      <c r="N280" s="7"/>
      <c r="O280" s="7"/>
      <c r="P280" s="7" t="s">
        <v>490</v>
      </c>
      <c r="Q280" s="7" t="s">
        <v>602</v>
      </c>
      <c r="R280" s="7"/>
      <c r="S280" s="7" t="s">
        <v>603</v>
      </c>
      <c r="T280" s="7" t="s">
        <v>493</v>
      </c>
      <c r="U280" s="65">
        <v>4071.0</v>
      </c>
    </row>
    <row r="281">
      <c r="A281" s="45">
        <v>45912.69008101852</v>
      </c>
      <c r="B281" s="7" t="s">
        <v>352</v>
      </c>
      <c r="C281" s="7" t="s">
        <v>2198</v>
      </c>
      <c r="D281" s="7"/>
      <c r="E281" s="64">
        <v>1.0</v>
      </c>
      <c r="F281" s="7"/>
      <c r="G281" s="47">
        <v>24.99</v>
      </c>
      <c r="H281" s="47">
        <v>0.0</v>
      </c>
      <c r="I281" s="47">
        <v>1.4</v>
      </c>
      <c r="J281" s="8">
        <f t="shared" si="1"/>
        <v>23.59</v>
      </c>
      <c r="K281" s="8"/>
      <c r="L281" s="7"/>
      <c r="M281" s="7"/>
      <c r="N281" s="7"/>
      <c r="O281" s="7"/>
      <c r="P281" s="7" t="s">
        <v>490</v>
      </c>
      <c r="Q281" s="7"/>
      <c r="R281" s="7"/>
      <c r="S281" s="7"/>
      <c r="T281" s="7" t="s">
        <v>973</v>
      </c>
      <c r="U281" s="65">
        <v>4066.0</v>
      </c>
    </row>
    <row r="282">
      <c r="A282" s="45">
        <v>45912.68996527778</v>
      </c>
      <c r="B282" s="7" t="s">
        <v>411</v>
      </c>
      <c r="C282" s="7" t="s">
        <v>2208</v>
      </c>
      <c r="D282" s="7"/>
      <c r="E282" s="64">
        <v>1.0</v>
      </c>
      <c r="F282" s="64">
        <v>1.0</v>
      </c>
      <c r="G282" s="47">
        <v>124.99</v>
      </c>
      <c r="H282" s="47">
        <v>0.0</v>
      </c>
      <c r="I282" s="47">
        <v>5.8</v>
      </c>
      <c r="J282" s="8">
        <f t="shared" si="1"/>
        <v>119.19</v>
      </c>
      <c r="K282" s="8"/>
      <c r="L282" s="7"/>
      <c r="M282" s="7"/>
      <c r="N282" s="7"/>
      <c r="O282" s="7"/>
      <c r="P282" s="7" t="s">
        <v>490</v>
      </c>
      <c r="Q282" s="7" t="s">
        <v>1380</v>
      </c>
      <c r="R282" s="7"/>
      <c r="S282" s="7" t="s">
        <v>1381</v>
      </c>
      <c r="T282" s="7" t="s">
        <v>525</v>
      </c>
      <c r="U282" s="65">
        <v>4069.0</v>
      </c>
    </row>
    <row r="283">
      <c r="A283" s="45">
        <v>45912.68956018519</v>
      </c>
      <c r="B283" s="7" t="s">
        <v>2282</v>
      </c>
      <c r="C283" s="7" t="s">
        <v>2208</v>
      </c>
      <c r="D283" s="7"/>
      <c r="E283" s="64">
        <v>1.0</v>
      </c>
      <c r="F283" s="64">
        <v>1.0</v>
      </c>
      <c r="G283" s="47">
        <v>144.15</v>
      </c>
      <c r="H283" s="47">
        <v>0.0</v>
      </c>
      <c r="I283" s="47">
        <v>4.48</v>
      </c>
      <c r="J283" s="8">
        <f t="shared" si="1"/>
        <v>139.67</v>
      </c>
      <c r="K283" s="8"/>
      <c r="L283" s="7"/>
      <c r="M283" s="7"/>
      <c r="N283" s="7"/>
      <c r="O283" s="7"/>
      <c r="P283" s="7" t="s">
        <v>490</v>
      </c>
      <c r="Q283" s="7" t="s">
        <v>2283</v>
      </c>
      <c r="R283" s="7"/>
      <c r="S283" s="7" t="s">
        <v>2284</v>
      </c>
      <c r="T283" s="7" t="s">
        <v>493</v>
      </c>
      <c r="U283" s="65">
        <v>4060.0</v>
      </c>
    </row>
    <row r="284">
      <c r="A284" s="45">
        <v>45912.68953703704</v>
      </c>
      <c r="B284" s="7" t="s">
        <v>438</v>
      </c>
      <c r="C284" s="7" t="s">
        <v>2208</v>
      </c>
      <c r="D284" s="7"/>
      <c r="E284" s="64">
        <v>1.0</v>
      </c>
      <c r="F284" s="64">
        <v>1.0</v>
      </c>
      <c r="G284" s="47">
        <v>124.99</v>
      </c>
      <c r="H284" s="47">
        <v>0.0</v>
      </c>
      <c r="I284" s="47">
        <v>5.8</v>
      </c>
      <c r="J284" s="8">
        <f t="shared" si="1"/>
        <v>119.19</v>
      </c>
      <c r="K284" s="8"/>
      <c r="L284" s="7"/>
      <c r="M284" s="7"/>
      <c r="N284" s="7"/>
      <c r="O284" s="7"/>
      <c r="P284" s="7" t="s">
        <v>490</v>
      </c>
      <c r="Q284" s="7" t="s">
        <v>1415</v>
      </c>
      <c r="R284" s="65">
        <v>14.0</v>
      </c>
      <c r="S284" s="7" t="s">
        <v>1417</v>
      </c>
      <c r="T284" s="7" t="s">
        <v>497</v>
      </c>
      <c r="U284" s="65">
        <v>4063.0</v>
      </c>
    </row>
    <row r="285">
      <c r="A285" s="45">
        <v>45912.689479166664</v>
      </c>
      <c r="B285" s="7" t="s">
        <v>2166</v>
      </c>
      <c r="C285" s="7" t="s">
        <v>2208</v>
      </c>
      <c r="D285" s="7"/>
      <c r="E285" s="64">
        <v>1.0</v>
      </c>
      <c r="F285" s="64">
        <v>1.0</v>
      </c>
      <c r="G285" s="47">
        <v>124.99</v>
      </c>
      <c r="H285" s="47">
        <v>0.0</v>
      </c>
      <c r="I285" s="47">
        <v>5.8</v>
      </c>
      <c r="J285" s="8">
        <f t="shared" si="1"/>
        <v>119.19</v>
      </c>
      <c r="K285" s="8"/>
      <c r="L285" s="7"/>
      <c r="M285" s="7"/>
      <c r="N285" s="7"/>
      <c r="O285" s="7"/>
      <c r="P285" s="7" t="s">
        <v>490</v>
      </c>
      <c r="Q285" s="7" t="s">
        <v>1397</v>
      </c>
      <c r="R285" s="7"/>
      <c r="S285" s="7" t="s">
        <v>1398</v>
      </c>
      <c r="T285" s="7" t="s">
        <v>726</v>
      </c>
      <c r="U285" s="65">
        <v>4041.0</v>
      </c>
    </row>
    <row r="286">
      <c r="A286" s="45">
        <v>45912.689409722225</v>
      </c>
      <c r="B286" s="7" t="s">
        <v>389</v>
      </c>
      <c r="C286" s="7" t="s">
        <v>2198</v>
      </c>
      <c r="D286" s="7"/>
      <c r="E286" s="64">
        <v>1.0</v>
      </c>
      <c r="F286" s="7"/>
      <c r="G286" s="47">
        <v>24.99</v>
      </c>
      <c r="H286" s="47">
        <v>0.0</v>
      </c>
      <c r="I286" s="47">
        <v>1.4</v>
      </c>
      <c r="J286" s="8">
        <f t="shared" si="1"/>
        <v>23.59</v>
      </c>
      <c r="K286" s="8"/>
      <c r="L286" s="7"/>
      <c r="M286" s="7"/>
      <c r="N286" s="7"/>
      <c r="O286" s="7"/>
      <c r="P286" s="7" t="s">
        <v>490</v>
      </c>
      <c r="Q286" s="7" t="s">
        <v>959</v>
      </c>
      <c r="R286" s="7"/>
      <c r="S286" s="7" t="s">
        <v>960</v>
      </c>
      <c r="T286" s="7" t="s">
        <v>525</v>
      </c>
      <c r="U286" s="65">
        <v>4047.0</v>
      </c>
    </row>
    <row r="287">
      <c r="A287" s="45">
        <v>45912.689247685186</v>
      </c>
      <c r="B287" s="7" t="s">
        <v>1135</v>
      </c>
      <c r="C287" s="7" t="s">
        <v>2198</v>
      </c>
      <c r="D287" s="7"/>
      <c r="E287" s="64">
        <v>1.0</v>
      </c>
      <c r="F287" s="7"/>
      <c r="G287" s="47">
        <v>24.99</v>
      </c>
      <c r="H287" s="47">
        <v>0.0</v>
      </c>
      <c r="I287" s="47">
        <v>1.4</v>
      </c>
      <c r="J287" s="8">
        <f t="shared" si="1"/>
        <v>23.59</v>
      </c>
      <c r="K287" s="8"/>
      <c r="L287" s="7"/>
      <c r="M287" s="7"/>
      <c r="N287" s="7"/>
      <c r="O287" s="7"/>
      <c r="P287" s="7" t="s">
        <v>490</v>
      </c>
      <c r="Q287" s="7" t="s">
        <v>1136</v>
      </c>
      <c r="R287" s="7"/>
      <c r="S287" s="7" t="s">
        <v>1137</v>
      </c>
      <c r="T287" s="7" t="s">
        <v>525</v>
      </c>
      <c r="U287" s="65">
        <v>4058.0</v>
      </c>
    </row>
    <row r="288">
      <c r="A288" s="45">
        <v>45912.68913194445</v>
      </c>
      <c r="B288" s="7" t="s">
        <v>407</v>
      </c>
      <c r="C288" s="7" t="s">
        <v>2208</v>
      </c>
      <c r="D288" s="7"/>
      <c r="E288" s="64">
        <v>1.0</v>
      </c>
      <c r="F288" s="64">
        <v>1.0</v>
      </c>
      <c r="G288" s="47">
        <v>124.99</v>
      </c>
      <c r="H288" s="47">
        <v>0.0</v>
      </c>
      <c r="I288" s="47">
        <v>5.8</v>
      </c>
      <c r="J288" s="8">
        <f t="shared" si="1"/>
        <v>119.19</v>
      </c>
      <c r="K288" s="8"/>
      <c r="L288" s="7"/>
      <c r="M288" s="7"/>
      <c r="N288" s="7"/>
      <c r="O288" s="7"/>
      <c r="P288" s="7" t="s">
        <v>490</v>
      </c>
      <c r="Q288" s="7" t="s">
        <v>1299</v>
      </c>
      <c r="R288" s="7"/>
      <c r="S288" s="7" t="s">
        <v>1300</v>
      </c>
      <c r="T288" s="7" t="s">
        <v>633</v>
      </c>
      <c r="U288" s="65">
        <v>4052.0</v>
      </c>
    </row>
    <row r="289">
      <c r="A289" s="45">
        <v>45912.689050925925</v>
      </c>
      <c r="B289" s="7" t="s">
        <v>1069</v>
      </c>
      <c r="C289" s="7" t="s">
        <v>2198</v>
      </c>
      <c r="D289" s="7"/>
      <c r="E289" s="64">
        <v>1.0</v>
      </c>
      <c r="F289" s="7"/>
      <c r="G289" s="47">
        <v>24.99</v>
      </c>
      <c r="H289" s="47">
        <v>0.0</v>
      </c>
      <c r="I289" s="47">
        <v>1.4</v>
      </c>
      <c r="J289" s="8">
        <f t="shared" si="1"/>
        <v>23.59</v>
      </c>
      <c r="K289" s="8"/>
      <c r="L289" s="7"/>
      <c r="M289" s="7"/>
      <c r="N289" s="7"/>
      <c r="O289" s="7"/>
      <c r="P289" s="7" t="s">
        <v>490</v>
      </c>
      <c r="Q289" s="7" t="s">
        <v>1070</v>
      </c>
      <c r="R289" s="7"/>
      <c r="S289" s="7" t="s">
        <v>509</v>
      </c>
      <c r="T289" s="7" t="s">
        <v>510</v>
      </c>
      <c r="U289" s="65">
        <v>4045.0</v>
      </c>
    </row>
    <row r="290">
      <c r="A290" s="45">
        <v>45912.68892361111</v>
      </c>
      <c r="B290" s="7" t="s">
        <v>356</v>
      </c>
      <c r="C290" s="7" t="s">
        <v>2198</v>
      </c>
      <c r="D290" s="7"/>
      <c r="E290" s="64">
        <v>1.0</v>
      </c>
      <c r="F290" s="7"/>
      <c r="G290" s="47">
        <v>24.99</v>
      </c>
      <c r="H290" s="47">
        <v>0.0</v>
      </c>
      <c r="I290" s="47">
        <v>1.4</v>
      </c>
      <c r="J290" s="8">
        <f t="shared" si="1"/>
        <v>23.59</v>
      </c>
      <c r="K290" s="8"/>
      <c r="L290" s="7"/>
      <c r="M290" s="7"/>
      <c r="N290" s="7"/>
      <c r="O290" s="7"/>
      <c r="P290" s="7" t="s">
        <v>490</v>
      </c>
      <c r="Q290" s="7" t="s">
        <v>797</v>
      </c>
      <c r="R290" s="7"/>
      <c r="S290" s="7" t="s">
        <v>798</v>
      </c>
      <c r="T290" s="7" t="s">
        <v>525</v>
      </c>
      <c r="U290" s="65">
        <v>4059.0</v>
      </c>
    </row>
    <row r="291">
      <c r="A291" s="45">
        <v>45912.68890046296</v>
      </c>
      <c r="B291" s="7" t="s">
        <v>1459</v>
      </c>
      <c r="C291" s="7" t="s">
        <v>2208</v>
      </c>
      <c r="D291" s="7"/>
      <c r="E291" s="64">
        <v>1.0</v>
      </c>
      <c r="F291" s="64">
        <v>1.0</v>
      </c>
      <c r="G291" s="47">
        <v>124.99</v>
      </c>
      <c r="H291" s="47">
        <v>0.0</v>
      </c>
      <c r="I291" s="47">
        <v>3.92</v>
      </c>
      <c r="J291" s="8">
        <f t="shared" si="1"/>
        <v>121.07</v>
      </c>
      <c r="K291" s="8"/>
      <c r="L291" s="7"/>
      <c r="M291" s="7"/>
      <c r="N291" s="7"/>
      <c r="O291" s="7"/>
      <c r="P291" s="7" t="s">
        <v>490</v>
      </c>
      <c r="Q291" s="7" t="s">
        <v>1460</v>
      </c>
      <c r="R291" s="7"/>
      <c r="S291" s="7" t="s">
        <v>1461</v>
      </c>
      <c r="T291" s="7" t="s">
        <v>493</v>
      </c>
      <c r="U291" s="65">
        <v>4055.0</v>
      </c>
    </row>
    <row r="292">
      <c r="A292" s="45">
        <v>45912.68887731482</v>
      </c>
      <c r="B292" s="7" t="s">
        <v>385</v>
      </c>
      <c r="C292" s="7" t="s">
        <v>2198</v>
      </c>
      <c r="D292" s="7"/>
      <c r="E292" s="64">
        <v>1.0</v>
      </c>
      <c r="F292" s="7"/>
      <c r="G292" s="47">
        <v>24.99</v>
      </c>
      <c r="H292" s="47">
        <v>0.0</v>
      </c>
      <c r="I292" s="47">
        <v>1.4</v>
      </c>
      <c r="J292" s="8">
        <f t="shared" si="1"/>
        <v>23.59</v>
      </c>
      <c r="K292" s="8"/>
      <c r="L292" s="7"/>
      <c r="M292" s="7"/>
      <c r="N292" s="7"/>
      <c r="O292" s="7"/>
      <c r="P292" s="7" t="s">
        <v>490</v>
      </c>
      <c r="Q292" s="7" t="s">
        <v>1303</v>
      </c>
      <c r="R292" s="7"/>
      <c r="S292" s="7" t="s">
        <v>1304</v>
      </c>
      <c r="T292" s="7" t="s">
        <v>726</v>
      </c>
      <c r="U292" s="65">
        <v>4046.0</v>
      </c>
    </row>
    <row r="293">
      <c r="A293" s="45">
        <v>45912.68887731482</v>
      </c>
      <c r="B293" s="7" t="s">
        <v>408</v>
      </c>
      <c r="C293" s="7" t="s">
        <v>2208</v>
      </c>
      <c r="D293" s="7"/>
      <c r="E293" s="64">
        <v>1.0</v>
      </c>
      <c r="F293" s="64">
        <v>1.0</v>
      </c>
      <c r="G293" s="47">
        <v>124.99</v>
      </c>
      <c r="H293" s="47">
        <v>0.0</v>
      </c>
      <c r="I293" s="47">
        <v>3.92</v>
      </c>
      <c r="J293" s="8">
        <f t="shared" si="1"/>
        <v>121.07</v>
      </c>
      <c r="K293" s="8"/>
      <c r="L293" s="7"/>
      <c r="M293" s="7"/>
      <c r="N293" s="7"/>
      <c r="O293" s="7"/>
      <c r="P293" s="7" t="s">
        <v>490</v>
      </c>
      <c r="Q293" s="7" t="s">
        <v>1013</v>
      </c>
      <c r="R293" s="7"/>
      <c r="S293" s="7" t="s">
        <v>1014</v>
      </c>
      <c r="T293" s="7" t="s">
        <v>493</v>
      </c>
      <c r="U293" s="65">
        <v>4053.0</v>
      </c>
    </row>
    <row r="294">
      <c r="A294" s="45">
        <v>45912.68883101852</v>
      </c>
      <c r="B294" s="7" t="s">
        <v>1671</v>
      </c>
      <c r="C294" s="7" t="s">
        <v>2198</v>
      </c>
      <c r="D294" s="7"/>
      <c r="E294" s="64">
        <v>1.0</v>
      </c>
      <c r="F294" s="7"/>
      <c r="G294" s="47">
        <v>24.99</v>
      </c>
      <c r="H294" s="47">
        <v>0.0</v>
      </c>
      <c r="I294" s="47">
        <v>1.4</v>
      </c>
      <c r="J294" s="8">
        <f t="shared" si="1"/>
        <v>23.59</v>
      </c>
      <c r="K294" s="8"/>
      <c r="L294" s="7"/>
      <c r="M294" s="7"/>
      <c r="N294" s="7"/>
      <c r="O294" s="7"/>
      <c r="P294" s="7" t="s">
        <v>490</v>
      </c>
      <c r="Q294" s="7" t="s">
        <v>1407</v>
      </c>
      <c r="R294" s="7" t="s">
        <v>1408</v>
      </c>
      <c r="S294" s="7" t="s">
        <v>1409</v>
      </c>
      <c r="T294" s="7" t="s">
        <v>542</v>
      </c>
      <c r="U294" s="65">
        <v>4049.0</v>
      </c>
    </row>
    <row r="295">
      <c r="A295" s="45">
        <v>45912.68881944445</v>
      </c>
      <c r="B295" s="7" t="s">
        <v>2285</v>
      </c>
      <c r="C295" s="7" t="s">
        <v>2208</v>
      </c>
      <c r="D295" s="7"/>
      <c r="E295" s="64">
        <v>1.0</v>
      </c>
      <c r="F295" s="64">
        <v>1.0</v>
      </c>
      <c r="G295" s="47">
        <v>134.46</v>
      </c>
      <c r="H295" s="47">
        <v>0.0</v>
      </c>
      <c r="I295" s="47">
        <v>4.2</v>
      </c>
      <c r="J295" s="8">
        <f t="shared" si="1"/>
        <v>130.26</v>
      </c>
      <c r="K295" s="8"/>
      <c r="L295" s="7"/>
      <c r="M295" s="7"/>
      <c r="N295" s="7"/>
      <c r="O295" s="7"/>
      <c r="P295" s="7" t="s">
        <v>490</v>
      </c>
      <c r="Q295" s="7" t="s">
        <v>2286</v>
      </c>
      <c r="R295" s="7"/>
      <c r="S295" s="7" t="s">
        <v>2287</v>
      </c>
      <c r="T295" s="7" t="s">
        <v>493</v>
      </c>
      <c r="U295" s="65">
        <v>4042.0</v>
      </c>
    </row>
    <row r="296">
      <c r="A296" s="45">
        <v>45912.68854166667</v>
      </c>
      <c r="B296" s="7" t="s">
        <v>170</v>
      </c>
      <c r="C296" s="7" t="s">
        <v>2198</v>
      </c>
      <c r="D296" s="7"/>
      <c r="E296" s="64">
        <v>1.0</v>
      </c>
      <c r="F296" s="7"/>
      <c r="G296" s="47">
        <v>24.99</v>
      </c>
      <c r="H296" s="47">
        <v>0.0</v>
      </c>
      <c r="I296" s="47">
        <v>1.4</v>
      </c>
      <c r="J296" s="8">
        <f t="shared" si="1"/>
        <v>23.59</v>
      </c>
      <c r="K296" s="8"/>
      <c r="L296" s="7"/>
      <c r="M296" s="7"/>
      <c r="N296" s="7"/>
      <c r="O296" s="7"/>
      <c r="P296" s="7" t="s">
        <v>490</v>
      </c>
      <c r="Q296" s="7" t="s">
        <v>1366</v>
      </c>
      <c r="R296" s="7"/>
      <c r="S296" s="7" t="s">
        <v>1367</v>
      </c>
      <c r="T296" s="7" t="s">
        <v>1368</v>
      </c>
      <c r="U296" s="65">
        <v>4051.0</v>
      </c>
    </row>
    <row r="297">
      <c r="A297" s="45">
        <v>45912.68848379629</v>
      </c>
      <c r="B297" s="7" t="s">
        <v>409</v>
      </c>
      <c r="C297" s="7" t="s">
        <v>2208</v>
      </c>
      <c r="D297" s="7"/>
      <c r="E297" s="64">
        <v>1.0</v>
      </c>
      <c r="F297" s="64">
        <v>1.0</v>
      </c>
      <c r="G297" s="47">
        <v>124.99</v>
      </c>
      <c r="H297" s="47">
        <v>0.0</v>
      </c>
      <c r="I297" s="47">
        <v>3.92</v>
      </c>
      <c r="J297" s="8">
        <f t="shared" si="1"/>
        <v>121.07</v>
      </c>
      <c r="K297" s="8"/>
      <c r="L297" s="7"/>
      <c r="M297" s="7"/>
      <c r="N297" s="7"/>
      <c r="O297" s="7"/>
      <c r="P297" s="7" t="s">
        <v>490</v>
      </c>
      <c r="Q297" s="7" t="s">
        <v>1421</v>
      </c>
      <c r="R297" s="7"/>
      <c r="S297" s="7" t="s">
        <v>1249</v>
      </c>
      <c r="T297" s="7" t="s">
        <v>493</v>
      </c>
      <c r="U297" s="65">
        <v>4054.0</v>
      </c>
    </row>
    <row r="298">
      <c r="A298" s="45">
        <v>45912.688425925924</v>
      </c>
      <c r="B298" s="7" t="s">
        <v>432</v>
      </c>
      <c r="C298" s="7" t="s">
        <v>2208</v>
      </c>
      <c r="D298" s="7"/>
      <c r="E298" s="64">
        <v>1.0</v>
      </c>
      <c r="F298" s="64">
        <v>1.0</v>
      </c>
      <c r="G298" s="47">
        <v>134.68</v>
      </c>
      <c r="H298" s="47">
        <v>0.0</v>
      </c>
      <c r="I298" s="47">
        <v>4.21</v>
      </c>
      <c r="J298" s="8">
        <f t="shared" si="1"/>
        <v>130.47</v>
      </c>
      <c r="K298" s="8"/>
      <c r="L298" s="7"/>
      <c r="M298" s="7"/>
      <c r="N298" s="7"/>
      <c r="O298" s="7"/>
      <c r="P298" s="7" t="s">
        <v>490</v>
      </c>
      <c r="Q298" s="7" t="s">
        <v>1462</v>
      </c>
      <c r="R298" s="7"/>
      <c r="S298" s="7" t="s">
        <v>1463</v>
      </c>
      <c r="T298" s="7" t="s">
        <v>493</v>
      </c>
      <c r="U298" s="65">
        <v>4050.0</v>
      </c>
    </row>
    <row r="299">
      <c r="A299" s="45">
        <v>45912.68821759259</v>
      </c>
      <c r="B299" s="7" t="s">
        <v>331</v>
      </c>
      <c r="C299" s="7" t="s">
        <v>2208</v>
      </c>
      <c r="D299" s="7"/>
      <c r="E299" s="64">
        <v>1.0</v>
      </c>
      <c r="F299" s="64">
        <v>1.0</v>
      </c>
      <c r="G299" s="47">
        <v>124.99</v>
      </c>
      <c r="H299" s="47">
        <v>0.0</v>
      </c>
      <c r="I299" s="47">
        <v>5.8</v>
      </c>
      <c r="J299" s="8">
        <f t="shared" si="1"/>
        <v>119.19</v>
      </c>
      <c r="K299" s="8"/>
      <c r="L299" s="7"/>
      <c r="M299" s="7"/>
      <c r="N299" s="7"/>
      <c r="O299" s="7"/>
      <c r="P299" s="7" t="s">
        <v>490</v>
      </c>
      <c r="Q299" s="7" t="s">
        <v>1449</v>
      </c>
      <c r="R299" s="7" t="s">
        <v>1450</v>
      </c>
      <c r="S299" s="7" t="s">
        <v>1451</v>
      </c>
      <c r="T299" s="7" t="s">
        <v>555</v>
      </c>
      <c r="U299" s="65">
        <v>4039.0</v>
      </c>
    </row>
    <row r="300">
      <c r="A300" s="45">
        <v>45912.68813657408</v>
      </c>
      <c r="B300" s="7" t="s">
        <v>387</v>
      </c>
      <c r="C300" s="7" t="s">
        <v>2208</v>
      </c>
      <c r="D300" s="7"/>
      <c r="E300" s="64">
        <v>1.0</v>
      </c>
      <c r="F300" s="64">
        <v>1.0</v>
      </c>
      <c r="G300" s="47">
        <v>124.99</v>
      </c>
      <c r="H300" s="47">
        <v>0.0</v>
      </c>
      <c r="I300" s="47">
        <v>5.8</v>
      </c>
      <c r="J300" s="8">
        <f t="shared" si="1"/>
        <v>119.19</v>
      </c>
      <c r="K300" s="8"/>
      <c r="L300" s="7"/>
      <c r="M300" s="7"/>
      <c r="N300" s="7"/>
      <c r="O300" s="7"/>
      <c r="P300" s="7" t="s">
        <v>490</v>
      </c>
      <c r="Q300" s="7" t="s">
        <v>1453</v>
      </c>
      <c r="R300" s="7"/>
      <c r="S300" s="7" t="s">
        <v>1454</v>
      </c>
      <c r="T300" s="7" t="s">
        <v>726</v>
      </c>
      <c r="U300" s="65">
        <v>4040.0</v>
      </c>
    </row>
    <row r="301">
      <c r="A301" s="45">
        <v>45912.688125</v>
      </c>
      <c r="B301" s="7" t="s">
        <v>1225</v>
      </c>
      <c r="C301" s="7" t="s">
        <v>2217</v>
      </c>
      <c r="D301" s="7"/>
      <c r="E301" s="64">
        <v>2.0</v>
      </c>
      <c r="F301" s="7"/>
      <c r="G301" s="47">
        <v>49.98</v>
      </c>
      <c r="H301" s="47">
        <v>0.0</v>
      </c>
      <c r="I301" s="47">
        <v>2.5</v>
      </c>
      <c r="J301" s="8">
        <f t="shared" si="1"/>
        <v>47.48</v>
      </c>
      <c r="K301" s="8"/>
      <c r="L301" s="7"/>
      <c r="M301" s="7"/>
      <c r="N301" s="7"/>
      <c r="O301" s="7"/>
      <c r="P301" s="7" t="s">
        <v>490</v>
      </c>
      <c r="Q301" s="7" t="s">
        <v>1226</v>
      </c>
      <c r="R301" s="7"/>
      <c r="S301" s="7" t="s">
        <v>1227</v>
      </c>
      <c r="T301" s="7" t="s">
        <v>726</v>
      </c>
      <c r="U301" s="65">
        <v>4036.0</v>
      </c>
    </row>
    <row r="302">
      <c r="A302" s="45">
        <v>45912.687893518516</v>
      </c>
      <c r="B302" s="7" t="s">
        <v>428</v>
      </c>
      <c r="C302" s="7" t="s">
        <v>2198</v>
      </c>
      <c r="D302" s="7"/>
      <c r="E302" s="64">
        <v>1.0</v>
      </c>
      <c r="F302" s="7"/>
      <c r="G302" s="47">
        <v>24.99</v>
      </c>
      <c r="H302" s="47">
        <v>0.0</v>
      </c>
      <c r="I302" s="47">
        <v>1.4</v>
      </c>
      <c r="J302" s="8">
        <f t="shared" si="1"/>
        <v>23.59</v>
      </c>
      <c r="K302" s="8"/>
      <c r="L302" s="7"/>
      <c r="M302" s="7"/>
      <c r="N302" s="7"/>
      <c r="O302" s="7"/>
      <c r="P302" s="7" t="s">
        <v>490</v>
      </c>
      <c r="Q302" s="7" t="s">
        <v>1376</v>
      </c>
      <c r="R302" s="7"/>
      <c r="S302" s="7" t="s">
        <v>1377</v>
      </c>
      <c r="T302" s="7" t="s">
        <v>545</v>
      </c>
      <c r="U302" s="65">
        <v>4037.0</v>
      </c>
    </row>
    <row r="303">
      <c r="A303" s="45">
        <v>45912.68771990741</v>
      </c>
      <c r="B303" s="7" t="s">
        <v>419</v>
      </c>
      <c r="C303" s="7" t="s">
        <v>2198</v>
      </c>
      <c r="D303" s="7"/>
      <c r="E303" s="64">
        <v>1.0</v>
      </c>
      <c r="F303" s="7"/>
      <c r="G303" s="47">
        <v>27.18</v>
      </c>
      <c r="H303" s="47">
        <v>0.0</v>
      </c>
      <c r="I303" s="47">
        <v>1.09</v>
      </c>
      <c r="J303" s="8">
        <f t="shared" si="1"/>
        <v>26.09</v>
      </c>
      <c r="K303" s="8"/>
      <c r="L303" s="7"/>
      <c r="M303" s="7"/>
      <c r="N303" s="7"/>
      <c r="O303" s="7"/>
      <c r="P303" s="7" t="s">
        <v>490</v>
      </c>
      <c r="Q303" s="7" t="s">
        <v>1455</v>
      </c>
      <c r="R303" s="7"/>
      <c r="S303" s="7" t="s">
        <v>1456</v>
      </c>
      <c r="T303" s="7" t="s">
        <v>493</v>
      </c>
      <c r="U303" s="65">
        <v>4038.0</v>
      </c>
    </row>
    <row r="304">
      <c r="A304" s="45">
        <v>45912.687523148146</v>
      </c>
      <c r="B304" s="7" t="s">
        <v>1869</v>
      </c>
      <c r="C304" s="7" t="s">
        <v>2208</v>
      </c>
      <c r="D304" s="7"/>
      <c r="E304" s="64">
        <v>1.0</v>
      </c>
      <c r="F304" s="64">
        <v>1.0</v>
      </c>
      <c r="G304" s="47">
        <v>135.93</v>
      </c>
      <c r="H304" s="47">
        <v>0.0</v>
      </c>
      <c r="I304" s="47">
        <v>4.24</v>
      </c>
      <c r="J304" s="8">
        <f t="shared" si="1"/>
        <v>131.69</v>
      </c>
      <c r="K304" s="8"/>
      <c r="L304" s="7"/>
      <c r="M304" s="7"/>
      <c r="N304" s="7"/>
      <c r="O304" s="7"/>
      <c r="P304" s="7" t="s">
        <v>490</v>
      </c>
      <c r="Q304" s="7" t="s">
        <v>1870</v>
      </c>
      <c r="R304" s="7"/>
      <c r="S304" s="7" t="s">
        <v>1871</v>
      </c>
      <c r="T304" s="7" t="s">
        <v>493</v>
      </c>
      <c r="U304" s="65">
        <v>4035.0</v>
      </c>
    </row>
    <row r="305">
      <c r="A305" s="45">
        <v>45912.68702546296</v>
      </c>
      <c r="B305" s="7" t="s">
        <v>1274</v>
      </c>
      <c r="C305" s="7" t="s">
        <v>2208</v>
      </c>
      <c r="D305" s="7"/>
      <c r="E305" s="64">
        <v>1.0</v>
      </c>
      <c r="F305" s="64">
        <v>1.0</v>
      </c>
      <c r="G305" s="47">
        <v>124.99</v>
      </c>
      <c r="H305" s="47">
        <v>0.0</v>
      </c>
      <c r="I305" s="47">
        <v>3.92</v>
      </c>
      <c r="J305" s="8">
        <f t="shared" si="1"/>
        <v>121.07</v>
      </c>
      <c r="K305" s="8"/>
      <c r="L305" s="7"/>
      <c r="M305" s="7"/>
      <c r="N305" s="7"/>
      <c r="O305" s="7"/>
      <c r="P305" s="7" t="s">
        <v>490</v>
      </c>
      <c r="Q305" s="7"/>
      <c r="R305" s="7"/>
      <c r="S305" s="7"/>
      <c r="T305" s="7" t="s">
        <v>493</v>
      </c>
      <c r="U305" s="65">
        <v>4034.0</v>
      </c>
    </row>
    <row r="306">
      <c r="A306" s="45">
        <v>45912.685752314814</v>
      </c>
      <c r="B306" s="7" t="s">
        <v>300</v>
      </c>
      <c r="C306" s="7" t="s">
        <v>2208</v>
      </c>
      <c r="D306" s="7"/>
      <c r="E306" s="64">
        <v>1.0</v>
      </c>
      <c r="F306" s="64">
        <v>1.0</v>
      </c>
      <c r="G306" s="47">
        <v>124.99</v>
      </c>
      <c r="H306" s="47">
        <v>0.0</v>
      </c>
      <c r="I306" s="47">
        <v>5.8</v>
      </c>
      <c r="J306" s="8">
        <f t="shared" si="1"/>
        <v>119.19</v>
      </c>
      <c r="K306" s="8"/>
      <c r="L306" s="7"/>
      <c r="M306" s="7"/>
      <c r="N306" s="7"/>
      <c r="O306" s="7"/>
      <c r="P306" s="7" t="s">
        <v>490</v>
      </c>
      <c r="Q306" s="7" t="s">
        <v>1291</v>
      </c>
      <c r="R306" s="7"/>
      <c r="S306" s="7" t="s">
        <v>1699</v>
      </c>
      <c r="T306" s="7" t="s">
        <v>1293</v>
      </c>
      <c r="U306" s="65">
        <v>4033.0</v>
      </c>
    </row>
    <row r="307">
      <c r="A307" s="45">
        <v>45912.685740740744</v>
      </c>
      <c r="B307" s="7" t="s">
        <v>289</v>
      </c>
      <c r="C307" s="7" t="s">
        <v>2198</v>
      </c>
      <c r="D307" s="7"/>
      <c r="E307" s="64">
        <v>1.0</v>
      </c>
      <c r="F307" s="7"/>
      <c r="G307" s="47">
        <v>24.99</v>
      </c>
      <c r="H307" s="47">
        <v>0.0</v>
      </c>
      <c r="I307" s="47">
        <v>1.02</v>
      </c>
      <c r="J307" s="8">
        <f t="shared" si="1"/>
        <v>23.97</v>
      </c>
      <c r="K307" s="8"/>
      <c r="L307" s="7"/>
      <c r="M307" s="7"/>
      <c r="N307" s="7"/>
      <c r="O307" s="7"/>
      <c r="P307" s="7" t="s">
        <v>490</v>
      </c>
      <c r="Q307" s="7" t="s">
        <v>1305</v>
      </c>
      <c r="R307" s="7"/>
      <c r="S307" s="7" t="s">
        <v>1306</v>
      </c>
      <c r="T307" s="7" t="s">
        <v>493</v>
      </c>
      <c r="U307" s="65">
        <v>4032.0</v>
      </c>
    </row>
    <row r="308">
      <c r="A308" s="45">
        <v>45912.68505787037</v>
      </c>
      <c r="B308" s="7" t="s">
        <v>2288</v>
      </c>
      <c r="C308" s="7" t="s">
        <v>2198</v>
      </c>
      <c r="D308" s="7"/>
      <c r="E308" s="64">
        <v>1.0</v>
      </c>
      <c r="F308" s="7"/>
      <c r="G308" s="47">
        <v>24.99</v>
      </c>
      <c r="H308" s="47">
        <v>0.0</v>
      </c>
      <c r="I308" s="47">
        <v>1.4</v>
      </c>
      <c r="J308" s="8">
        <f t="shared" si="1"/>
        <v>23.59</v>
      </c>
      <c r="K308" s="8"/>
      <c r="L308" s="7"/>
      <c r="M308" s="7"/>
      <c r="N308" s="7"/>
      <c r="O308" s="7"/>
      <c r="P308" s="7" t="s">
        <v>490</v>
      </c>
      <c r="Q308" s="7" t="s">
        <v>1189</v>
      </c>
      <c r="R308" s="7"/>
      <c r="S308" s="7" t="s">
        <v>1190</v>
      </c>
      <c r="T308" s="7" t="s">
        <v>525</v>
      </c>
      <c r="U308" s="65">
        <v>4030.0</v>
      </c>
    </row>
    <row r="309">
      <c r="A309" s="45">
        <v>45912.684016203704</v>
      </c>
      <c r="B309" s="7" t="s">
        <v>234</v>
      </c>
      <c r="C309" s="7" t="s">
        <v>2198</v>
      </c>
      <c r="D309" s="7"/>
      <c r="E309" s="64">
        <v>1.0</v>
      </c>
      <c r="F309" s="7"/>
      <c r="G309" s="47">
        <v>38.23</v>
      </c>
      <c r="H309" s="47">
        <v>0.0</v>
      </c>
      <c r="I309" s="47">
        <v>1.41</v>
      </c>
      <c r="J309" s="8">
        <f t="shared" si="1"/>
        <v>36.82</v>
      </c>
      <c r="K309" s="8"/>
      <c r="L309" s="7"/>
      <c r="M309" s="7"/>
      <c r="N309" s="7"/>
      <c r="O309" s="7"/>
      <c r="P309" s="7" t="s">
        <v>490</v>
      </c>
      <c r="Q309" s="7" t="s">
        <v>1399</v>
      </c>
      <c r="R309" s="7"/>
      <c r="S309" s="7" t="s">
        <v>1400</v>
      </c>
      <c r="T309" s="7" t="s">
        <v>493</v>
      </c>
      <c r="U309" s="65">
        <v>4029.0</v>
      </c>
    </row>
    <row r="310">
      <c r="A310" s="45">
        <v>45912.67663194444</v>
      </c>
      <c r="B310" s="7" t="s">
        <v>250</v>
      </c>
      <c r="C310" s="7" t="s">
        <v>2208</v>
      </c>
      <c r="D310" s="7"/>
      <c r="E310" s="64">
        <v>1.0</v>
      </c>
      <c r="F310" s="64">
        <v>1.0</v>
      </c>
      <c r="G310" s="47">
        <v>124.99</v>
      </c>
      <c r="H310" s="47">
        <v>0.0</v>
      </c>
      <c r="I310" s="47">
        <v>5.8</v>
      </c>
      <c r="J310" s="8">
        <f t="shared" si="1"/>
        <v>119.19</v>
      </c>
      <c r="K310" s="8"/>
      <c r="L310" s="7"/>
      <c r="M310" s="7"/>
      <c r="N310" s="7"/>
      <c r="O310" s="7"/>
      <c r="P310" s="7" t="s">
        <v>490</v>
      </c>
      <c r="Q310" s="7" t="s">
        <v>1075</v>
      </c>
      <c r="R310" s="7"/>
      <c r="S310" s="7" t="s">
        <v>1076</v>
      </c>
      <c r="T310" s="7" t="s">
        <v>525</v>
      </c>
      <c r="U310" s="65">
        <v>4025.0</v>
      </c>
    </row>
    <row r="311">
      <c r="A311" s="45">
        <v>45912.67613425926</v>
      </c>
      <c r="B311" s="7" t="s">
        <v>346</v>
      </c>
      <c r="C311" s="7" t="s">
        <v>2198</v>
      </c>
      <c r="D311" s="7"/>
      <c r="E311" s="64">
        <v>1.0</v>
      </c>
      <c r="F311" s="7"/>
      <c r="G311" s="47">
        <v>24.99</v>
      </c>
      <c r="H311" s="47">
        <v>0.0</v>
      </c>
      <c r="I311" s="47">
        <v>1.02</v>
      </c>
      <c r="J311" s="8">
        <f t="shared" si="1"/>
        <v>23.97</v>
      </c>
      <c r="K311" s="8"/>
      <c r="L311" s="7"/>
      <c r="M311" s="7"/>
      <c r="N311" s="7"/>
      <c r="O311" s="7"/>
      <c r="P311" s="7" t="s">
        <v>490</v>
      </c>
      <c r="Q311" s="7" t="s">
        <v>1912</v>
      </c>
      <c r="R311" s="65">
        <v>503.0</v>
      </c>
      <c r="S311" s="7" t="s">
        <v>1913</v>
      </c>
      <c r="T311" s="7" t="s">
        <v>493</v>
      </c>
      <c r="U311" s="65">
        <v>4026.0</v>
      </c>
    </row>
    <row r="312">
      <c r="A312" s="45">
        <v>45912.67324074074</v>
      </c>
      <c r="B312" s="7" t="s">
        <v>1339</v>
      </c>
      <c r="C312" s="7" t="s">
        <v>2198</v>
      </c>
      <c r="D312" s="7"/>
      <c r="E312" s="64">
        <v>1.0</v>
      </c>
      <c r="F312" s="7"/>
      <c r="G312" s="47">
        <v>24.99</v>
      </c>
      <c r="H312" s="47">
        <v>0.0</v>
      </c>
      <c r="I312" s="47">
        <v>1.4</v>
      </c>
      <c r="J312" s="8">
        <f t="shared" si="1"/>
        <v>23.59</v>
      </c>
      <c r="K312" s="8"/>
      <c r="L312" s="7"/>
      <c r="M312" s="7"/>
      <c r="N312" s="7"/>
      <c r="O312" s="7"/>
      <c r="P312" s="7" t="s">
        <v>490</v>
      </c>
      <c r="Q312" s="7" t="s">
        <v>1340</v>
      </c>
      <c r="R312" s="7"/>
      <c r="S312" s="7" t="s">
        <v>1341</v>
      </c>
      <c r="T312" s="7" t="s">
        <v>525</v>
      </c>
      <c r="U312" s="65">
        <v>4024.0</v>
      </c>
    </row>
    <row r="313">
      <c r="A313" s="45">
        <v>45912.67186342592</v>
      </c>
      <c r="B313" s="7" t="s">
        <v>424</v>
      </c>
      <c r="C313" s="7" t="s">
        <v>2208</v>
      </c>
      <c r="D313" s="7"/>
      <c r="E313" s="64">
        <v>1.0</v>
      </c>
      <c r="F313" s="64">
        <v>1.0</v>
      </c>
      <c r="G313" s="47">
        <v>124.99</v>
      </c>
      <c r="H313" s="47">
        <v>0.0</v>
      </c>
      <c r="I313" s="47">
        <v>3.92</v>
      </c>
      <c r="J313" s="8">
        <f t="shared" si="1"/>
        <v>121.07</v>
      </c>
      <c r="K313" s="8"/>
      <c r="L313" s="7"/>
      <c r="M313" s="7"/>
      <c r="N313" s="7"/>
      <c r="O313" s="7"/>
      <c r="P313" s="7" t="s">
        <v>490</v>
      </c>
      <c r="Q313" s="7" t="s">
        <v>1372</v>
      </c>
      <c r="R313" s="7"/>
      <c r="S313" s="7" t="s">
        <v>1373</v>
      </c>
      <c r="T313" s="7" t="s">
        <v>493</v>
      </c>
      <c r="U313" s="65">
        <v>4023.0</v>
      </c>
    </row>
    <row r="314">
      <c r="A314" s="45">
        <v>45912.66621527778</v>
      </c>
      <c r="B314" s="7" t="s">
        <v>299</v>
      </c>
      <c r="C314" s="7" t="s">
        <v>2208</v>
      </c>
      <c r="D314" s="7"/>
      <c r="E314" s="64">
        <v>1.0</v>
      </c>
      <c r="F314" s="64">
        <v>1.0</v>
      </c>
      <c r="G314" s="47">
        <v>124.99</v>
      </c>
      <c r="H314" s="47">
        <v>0.0</v>
      </c>
      <c r="I314" s="47">
        <v>5.8</v>
      </c>
      <c r="J314" s="8">
        <f t="shared" si="1"/>
        <v>119.19</v>
      </c>
      <c r="K314" s="8"/>
      <c r="L314" s="7"/>
      <c r="M314" s="7"/>
      <c r="N314" s="7"/>
      <c r="O314" s="7"/>
      <c r="P314" s="7" t="s">
        <v>490</v>
      </c>
      <c r="Q314" s="7" t="s">
        <v>1374</v>
      </c>
      <c r="R314" s="7"/>
      <c r="S314" s="7" t="s">
        <v>1375</v>
      </c>
      <c r="T314" s="7" t="s">
        <v>633</v>
      </c>
      <c r="U314" s="65">
        <v>4021.0</v>
      </c>
    </row>
    <row r="315">
      <c r="A315" s="45">
        <v>45912.66605324074</v>
      </c>
      <c r="B315" s="7" t="s">
        <v>425</v>
      </c>
      <c r="C315" s="7" t="s">
        <v>2198</v>
      </c>
      <c r="D315" s="7"/>
      <c r="E315" s="64">
        <v>1.0</v>
      </c>
      <c r="F315" s="7"/>
      <c r="G315" s="47">
        <v>57.91</v>
      </c>
      <c r="H315" s="47">
        <v>0.0</v>
      </c>
      <c r="I315" s="47">
        <v>2.85</v>
      </c>
      <c r="J315" s="8">
        <f t="shared" si="1"/>
        <v>55.06</v>
      </c>
      <c r="K315" s="8"/>
      <c r="L315" s="7"/>
      <c r="M315" s="7"/>
      <c r="N315" s="7"/>
      <c r="O315" s="7"/>
      <c r="P315" s="7" t="s">
        <v>490</v>
      </c>
      <c r="Q315" s="7" t="s">
        <v>1443</v>
      </c>
      <c r="R315" s="7"/>
      <c r="S315" s="7" t="s">
        <v>1444</v>
      </c>
      <c r="T315" s="7" t="s">
        <v>525</v>
      </c>
      <c r="U315" s="65">
        <v>4020.0</v>
      </c>
    </row>
    <row r="316">
      <c r="A316" s="45">
        <v>45912.66459490741</v>
      </c>
      <c r="B316" s="7" t="s">
        <v>462</v>
      </c>
      <c r="C316" s="7" t="s">
        <v>2208</v>
      </c>
      <c r="D316" s="7"/>
      <c r="E316" s="64">
        <v>1.0</v>
      </c>
      <c r="F316" s="64">
        <v>1.0</v>
      </c>
      <c r="G316" s="47">
        <v>134.68</v>
      </c>
      <c r="H316" s="47">
        <v>0.0</v>
      </c>
      <c r="I316" s="47">
        <v>4.21</v>
      </c>
      <c r="J316" s="8">
        <f t="shared" si="1"/>
        <v>130.47</v>
      </c>
      <c r="K316" s="8"/>
      <c r="L316" s="7"/>
      <c r="M316" s="7"/>
      <c r="N316" s="7"/>
      <c r="O316" s="7"/>
      <c r="P316" s="7" t="s">
        <v>490</v>
      </c>
      <c r="Q316" s="7" t="s">
        <v>1392</v>
      </c>
      <c r="R316" s="7"/>
      <c r="S316" s="7" t="s">
        <v>1393</v>
      </c>
      <c r="T316" s="7" t="s">
        <v>493</v>
      </c>
      <c r="U316" s="65">
        <v>4019.0</v>
      </c>
    </row>
    <row r="317">
      <c r="A317" s="45">
        <v>45912.6596875</v>
      </c>
      <c r="B317" s="7" t="s">
        <v>127</v>
      </c>
      <c r="C317" s="7" t="s">
        <v>2208</v>
      </c>
      <c r="D317" s="7"/>
      <c r="E317" s="64">
        <v>1.0</v>
      </c>
      <c r="F317" s="64">
        <v>1.0</v>
      </c>
      <c r="G317" s="47">
        <v>156.13</v>
      </c>
      <c r="H317" s="47">
        <v>0.0</v>
      </c>
      <c r="I317" s="47">
        <v>7.17</v>
      </c>
      <c r="J317" s="8">
        <f t="shared" si="1"/>
        <v>148.96</v>
      </c>
      <c r="K317" s="8"/>
      <c r="L317" s="7"/>
      <c r="M317" s="7"/>
      <c r="N317" s="7"/>
      <c r="O317" s="7"/>
      <c r="P317" s="7" t="s">
        <v>490</v>
      </c>
      <c r="Q317" s="7" t="s">
        <v>1422</v>
      </c>
      <c r="R317" s="7"/>
      <c r="S317" s="7" t="s">
        <v>1423</v>
      </c>
      <c r="T317" s="7" t="s">
        <v>542</v>
      </c>
      <c r="U317" s="65">
        <v>4018.0</v>
      </c>
    </row>
    <row r="318">
      <c r="A318" s="45">
        <v>45912.658171296294</v>
      </c>
      <c r="B318" s="7" t="s">
        <v>308</v>
      </c>
      <c r="C318" s="7" t="s">
        <v>2289</v>
      </c>
      <c r="D318" s="7"/>
      <c r="E318" s="64">
        <v>4.0</v>
      </c>
      <c r="F318" s="64">
        <v>1.0</v>
      </c>
      <c r="G318" s="47">
        <v>211.78</v>
      </c>
      <c r="H318" s="47">
        <v>0.0</v>
      </c>
      <c r="I318" s="47">
        <v>9.62</v>
      </c>
      <c r="J318" s="8">
        <f t="shared" si="1"/>
        <v>202.16</v>
      </c>
      <c r="K318" s="8"/>
      <c r="L318" s="7"/>
      <c r="M318" s="7"/>
      <c r="N318" s="7"/>
      <c r="O318" s="7"/>
      <c r="P318" s="7" t="s">
        <v>490</v>
      </c>
      <c r="Q318" s="7" t="s">
        <v>1425</v>
      </c>
      <c r="R318" s="7" t="s">
        <v>1426</v>
      </c>
      <c r="S318" s="7" t="s">
        <v>992</v>
      </c>
      <c r="T318" s="7" t="s">
        <v>684</v>
      </c>
      <c r="U318" s="65">
        <v>4017.0</v>
      </c>
    </row>
    <row r="319">
      <c r="A319" s="45">
        <v>45912.656319444446</v>
      </c>
      <c r="B319" s="7" t="s">
        <v>412</v>
      </c>
      <c r="C319" s="7" t="s">
        <v>2198</v>
      </c>
      <c r="D319" s="7"/>
      <c r="E319" s="64">
        <v>1.0</v>
      </c>
      <c r="F319" s="7"/>
      <c r="G319" s="47">
        <v>24.99</v>
      </c>
      <c r="H319" s="47">
        <v>0.0</v>
      </c>
      <c r="I319" s="47">
        <v>1.02</v>
      </c>
      <c r="J319" s="8">
        <f t="shared" si="1"/>
        <v>23.97</v>
      </c>
      <c r="K319" s="8"/>
      <c r="L319" s="7"/>
      <c r="M319" s="7"/>
      <c r="N319" s="7"/>
      <c r="O319" s="7"/>
      <c r="P319" s="7" t="s">
        <v>490</v>
      </c>
      <c r="Q319" s="7" t="s">
        <v>1297</v>
      </c>
      <c r="R319" s="7"/>
      <c r="S319" s="7" t="s">
        <v>1298</v>
      </c>
      <c r="T319" s="7" t="s">
        <v>493</v>
      </c>
      <c r="U319" s="65">
        <v>4016.0</v>
      </c>
    </row>
    <row r="320">
      <c r="A320" s="45">
        <v>45912.65594907408</v>
      </c>
      <c r="B320" s="7" t="s">
        <v>1313</v>
      </c>
      <c r="C320" s="7" t="s">
        <v>2198</v>
      </c>
      <c r="D320" s="7"/>
      <c r="E320" s="64">
        <v>1.0</v>
      </c>
      <c r="F320" s="7"/>
      <c r="G320" s="47">
        <v>24.99</v>
      </c>
      <c r="H320" s="47">
        <v>0.0</v>
      </c>
      <c r="I320" s="47">
        <v>1.4</v>
      </c>
      <c r="J320" s="8">
        <f t="shared" si="1"/>
        <v>23.59</v>
      </c>
      <c r="K320" s="8"/>
      <c r="L320" s="7"/>
      <c r="M320" s="7"/>
      <c r="N320" s="7"/>
      <c r="O320" s="7"/>
      <c r="P320" s="7" t="s">
        <v>490</v>
      </c>
      <c r="Q320" s="7" t="s">
        <v>1314</v>
      </c>
      <c r="R320" s="7"/>
      <c r="S320" s="7" t="s">
        <v>1315</v>
      </c>
      <c r="T320" s="7" t="s">
        <v>542</v>
      </c>
      <c r="U320" s="65">
        <v>4015.0</v>
      </c>
    </row>
    <row r="321">
      <c r="A321" s="45">
        <v>45912.650868055556</v>
      </c>
      <c r="B321" s="7" t="s">
        <v>847</v>
      </c>
      <c r="C321" s="7" t="s">
        <v>2208</v>
      </c>
      <c r="D321" s="7"/>
      <c r="E321" s="64">
        <v>1.0</v>
      </c>
      <c r="F321" s="64">
        <v>1.0</v>
      </c>
      <c r="G321" s="47">
        <v>124.99</v>
      </c>
      <c r="H321" s="47">
        <v>0.0</v>
      </c>
      <c r="I321" s="47">
        <v>3.92</v>
      </c>
      <c r="J321" s="8">
        <f t="shared" si="1"/>
        <v>121.07</v>
      </c>
      <c r="K321" s="8"/>
      <c r="L321" s="7"/>
      <c r="M321" s="7"/>
      <c r="N321" s="7"/>
      <c r="O321" s="7"/>
      <c r="P321" s="7" t="s">
        <v>490</v>
      </c>
      <c r="Q321" s="7" t="s">
        <v>848</v>
      </c>
      <c r="R321" s="7"/>
      <c r="S321" s="7" t="s">
        <v>2194</v>
      </c>
      <c r="T321" s="7" t="s">
        <v>493</v>
      </c>
      <c r="U321" s="65">
        <v>4013.0</v>
      </c>
    </row>
    <row r="322">
      <c r="A322" s="45">
        <v>45912.64945601852</v>
      </c>
      <c r="B322" s="7" t="s">
        <v>453</v>
      </c>
      <c r="C322" s="7" t="s">
        <v>2208</v>
      </c>
      <c r="D322" s="7"/>
      <c r="E322" s="64">
        <v>1.0</v>
      </c>
      <c r="F322" s="64">
        <v>1.0</v>
      </c>
      <c r="G322" s="47">
        <v>124.99</v>
      </c>
      <c r="H322" s="47">
        <v>0.0</v>
      </c>
      <c r="I322" s="47">
        <v>5.8</v>
      </c>
      <c r="J322" s="8">
        <f t="shared" si="1"/>
        <v>119.19</v>
      </c>
      <c r="K322" s="8"/>
      <c r="L322" s="7"/>
      <c r="M322" s="7"/>
      <c r="N322" s="7"/>
      <c r="O322" s="7"/>
      <c r="P322" s="7" t="s">
        <v>490</v>
      </c>
      <c r="Q322" s="7" t="s">
        <v>1325</v>
      </c>
      <c r="R322" s="7"/>
      <c r="S322" s="7" t="s">
        <v>1326</v>
      </c>
      <c r="T322" s="7" t="s">
        <v>545</v>
      </c>
      <c r="U322" s="65">
        <v>4012.0</v>
      </c>
    </row>
    <row r="323">
      <c r="A323" s="45">
        <v>45912.6487037037</v>
      </c>
      <c r="B323" s="7" t="s">
        <v>430</v>
      </c>
      <c r="C323" s="7" t="s">
        <v>2198</v>
      </c>
      <c r="D323" s="7"/>
      <c r="E323" s="64">
        <v>1.0</v>
      </c>
      <c r="F323" s="7"/>
      <c r="G323" s="47">
        <v>24.99</v>
      </c>
      <c r="H323" s="47">
        <v>0.0</v>
      </c>
      <c r="I323" s="47">
        <v>1.02</v>
      </c>
      <c r="J323" s="8">
        <f t="shared" si="1"/>
        <v>23.97</v>
      </c>
      <c r="K323" s="8"/>
      <c r="L323" s="7"/>
      <c r="M323" s="7"/>
      <c r="N323" s="7"/>
      <c r="O323" s="7"/>
      <c r="P323" s="7" t="s">
        <v>490</v>
      </c>
      <c r="Q323" s="7" t="s">
        <v>1117</v>
      </c>
      <c r="R323" s="7"/>
      <c r="S323" s="7" t="s">
        <v>1118</v>
      </c>
      <c r="T323" s="7" t="s">
        <v>493</v>
      </c>
      <c r="U323" s="65">
        <v>4011.0</v>
      </c>
    </row>
    <row r="324">
      <c r="A324" s="45">
        <v>45912.646689814814</v>
      </c>
      <c r="B324" s="7" t="s">
        <v>457</v>
      </c>
      <c r="C324" s="7" t="s">
        <v>2198</v>
      </c>
      <c r="D324" s="7"/>
      <c r="E324" s="64">
        <v>1.0</v>
      </c>
      <c r="F324" s="7"/>
      <c r="G324" s="47">
        <v>24.99</v>
      </c>
      <c r="H324" s="47">
        <v>0.0</v>
      </c>
      <c r="I324" s="47">
        <v>1.02</v>
      </c>
      <c r="J324" s="8">
        <f t="shared" si="1"/>
        <v>23.97</v>
      </c>
      <c r="K324" s="8"/>
      <c r="L324" s="7"/>
      <c r="M324" s="7"/>
      <c r="N324" s="7"/>
      <c r="O324" s="7"/>
      <c r="P324" s="7" t="s">
        <v>490</v>
      </c>
      <c r="Q324" s="7" t="s">
        <v>1333</v>
      </c>
      <c r="R324" s="7"/>
      <c r="S324" s="7" t="s">
        <v>1334</v>
      </c>
      <c r="T324" s="7" t="s">
        <v>493</v>
      </c>
      <c r="U324" s="65">
        <v>4010.0</v>
      </c>
    </row>
    <row r="325">
      <c r="A325" s="45">
        <v>45912.64556712963</v>
      </c>
      <c r="B325" s="7" t="s">
        <v>355</v>
      </c>
      <c r="C325" s="7" t="s">
        <v>2198</v>
      </c>
      <c r="D325" s="7"/>
      <c r="E325" s="64">
        <v>1.0</v>
      </c>
      <c r="F325" s="7"/>
      <c r="G325" s="47">
        <v>27.61</v>
      </c>
      <c r="H325" s="47">
        <v>0.0</v>
      </c>
      <c r="I325" s="47">
        <v>1.1</v>
      </c>
      <c r="J325" s="8">
        <f t="shared" si="1"/>
        <v>26.51</v>
      </c>
      <c r="K325" s="8"/>
      <c r="L325" s="7"/>
      <c r="M325" s="7"/>
      <c r="N325" s="7"/>
      <c r="O325" s="7"/>
      <c r="P325" s="7" t="s">
        <v>490</v>
      </c>
      <c r="Q325" s="7" t="s">
        <v>1100</v>
      </c>
      <c r="R325" s="7"/>
      <c r="S325" s="7" t="s">
        <v>1101</v>
      </c>
      <c r="T325" s="7" t="s">
        <v>493</v>
      </c>
      <c r="U325" s="65">
        <v>4009.0</v>
      </c>
    </row>
    <row r="326">
      <c r="A326" s="45">
        <v>45912.64530092593</v>
      </c>
      <c r="B326" s="7" t="s">
        <v>216</v>
      </c>
      <c r="C326" s="7" t="s">
        <v>2208</v>
      </c>
      <c r="D326" s="7"/>
      <c r="E326" s="64">
        <v>1.0</v>
      </c>
      <c r="F326" s="64">
        <v>1.0</v>
      </c>
      <c r="G326" s="47">
        <v>124.99</v>
      </c>
      <c r="H326" s="47">
        <v>0.0</v>
      </c>
      <c r="I326" s="47">
        <v>5.8</v>
      </c>
      <c r="J326" s="8">
        <f t="shared" si="1"/>
        <v>119.19</v>
      </c>
      <c r="K326" s="8"/>
      <c r="L326" s="7"/>
      <c r="M326" s="7"/>
      <c r="N326" s="7"/>
      <c r="O326" s="7"/>
      <c r="P326" s="7" t="s">
        <v>490</v>
      </c>
      <c r="Q326" s="7" t="s">
        <v>1995</v>
      </c>
      <c r="R326" s="7"/>
      <c r="S326" s="7" t="s">
        <v>1525</v>
      </c>
      <c r="T326" s="7" t="s">
        <v>525</v>
      </c>
      <c r="U326" s="65">
        <v>4008.0</v>
      </c>
    </row>
    <row r="327">
      <c r="A327" s="45">
        <v>45912.64400462963</v>
      </c>
      <c r="B327" s="7" t="s">
        <v>435</v>
      </c>
      <c r="C327" s="7" t="s">
        <v>2208</v>
      </c>
      <c r="D327" s="7"/>
      <c r="E327" s="64">
        <v>1.0</v>
      </c>
      <c r="F327" s="64">
        <v>1.0</v>
      </c>
      <c r="G327" s="47">
        <v>124.99</v>
      </c>
      <c r="H327" s="47">
        <v>0.0</v>
      </c>
      <c r="I327" s="47">
        <v>3.92</v>
      </c>
      <c r="J327" s="8">
        <f t="shared" si="1"/>
        <v>121.07</v>
      </c>
      <c r="K327" s="8"/>
      <c r="L327" s="7"/>
      <c r="M327" s="7"/>
      <c r="N327" s="7"/>
      <c r="O327" s="7"/>
      <c r="P327" s="7" t="s">
        <v>490</v>
      </c>
      <c r="Q327" s="7" t="s">
        <v>1853</v>
      </c>
      <c r="R327" s="7"/>
      <c r="S327" s="7" t="s">
        <v>1437</v>
      </c>
      <c r="T327" s="7" t="s">
        <v>493</v>
      </c>
      <c r="U327" s="65">
        <v>4007.0</v>
      </c>
    </row>
    <row r="328">
      <c r="A328" s="45">
        <v>45912.64105324074</v>
      </c>
      <c r="B328" s="7" t="s">
        <v>460</v>
      </c>
      <c r="C328" s="7" t="s">
        <v>2198</v>
      </c>
      <c r="D328" s="7"/>
      <c r="E328" s="64">
        <v>1.0</v>
      </c>
      <c r="F328" s="7"/>
      <c r="G328" s="47">
        <v>24.99</v>
      </c>
      <c r="H328" s="47">
        <v>0.0</v>
      </c>
      <c r="I328" s="47">
        <v>1.4</v>
      </c>
      <c r="J328" s="8">
        <f t="shared" si="1"/>
        <v>23.59</v>
      </c>
      <c r="K328" s="8"/>
      <c r="L328" s="7"/>
      <c r="M328" s="7"/>
      <c r="N328" s="7"/>
      <c r="O328" s="7"/>
      <c r="P328" s="7" t="s">
        <v>490</v>
      </c>
      <c r="Q328" s="7" t="s">
        <v>763</v>
      </c>
      <c r="R328" s="7"/>
      <c r="S328" s="7" t="s">
        <v>764</v>
      </c>
      <c r="T328" s="7" t="s">
        <v>542</v>
      </c>
      <c r="U328" s="65">
        <v>4006.0</v>
      </c>
    </row>
    <row r="329">
      <c r="A329" s="45">
        <v>45912.64079861111</v>
      </c>
      <c r="B329" s="7" t="s">
        <v>360</v>
      </c>
      <c r="C329" s="7" t="s">
        <v>2198</v>
      </c>
      <c r="D329" s="7"/>
      <c r="E329" s="64">
        <v>1.0</v>
      </c>
      <c r="F329" s="7"/>
      <c r="G329" s="47">
        <v>24.99</v>
      </c>
      <c r="H329" s="47">
        <v>0.0</v>
      </c>
      <c r="I329" s="47">
        <v>1.4</v>
      </c>
      <c r="J329" s="8">
        <f t="shared" si="1"/>
        <v>23.59</v>
      </c>
      <c r="K329" s="8"/>
      <c r="L329" s="7"/>
      <c r="M329" s="7"/>
      <c r="N329" s="7"/>
      <c r="O329" s="7"/>
      <c r="P329" s="7" t="s">
        <v>490</v>
      </c>
      <c r="Q329" s="7" t="s">
        <v>1265</v>
      </c>
      <c r="R329" s="7"/>
      <c r="S329" s="7" t="s">
        <v>1266</v>
      </c>
      <c r="T329" s="7" t="s">
        <v>542</v>
      </c>
      <c r="U329" s="65">
        <v>4005.0</v>
      </c>
    </row>
    <row r="330">
      <c r="A330" s="45">
        <v>45912.63983796296</v>
      </c>
      <c r="B330" s="7" t="s">
        <v>413</v>
      </c>
      <c r="C330" s="7" t="s">
        <v>2198</v>
      </c>
      <c r="D330" s="7"/>
      <c r="E330" s="64">
        <v>1.0</v>
      </c>
      <c r="F330" s="7"/>
      <c r="G330" s="47">
        <v>24.99</v>
      </c>
      <c r="H330" s="47">
        <v>0.0</v>
      </c>
      <c r="I330" s="47">
        <v>1.4</v>
      </c>
      <c r="J330" s="8">
        <f t="shared" si="1"/>
        <v>23.59</v>
      </c>
      <c r="K330" s="8"/>
      <c r="L330" s="7"/>
      <c r="M330" s="7"/>
      <c r="N330" s="7"/>
      <c r="O330" s="7"/>
      <c r="P330" s="7" t="s">
        <v>490</v>
      </c>
      <c r="Q330" s="7" t="s">
        <v>1693</v>
      </c>
      <c r="R330" s="7"/>
      <c r="S330" s="7" t="s">
        <v>1694</v>
      </c>
      <c r="T330" s="7" t="s">
        <v>1420</v>
      </c>
      <c r="U330" s="65">
        <v>4004.0</v>
      </c>
    </row>
    <row r="331">
      <c r="A331" s="45">
        <v>45912.635833333334</v>
      </c>
      <c r="B331" s="7" t="s">
        <v>410</v>
      </c>
      <c r="C331" s="7" t="s">
        <v>2198</v>
      </c>
      <c r="D331" s="7"/>
      <c r="E331" s="64">
        <v>1.0</v>
      </c>
      <c r="F331" s="7"/>
      <c r="G331" s="47">
        <v>24.99</v>
      </c>
      <c r="H331" s="47">
        <v>0.0</v>
      </c>
      <c r="I331" s="47">
        <v>1.02</v>
      </c>
      <c r="J331" s="8">
        <f t="shared" si="1"/>
        <v>23.97</v>
      </c>
      <c r="K331" s="8"/>
      <c r="L331" s="7"/>
      <c r="M331" s="7"/>
      <c r="N331" s="7"/>
      <c r="O331" s="7"/>
      <c r="P331" s="7" t="s">
        <v>490</v>
      </c>
      <c r="Q331" s="7" t="s">
        <v>1186</v>
      </c>
      <c r="R331" s="7"/>
      <c r="S331" s="7" t="s">
        <v>1187</v>
      </c>
      <c r="T331" s="7" t="s">
        <v>493</v>
      </c>
      <c r="U331" s="65">
        <v>4003.0</v>
      </c>
    </row>
    <row r="332">
      <c r="A332" s="45">
        <v>45912.62998842593</v>
      </c>
      <c r="B332" s="7" t="s">
        <v>614</v>
      </c>
      <c r="C332" s="7" t="s">
        <v>2198</v>
      </c>
      <c r="D332" s="7"/>
      <c r="E332" s="64">
        <v>1.0</v>
      </c>
      <c r="F332" s="7"/>
      <c r="G332" s="47">
        <v>24.99</v>
      </c>
      <c r="H332" s="47">
        <v>0.0</v>
      </c>
      <c r="I332" s="47">
        <v>1.4</v>
      </c>
      <c r="J332" s="8">
        <f t="shared" si="1"/>
        <v>23.59</v>
      </c>
      <c r="K332" s="8"/>
      <c r="L332" s="7"/>
      <c r="M332" s="7"/>
      <c r="N332" s="7"/>
      <c r="O332" s="7"/>
      <c r="P332" s="7" t="s">
        <v>490</v>
      </c>
      <c r="Q332" s="7" t="s">
        <v>615</v>
      </c>
      <c r="R332" s="7"/>
      <c r="S332" s="7" t="s">
        <v>616</v>
      </c>
      <c r="T332" s="7" t="s">
        <v>617</v>
      </c>
      <c r="U332" s="65">
        <v>4002.0</v>
      </c>
    </row>
    <row r="333">
      <c r="A333" s="45">
        <v>45912.626296296294</v>
      </c>
      <c r="B333" s="7" t="s">
        <v>110</v>
      </c>
      <c r="C333" s="7" t="s">
        <v>2208</v>
      </c>
      <c r="D333" s="7"/>
      <c r="E333" s="64">
        <v>1.0</v>
      </c>
      <c r="F333" s="64">
        <v>1.0</v>
      </c>
      <c r="G333" s="47">
        <v>124.99</v>
      </c>
      <c r="H333" s="47">
        <v>0.0</v>
      </c>
      <c r="I333" s="47">
        <v>5.8</v>
      </c>
      <c r="J333" s="8">
        <f t="shared" si="1"/>
        <v>119.19</v>
      </c>
      <c r="K333" s="8"/>
      <c r="L333" s="7"/>
      <c r="M333" s="7"/>
      <c r="N333" s="7"/>
      <c r="O333" s="7"/>
      <c r="P333" s="7" t="s">
        <v>490</v>
      </c>
      <c r="Q333" s="7" t="s">
        <v>2290</v>
      </c>
      <c r="R333" s="65">
        <v>36.0</v>
      </c>
      <c r="S333" s="7" t="s">
        <v>1144</v>
      </c>
      <c r="T333" s="7" t="s">
        <v>966</v>
      </c>
      <c r="U333" s="65">
        <v>4001.0</v>
      </c>
    </row>
    <row r="334">
      <c r="A334" s="45">
        <v>45912.62552083333</v>
      </c>
      <c r="B334" s="7" t="s">
        <v>441</v>
      </c>
      <c r="C334" s="7" t="s">
        <v>2198</v>
      </c>
      <c r="D334" s="7"/>
      <c r="E334" s="64">
        <v>1.0</v>
      </c>
      <c r="F334" s="7"/>
      <c r="G334" s="47">
        <v>24.99</v>
      </c>
      <c r="H334" s="47">
        <v>0.0</v>
      </c>
      <c r="I334" s="47">
        <v>1.02</v>
      </c>
      <c r="J334" s="8">
        <f t="shared" si="1"/>
        <v>23.97</v>
      </c>
      <c r="K334" s="8"/>
      <c r="L334" s="7"/>
      <c r="M334" s="7"/>
      <c r="N334" s="7"/>
      <c r="O334" s="7"/>
      <c r="P334" s="7" t="s">
        <v>490</v>
      </c>
      <c r="Q334" s="7" t="s">
        <v>1410</v>
      </c>
      <c r="R334" s="7"/>
      <c r="S334" s="7" t="s">
        <v>1411</v>
      </c>
      <c r="T334" s="7" t="s">
        <v>493</v>
      </c>
      <c r="U334" s="65">
        <v>4000.0</v>
      </c>
    </row>
    <row r="335">
      <c r="A335" s="45">
        <v>45912.62490740741</v>
      </c>
      <c r="B335" s="7" t="s">
        <v>398</v>
      </c>
      <c r="C335" s="7" t="s">
        <v>2208</v>
      </c>
      <c r="D335" s="7"/>
      <c r="E335" s="64">
        <v>1.0</v>
      </c>
      <c r="F335" s="64">
        <v>1.0</v>
      </c>
      <c r="G335" s="47">
        <v>124.99</v>
      </c>
      <c r="H335" s="47">
        <v>0.0</v>
      </c>
      <c r="I335" s="47">
        <v>3.92</v>
      </c>
      <c r="J335" s="8">
        <f t="shared" si="1"/>
        <v>121.07</v>
      </c>
      <c r="K335" s="8"/>
      <c r="L335" s="7"/>
      <c r="M335" s="7"/>
      <c r="N335" s="7"/>
      <c r="O335" s="7"/>
      <c r="P335" s="7" t="s">
        <v>490</v>
      </c>
      <c r="Q335" s="7" t="s">
        <v>2063</v>
      </c>
      <c r="R335" s="7"/>
      <c r="S335" s="7" t="s">
        <v>1139</v>
      </c>
      <c r="T335" s="7" t="s">
        <v>493</v>
      </c>
      <c r="U335" s="65">
        <v>3999.0</v>
      </c>
    </row>
    <row r="336">
      <c r="A336" s="45">
        <v>45912.62451388889</v>
      </c>
      <c r="B336" s="7" t="s">
        <v>1678</v>
      </c>
      <c r="C336" s="7" t="s">
        <v>2208</v>
      </c>
      <c r="D336" s="7"/>
      <c r="E336" s="64">
        <v>1.0</v>
      </c>
      <c r="F336" s="64">
        <v>1.0</v>
      </c>
      <c r="G336" s="47">
        <v>124.99</v>
      </c>
      <c r="H336" s="47">
        <v>0.0</v>
      </c>
      <c r="I336" s="47">
        <v>3.92</v>
      </c>
      <c r="J336" s="8">
        <f t="shared" si="1"/>
        <v>121.07</v>
      </c>
      <c r="K336" s="8"/>
      <c r="L336" s="7"/>
      <c r="M336" s="7"/>
      <c r="N336" s="7"/>
      <c r="O336" s="7"/>
      <c r="P336" s="7" t="s">
        <v>490</v>
      </c>
      <c r="Q336" s="7" t="s">
        <v>655</v>
      </c>
      <c r="R336" s="7"/>
      <c r="S336" s="7" t="s">
        <v>656</v>
      </c>
      <c r="T336" s="7" t="s">
        <v>493</v>
      </c>
      <c r="U336" s="65">
        <v>3998.0</v>
      </c>
    </row>
    <row r="337">
      <c r="A337" s="45">
        <v>45912.61854166666</v>
      </c>
      <c r="B337" s="7" t="s">
        <v>1645</v>
      </c>
      <c r="C337" s="7" t="s">
        <v>2198</v>
      </c>
      <c r="D337" s="7"/>
      <c r="E337" s="64">
        <v>1.0</v>
      </c>
      <c r="F337" s="7"/>
      <c r="G337" s="47">
        <v>24.99</v>
      </c>
      <c r="H337" s="47">
        <v>0.0</v>
      </c>
      <c r="I337" s="47">
        <v>1.4</v>
      </c>
      <c r="J337" s="8">
        <f t="shared" si="1"/>
        <v>23.59</v>
      </c>
      <c r="K337" s="8"/>
      <c r="L337" s="7"/>
      <c r="M337" s="7"/>
      <c r="N337" s="7"/>
      <c r="O337" s="7"/>
      <c r="P337" s="7" t="s">
        <v>490</v>
      </c>
      <c r="Q337" s="7" t="s">
        <v>649</v>
      </c>
      <c r="R337" s="7" t="s">
        <v>1849</v>
      </c>
      <c r="S337" s="7" t="s">
        <v>651</v>
      </c>
      <c r="T337" s="7" t="s">
        <v>510</v>
      </c>
      <c r="U337" s="65">
        <v>3997.0</v>
      </c>
    </row>
    <row r="338">
      <c r="A338" s="45">
        <v>45912.618101851855</v>
      </c>
      <c r="B338" s="7" t="s">
        <v>386</v>
      </c>
      <c r="C338" s="7" t="s">
        <v>2208</v>
      </c>
      <c r="D338" s="7"/>
      <c r="E338" s="64">
        <v>1.0</v>
      </c>
      <c r="F338" s="64">
        <v>1.0</v>
      </c>
      <c r="G338" s="47">
        <v>124.99</v>
      </c>
      <c r="H338" s="47">
        <v>0.0</v>
      </c>
      <c r="I338" s="47">
        <v>3.92</v>
      </c>
      <c r="J338" s="8">
        <f t="shared" si="1"/>
        <v>121.07</v>
      </c>
      <c r="K338" s="8"/>
      <c r="L338" s="7"/>
      <c r="M338" s="7"/>
      <c r="N338" s="7"/>
      <c r="O338" s="7"/>
      <c r="P338" s="7" t="s">
        <v>490</v>
      </c>
      <c r="Q338" s="7" t="s">
        <v>1387</v>
      </c>
      <c r="R338" s="7"/>
      <c r="S338" s="7" t="s">
        <v>1388</v>
      </c>
      <c r="T338" s="7" t="s">
        <v>493</v>
      </c>
      <c r="U338" s="65">
        <v>3996.0</v>
      </c>
    </row>
    <row r="339">
      <c r="A339" s="45">
        <v>45912.61628472222</v>
      </c>
      <c r="B339" s="7" t="s">
        <v>395</v>
      </c>
      <c r="C339" s="7" t="s">
        <v>2208</v>
      </c>
      <c r="D339" s="7"/>
      <c r="E339" s="64">
        <v>1.0</v>
      </c>
      <c r="F339" s="64">
        <v>1.0</v>
      </c>
      <c r="G339" s="47">
        <v>124.99</v>
      </c>
      <c r="H339" s="47">
        <v>0.0</v>
      </c>
      <c r="I339" s="47">
        <v>5.8</v>
      </c>
      <c r="J339" s="8">
        <f t="shared" si="1"/>
        <v>119.19</v>
      </c>
      <c r="K339" s="8"/>
      <c r="L339" s="7"/>
      <c r="M339" s="7"/>
      <c r="N339" s="7"/>
      <c r="O339" s="7"/>
      <c r="P339" s="7" t="s">
        <v>490</v>
      </c>
      <c r="Q339" s="7" t="s">
        <v>2068</v>
      </c>
      <c r="R339" s="7" t="s">
        <v>1856</v>
      </c>
      <c r="S339" s="7" t="s">
        <v>2069</v>
      </c>
      <c r="T339" s="7" t="s">
        <v>973</v>
      </c>
      <c r="U339" s="65">
        <v>3995.0</v>
      </c>
    </row>
    <row r="340">
      <c r="A340" s="45">
        <v>45912.61555555555</v>
      </c>
      <c r="B340" s="7" t="s">
        <v>564</v>
      </c>
      <c r="C340" s="7" t="s">
        <v>2198</v>
      </c>
      <c r="D340" s="7"/>
      <c r="E340" s="64">
        <v>1.0</v>
      </c>
      <c r="F340" s="7"/>
      <c r="G340" s="47">
        <v>27.55</v>
      </c>
      <c r="H340" s="47">
        <v>0.0</v>
      </c>
      <c r="I340" s="47">
        <v>1.1</v>
      </c>
      <c r="J340" s="8">
        <f t="shared" si="1"/>
        <v>26.45</v>
      </c>
      <c r="K340" s="8"/>
      <c r="L340" s="7"/>
      <c r="M340" s="7"/>
      <c r="N340" s="7"/>
      <c r="O340" s="7"/>
      <c r="P340" s="7" t="s">
        <v>490</v>
      </c>
      <c r="Q340" s="7"/>
      <c r="R340" s="7"/>
      <c r="S340" s="7"/>
      <c r="T340" s="7" t="s">
        <v>493</v>
      </c>
      <c r="U340" s="65">
        <v>3992.0</v>
      </c>
    </row>
    <row r="341">
      <c r="A341" s="3" t="s">
        <v>1464</v>
      </c>
      <c r="B341" s="1"/>
      <c r="C341" s="1"/>
      <c r="D341" s="1"/>
      <c r="E341" s="136">
        <f t="shared" ref="E341:K341" si="2">SUM(E2:E340)</f>
        <v>349</v>
      </c>
      <c r="F341" s="136">
        <f t="shared" si="2"/>
        <v>95</v>
      </c>
      <c r="G341" s="115">
        <f t="shared" si="2"/>
        <v>18959.52</v>
      </c>
      <c r="H341" s="115">
        <f t="shared" si="2"/>
        <v>0</v>
      </c>
      <c r="I341" s="115">
        <f t="shared" si="2"/>
        <v>787.76</v>
      </c>
      <c r="J341" s="115">
        <f t="shared" si="2"/>
        <v>18171.76</v>
      </c>
      <c r="K341" s="115">
        <f t="shared" si="2"/>
        <v>0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>
      <c r="A342" s="7"/>
      <c r="B342" s="7"/>
      <c r="C342" s="7"/>
      <c r="D342" s="7"/>
      <c r="E342" s="7"/>
      <c r="F342" s="7"/>
      <c r="G342" s="8"/>
      <c r="H342" s="8"/>
      <c r="I342" s="8"/>
      <c r="J342" s="8"/>
      <c r="K342" s="8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>
      <c r="A343" s="81" t="s">
        <v>467</v>
      </c>
      <c r="B343" s="82"/>
      <c r="C343" s="7"/>
      <c r="D343" s="7"/>
      <c r="E343" s="7"/>
      <c r="F343" s="7"/>
      <c r="G343" s="143"/>
      <c r="H343" s="8"/>
      <c r="I343" s="8"/>
      <c r="J343" s="8"/>
      <c r="K343" s="8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>
      <c r="A344" s="83" t="s">
        <v>2291</v>
      </c>
      <c r="B344" s="84">
        <v>349.0</v>
      </c>
      <c r="C344" s="7"/>
      <c r="D344" s="7"/>
      <c r="E344" s="7"/>
      <c r="F344" s="7"/>
      <c r="G344" s="8"/>
      <c r="H344" s="8"/>
      <c r="I344" s="8"/>
      <c r="J344" s="8"/>
      <c r="K344" s="8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>
      <c r="A345" s="31" t="s">
        <v>68</v>
      </c>
      <c r="B345" s="6">
        <v>24.99</v>
      </c>
      <c r="C345" s="7"/>
      <c r="D345" s="7"/>
      <c r="E345" s="7"/>
      <c r="F345" s="7"/>
      <c r="G345" s="8"/>
      <c r="H345" s="8"/>
      <c r="I345" s="8"/>
      <c r="J345" s="8"/>
      <c r="K345" s="8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>
      <c r="A346" s="93" t="s">
        <v>1466</v>
      </c>
      <c r="B346" s="5">
        <f>B344*B345</f>
        <v>8721.51</v>
      </c>
      <c r="C346" s="7"/>
      <c r="D346" s="7"/>
      <c r="E346" s="7"/>
      <c r="F346" s="7"/>
      <c r="G346" s="8"/>
      <c r="H346" s="8"/>
      <c r="I346" s="8"/>
      <c r="J346" s="8"/>
      <c r="K346" s="8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>
      <c r="A347" s="31" t="s">
        <v>470</v>
      </c>
      <c r="B347" s="85">
        <v>9500.0</v>
      </c>
      <c r="C347" s="7"/>
      <c r="D347" s="7"/>
      <c r="E347" s="7"/>
      <c r="F347" s="7"/>
      <c r="G347" s="8"/>
      <c r="H347" s="8"/>
      <c r="I347" s="8"/>
      <c r="J347" s="8"/>
      <c r="K347" s="8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>
      <c r="A348" s="87" t="s">
        <v>11</v>
      </c>
      <c r="B348" s="88">
        <f>SUM(B346:B347)</f>
        <v>18221.51</v>
      </c>
      <c r="C348" s="7"/>
      <c r="D348" s="7"/>
      <c r="E348" s="7"/>
      <c r="F348" s="7"/>
      <c r="G348" s="8"/>
      <c r="H348" s="8"/>
      <c r="I348" s="8"/>
      <c r="J348" s="8"/>
      <c r="K348" s="8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>
      <c r="A349" s="83" t="s">
        <v>471</v>
      </c>
      <c r="B349" s="89">
        <v>18959.52</v>
      </c>
      <c r="C349" s="7"/>
      <c r="D349" s="7"/>
      <c r="E349" s="7"/>
      <c r="F349" s="7"/>
      <c r="G349" s="8"/>
      <c r="H349" s="8"/>
      <c r="I349" s="8"/>
      <c r="J349" s="8"/>
      <c r="K349" s="8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>
      <c r="A350" s="4" t="s">
        <v>472</v>
      </c>
      <c r="B350" s="5">
        <f>B349-B348</f>
        <v>738.01</v>
      </c>
      <c r="C350" s="7"/>
      <c r="D350" s="7"/>
      <c r="E350" s="7"/>
      <c r="F350" s="7"/>
      <c r="G350" s="8"/>
      <c r="H350" s="8"/>
      <c r="I350" s="8"/>
      <c r="J350" s="8"/>
      <c r="K350" s="8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>
      <c r="A351" s="90" t="s">
        <v>473</v>
      </c>
      <c r="B351" s="91">
        <v>787.76</v>
      </c>
      <c r="C351" s="7"/>
      <c r="D351" s="7"/>
      <c r="E351" s="7"/>
      <c r="F351" s="7"/>
      <c r="G351" s="8"/>
      <c r="H351" s="8"/>
      <c r="I351" s="8"/>
      <c r="J351" s="8"/>
      <c r="K351" s="8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>
      <c r="A352" s="7"/>
      <c r="B352" s="7"/>
      <c r="C352" s="7"/>
      <c r="D352" s="7"/>
      <c r="E352" s="7"/>
      <c r="F352" s="7"/>
      <c r="G352" s="8"/>
      <c r="H352" s="8"/>
      <c r="I352" s="8"/>
      <c r="J352" s="8"/>
      <c r="K352" s="8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>
      <c r="A353" s="42" t="s">
        <v>2292</v>
      </c>
      <c r="B353" s="7"/>
      <c r="C353" s="7"/>
      <c r="D353" s="7"/>
      <c r="E353" s="7"/>
      <c r="F353" s="7"/>
      <c r="G353" s="8"/>
      <c r="H353" s="8"/>
      <c r="I353" s="8"/>
      <c r="J353" s="8"/>
      <c r="K353" s="8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>
      <c r="A354" s="94" t="s">
        <v>476</v>
      </c>
      <c r="B354" s="83"/>
      <c r="C354" s="7"/>
      <c r="D354" s="7"/>
      <c r="E354" s="7"/>
      <c r="F354" s="7"/>
      <c r="G354" s="8"/>
      <c r="H354" s="8"/>
      <c r="I354" s="8"/>
      <c r="J354" s="8"/>
      <c r="K354" s="8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>
      <c r="A355" s="83" t="s">
        <v>477</v>
      </c>
      <c r="B355" s="95">
        <v>22.5</v>
      </c>
      <c r="C355" s="7"/>
      <c r="D355" s="7"/>
      <c r="E355" s="7"/>
      <c r="F355" s="7"/>
      <c r="G355" s="8"/>
      <c r="H355" s="8"/>
      <c r="I355" s="8"/>
      <c r="J355" s="8"/>
      <c r="K355" s="8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>
      <c r="A356" s="83" t="s">
        <v>478</v>
      </c>
      <c r="B356" s="95">
        <v>127.29</v>
      </c>
      <c r="C356" s="7"/>
      <c r="D356" s="7"/>
      <c r="E356" s="7"/>
      <c r="F356" s="7"/>
      <c r="G356" s="8"/>
      <c r="H356" s="8"/>
      <c r="I356" s="8"/>
      <c r="J356" s="8"/>
      <c r="K356" s="8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>
      <c r="A357" s="96" t="s">
        <v>479</v>
      </c>
      <c r="B357" s="97">
        <f>SUM(B355:B356)</f>
        <v>149.79</v>
      </c>
      <c r="C357" s="7"/>
      <c r="D357" s="7"/>
      <c r="E357" s="7"/>
      <c r="F357" s="7"/>
      <c r="G357" s="8"/>
      <c r="H357" s="8"/>
      <c r="I357" s="8"/>
      <c r="J357" s="8"/>
      <c r="K357" s="8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>
      <c r="A358" s="7"/>
      <c r="B358" s="7"/>
      <c r="C358" s="7"/>
      <c r="D358" s="7"/>
      <c r="E358" s="7"/>
      <c r="F358" s="7"/>
      <c r="G358" s="8"/>
      <c r="H358" s="8"/>
      <c r="I358" s="8"/>
      <c r="J358" s="8"/>
      <c r="K358" s="8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>
      <c r="A359" s="7"/>
      <c r="B359" s="7"/>
      <c r="C359" s="7"/>
      <c r="D359" s="7"/>
      <c r="E359" s="7"/>
      <c r="F359" s="7"/>
      <c r="G359" s="8"/>
      <c r="H359" s="8"/>
      <c r="I359" s="8"/>
      <c r="J359" s="8"/>
      <c r="K359" s="8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>
      <c r="A360" s="121" t="s">
        <v>480</v>
      </c>
      <c r="B360" s="122">
        <v>24.99</v>
      </c>
      <c r="C360" s="7"/>
      <c r="D360" s="7"/>
      <c r="E360" s="7"/>
      <c r="F360" s="7"/>
      <c r="G360" s="8"/>
      <c r="H360" s="8"/>
      <c r="I360" s="8"/>
      <c r="J360" s="8"/>
      <c r="K360" s="8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>
      <c r="A361" s="121" t="s">
        <v>8</v>
      </c>
      <c r="B361" s="123">
        <v>4.5</v>
      </c>
      <c r="C361" s="7"/>
      <c r="D361" s="7"/>
      <c r="E361" s="7"/>
      <c r="F361" s="7"/>
      <c r="G361" s="8"/>
      <c r="H361" s="8"/>
      <c r="I361" s="8"/>
      <c r="J361" s="8"/>
      <c r="K361" s="8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>
      <c r="A362" s="121" t="s">
        <v>13</v>
      </c>
      <c r="B362" s="126">
        <f>2*0.127</f>
        <v>0.254</v>
      </c>
    </row>
    <row r="363">
      <c r="A363" s="121" t="s">
        <v>9</v>
      </c>
      <c r="B363" s="124">
        <f>B360-(B361+B362)</f>
        <v>20.236</v>
      </c>
    </row>
    <row r="364">
      <c r="A364" s="125"/>
      <c r="B364" s="126"/>
    </row>
    <row r="365">
      <c r="A365" s="121" t="s">
        <v>10</v>
      </c>
      <c r="B365" s="127">
        <v>349.0</v>
      </c>
    </row>
    <row r="366">
      <c r="A366" s="121" t="s">
        <v>2293</v>
      </c>
      <c r="B366" s="126">
        <f>B360*B365</f>
        <v>8721.51</v>
      </c>
    </row>
    <row r="367">
      <c r="A367" s="121" t="s">
        <v>12</v>
      </c>
      <c r="B367" s="123">
        <v>4235.5</v>
      </c>
    </row>
    <row r="368">
      <c r="A368" s="138"/>
      <c r="B368" s="129">
        <f>B366-B367</f>
        <v>4486.01</v>
      </c>
    </row>
    <row r="369">
      <c r="A369" s="130"/>
      <c r="B369" s="130"/>
    </row>
    <row r="370">
      <c r="A370" s="121" t="s">
        <v>16</v>
      </c>
      <c r="B370" s="123">
        <f>70</f>
        <v>70</v>
      </c>
    </row>
    <row r="371">
      <c r="A371" s="121" t="s">
        <v>10</v>
      </c>
      <c r="B371" s="127">
        <v>95.0</v>
      </c>
    </row>
    <row r="372">
      <c r="A372" s="121" t="s">
        <v>17</v>
      </c>
      <c r="B372" s="126">
        <f>B370*B371</f>
        <v>6650</v>
      </c>
    </row>
    <row r="373">
      <c r="A373" s="121"/>
      <c r="B373" s="123"/>
    </row>
    <row r="374">
      <c r="A374" s="131" t="s">
        <v>18</v>
      </c>
      <c r="B374" s="124">
        <f>B368+B366</f>
        <v>13207.52</v>
      </c>
    </row>
    <row r="375">
      <c r="A375" s="130"/>
      <c r="B375" s="130"/>
    </row>
    <row r="376">
      <c r="A376" s="121" t="s">
        <v>19</v>
      </c>
      <c r="B376" s="132">
        <v>788.0</v>
      </c>
    </row>
    <row r="377">
      <c r="A377" s="133" t="s">
        <v>1472</v>
      </c>
      <c r="B377" s="134">
        <v>149.79</v>
      </c>
    </row>
    <row r="378">
      <c r="A378" s="131" t="s">
        <v>20</v>
      </c>
      <c r="B378" s="124">
        <f>B374-B376-B377</f>
        <v>12269.73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</cols>
  <sheetData>
    <row r="1">
      <c r="A1" s="48" t="s">
        <v>2294</v>
      </c>
      <c r="B1" s="48" t="s">
        <v>2295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42">
        <v>1.0</v>
      </c>
      <c r="B2" s="42" t="s">
        <v>465</v>
      </c>
    </row>
    <row r="3">
      <c r="A3" s="42">
        <v>4.0</v>
      </c>
      <c r="B3" s="42" t="s">
        <v>462</v>
      </c>
    </row>
    <row r="4">
      <c r="A4" s="42">
        <v>6.0</v>
      </c>
      <c r="B4" s="42" t="s">
        <v>460</v>
      </c>
    </row>
    <row r="5">
      <c r="A5" s="42">
        <v>7.0</v>
      </c>
      <c r="B5" s="42" t="s">
        <v>2296</v>
      </c>
    </row>
    <row r="6">
      <c r="A6" s="42">
        <v>12.0</v>
      </c>
      <c r="B6" s="42" t="s">
        <v>454</v>
      </c>
    </row>
    <row r="7">
      <c r="A7" s="42">
        <v>13.0</v>
      </c>
      <c r="B7" s="42" t="s">
        <v>1842</v>
      </c>
    </row>
    <row r="8">
      <c r="A8" s="42">
        <v>14.0</v>
      </c>
      <c r="B8" s="42" t="s">
        <v>2297</v>
      </c>
    </row>
    <row r="9">
      <c r="A9" s="42">
        <v>18.0</v>
      </c>
      <c r="B9" s="42" t="s">
        <v>448</v>
      </c>
    </row>
    <row r="10">
      <c r="A10" s="42">
        <v>21.0</v>
      </c>
      <c r="B10" s="42" t="s">
        <v>1678</v>
      </c>
    </row>
    <row r="11">
      <c r="A11" s="42">
        <v>22.0</v>
      </c>
      <c r="B11" s="42" t="s">
        <v>444</v>
      </c>
    </row>
    <row r="12">
      <c r="A12" s="42">
        <v>25.0</v>
      </c>
      <c r="B12" s="42" t="s">
        <v>441</v>
      </c>
    </row>
    <row r="13">
      <c r="A13" s="42">
        <v>27.0</v>
      </c>
      <c r="B13" s="42" t="s">
        <v>2238</v>
      </c>
    </row>
    <row r="14">
      <c r="A14" s="42">
        <v>28.0</v>
      </c>
      <c r="B14" s="42" t="s">
        <v>2298</v>
      </c>
    </row>
    <row r="15">
      <c r="A15" s="42">
        <v>31.0</v>
      </c>
      <c r="B15" s="42" t="s">
        <v>435</v>
      </c>
    </row>
    <row r="16">
      <c r="A16" s="42">
        <v>32.0</v>
      </c>
      <c r="B16" s="42" t="s">
        <v>434</v>
      </c>
    </row>
    <row r="17">
      <c r="A17" s="42">
        <v>33.0</v>
      </c>
      <c r="B17" s="42" t="s">
        <v>433</v>
      </c>
    </row>
    <row r="18">
      <c r="A18" s="42">
        <v>34.0</v>
      </c>
      <c r="B18" s="42" t="s">
        <v>432</v>
      </c>
    </row>
    <row r="19">
      <c r="A19" s="42">
        <v>37.0</v>
      </c>
      <c r="B19" s="42" t="s">
        <v>454</v>
      </c>
    </row>
    <row r="20">
      <c r="A20" s="42">
        <v>40.0</v>
      </c>
      <c r="B20" s="42" t="s">
        <v>427</v>
      </c>
    </row>
    <row r="21">
      <c r="A21" s="42">
        <v>42.0</v>
      </c>
      <c r="B21" s="42" t="s">
        <v>426</v>
      </c>
    </row>
    <row r="22">
      <c r="A22" s="42">
        <v>43.0</v>
      </c>
      <c r="B22" s="42" t="s">
        <v>425</v>
      </c>
    </row>
    <row r="23">
      <c r="A23" s="42">
        <v>44.0</v>
      </c>
      <c r="B23" s="42" t="s">
        <v>424</v>
      </c>
    </row>
    <row r="24">
      <c r="A24" s="42">
        <v>46.0</v>
      </c>
      <c r="B24" s="42" t="s">
        <v>422</v>
      </c>
    </row>
    <row r="25">
      <c r="A25" s="42">
        <v>51.0</v>
      </c>
      <c r="B25" s="42" t="s">
        <v>2299</v>
      </c>
    </row>
    <row r="26">
      <c r="A26" s="144">
        <v>54.0</v>
      </c>
      <c r="B26" s="144" t="s">
        <v>2300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>
      <c r="A27" s="144">
        <v>55.0</v>
      </c>
      <c r="B27" s="144" t="s">
        <v>2300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>
      <c r="A28" s="144">
        <v>56.0</v>
      </c>
      <c r="B28" s="144" t="s">
        <v>2300</v>
      </c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>
      <c r="A29" s="144">
        <v>57.0</v>
      </c>
      <c r="B29" s="144" t="s">
        <v>2300</v>
      </c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>
      <c r="A30" s="42">
        <v>60.0</v>
      </c>
      <c r="B30" s="42" t="s">
        <v>411</v>
      </c>
    </row>
    <row r="31">
      <c r="A31" s="42">
        <v>71.0</v>
      </c>
      <c r="B31" s="42" t="s">
        <v>400</v>
      </c>
    </row>
    <row r="32">
      <c r="A32" s="42">
        <v>77.0</v>
      </c>
      <c r="B32" s="42" t="s">
        <v>395</v>
      </c>
    </row>
    <row r="33">
      <c r="A33" s="42">
        <v>86.0</v>
      </c>
      <c r="B33" s="42" t="s">
        <v>386</v>
      </c>
    </row>
    <row r="34">
      <c r="A34" s="42">
        <v>91.0</v>
      </c>
      <c r="B34" s="42" t="s">
        <v>2301</v>
      </c>
    </row>
    <row r="35">
      <c r="A35" s="42">
        <v>92.0</v>
      </c>
      <c r="B35" s="42" t="s">
        <v>2302</v>
      </c>
    </row>
    <row r="36">
      <c r="A36" s="42">
        <v>101.0</v>
      </c>
      <c r="B36" s="42" t="s">
        <v>372</v>
      </c>
    </row>
    <row r="37">
      <c r="A37" s="42">
        <v>103.0</v>
      </c>
      <c r="B37" s="42" t="s">
        <v>370</v>
      </c>
    </row>
    <row r="38">
      <c r="A38" s="42">
        <v>108.0</v>
      </c>
      <c r="B38" s="42" t="s">
        <v>2303</v>
      </c>
    </row>
    <row r="39">
      <c r="A39" s="42">
        <v>109.0</v>
      </c>
      <c r="B39" s="42" t="s">
        <v>365</v>
      </c>
    </row>
    <row r="40">
      <c r="A40" s="42">
        <v>133.0</v>
      </c>
      <c r="B40" s="42" t="s">
        <v>342</v>
      </c>
    </row>
    <row r="41">
      <c r="A41" s="144">
        <v>134.0</v>
      </c>
      <c r="B41" s="144" t="s">
        <v>340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>
      <c r="A42" s="144">
        <v>135.0</v>
      </c>
      <c r="B42" s="144" t="s">
        <v>340</v>
      </c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>
      <c r="A43" s="144">
        <v>136.0</v>
      </c>
      <c r="B43" s="144" t="s">
        <v>340</v>
      </c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>
      <c r="A44" s="42">
        <v>144.0</v>
      </c>
      <c r="B44" s="42" t="s">
        <v>2304</v>
      </c>
    </row>
    <row r="45">
      <c r="A45" s="42">
        <v>145.0</v>
      </c>
      <c r="B45" s="42" t="s">
        <v>2305</v>
      </c>
    </row>
    <row r="46">
      <c r="A46" s="42">
        <v>149.0</v>
      </c>
      <c r="B46" s="42" t="s">
        <v>2306</v>
      </c>
    </row>
    <row r="47">
      <c r="A47" s="42">
        <v>154.0</v>
      </c>
      <c r="B47" s="42" t="s">
        <v>2307</v>
      </c>
    </row>
    <row r="48">
      <c r="A48" s="42">
        <v>158.0</v>
      </c>
      <c r="B48" s="42" t="s">
        <v>2308</v>
      </c>
    </row>
    <row r="49">
      <c r="A49" s="42">
        <v>164.0</v>
      </c>
      <c r="B49" s="42" t="s">
        <v>312</v>
      </c>
    </row>
    <row r="50">
      <c r="A50" s="42">
        <v>168.0</v>
      </c>
      <c r="B50" s="42" t="s">
        <v>2309</v>
      </c>
    </row>
    <row r="51">
      <c r="A51" s="42">
        <v>169.0</v>
      </c>
      <c r="B51" s="42" t="s">
        <v>993</v>
      </c>
    </row>
    <row r="52">
      <c r="A52" s="42">
        <v>170.0</v>
      </c>
      <c r="B52" s="42" t="s">
        <v>306</v>
      </c>
    </row>
    <row r="53">
      <c r="A53" s="42">
        <v>174.0</v>
      </c>
      <c r="B53" s="42" t="s">
        <v>302</v>
      </c>
    </row>
    <row r="54">
      <c r="A54" s="42">
        <v>177.0</v>
      </c>
      <c r="B54" s="42" t="s">
        <v>299</v>
      </c>
    </row>
    <row r="55">
      <c r="A55" s="42">
        <v>190.0</v>
      </c>
      <c r="B55" s="42" t="s">
        <v>288</v>
      </c>
    </row>
    <row r="56">
      <c r="A56" s="42">
        <v>202.0</v>
      </c>
      <c r="B56" s="42" t="s">
        <v>1275</v>
      </c>
    </row>
    <row r="57">
      <c r="A57" s="42">
        <v>203.0</v>
      </c>
      <c r="B57" s="42" t="s">
        <v>1816</v>
      </c>
    </row>
    <row r="58">
      <c r="A58" s="42">
        <v>206.0</v>
      </c>
      <c r="B58" s="42" t="s">
        <v>272</v>
      </c>
    </row>
    <row r="59">
      <c r="A59" s="42">
        <v>215.0</v>
      </c>
      <c r="B59" s="42" t="s">
        <v>1168</v>
      </c>
    </row>
    <row r="60">
      <c r="A60" s="42">
        <v>217.0</v>
      </c>
      <c r="B60" s="42" t="s">
        <v>261</v>
      </c>
    </row>
    <row r="61">
      <c r="A61" s="42">
        <v>220.0</v>
      </c>
      <c r="B61" s="42" t="s">
        <v>256</v>
      </c>
    </row>
    <row r="62">
      <c r="A62" s="42">
        <v>224.0</v>
      </c>
      <c r="B62" s="42" t="s">
        <v>2310</v>
      </c>
    </row>
    <row r="63">
      <c r="A63" s="42">
        <v>230.0</v>
      </c>
      <c r="B63" s="42" t="s">
        <v>2311</v>
      </c>
    </row>
    <row r="64">
      <c r="A64" s="42">
        <v>231.0</v>
      </c>
      <c r="B64" s="42" t="s">
        <v>2312</v>
      </c>
    </row>
    <row r="65">
      <c r="A65" s="42">
        <v>232.0</v>
      </c>
      <c r="B65" s="42" t="s">
        <v>244</v>
      </c>
    </row>
    <row r="66">
      <c r="A66" s="42">
        <v>239.0</v>
      </c>
      <c r="B66" s="42" t="s">
        <v>1733</v>
      </c>
    </row>
    <row r="67">
      <c r="A67" s="42">
        <v>243.0</v>
      </c>
      <c r="B67" s="42" t="s">
        <v>233</v>
      </c>
    </row>
    <row r="68">
      <c r="A68" s="42">
        <v>244.0</v>
      </c>
      <c r="B68" s="42" t="s">
        <v>232</v>
      </c>
    </row>
    <row r="69">
      <c r="A69" s="144">
        <v>245.0</v>
      </c>
      <c r="B69" s="144" t="s">
        <v>230</v>
      </c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>
      <c r="A70" s="144">
        <v>246.0</v>
      </c>
      <c r="B70" s="144" t="s">
        <v>230</v>
      </c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>
      <c r="A71" s="42">
        <v>248.0</v>
      </c>
      <c r="B71" s="42" t="s">
        <v>2313</v>
      </c>
    </row>
    <row r="72">
      <c r="A72" s="42">
        <v>253.0</v>
      </c>
      <c r="B72" s="42" t="s">
        <v>223</v>
      </c>
    </row>
    <row r="73">
      <c r="A73" s="42">
        <v>260.0</v>
      </c>
      <c r="B73" s="42" t="s">
        <v>216</v>
      </c>
    </row>
    <row r="74">
      <c r="A74" s="42">
        <v>261.0</v>
      </c>
      <c r="B74" s="42" t="s">
        <v>2314</v>
      </c>
    </row>
    <row r="75">
      <c r="A75" s="42">
        <v>269.0</v>
      </c>
      <c r="B75" s="42" t="s">
        <v>207</v>
      </c>
    </row>
    <row r="76">
      <c r="A76" s="42">
        <v>273.0</v>
      </c>
      <c r="B76" s="42" t="s">
        <v>2315</v>
      </c>
    </row>
    <row r="77">
      <c r="A77" s="42">
        <v>275.0</v>
      </c>
      <c r="B77" s="42" t="s">
        <v>201</v>
      </c>
    </row>
    <row r="78">
      <c r="A78" s="42">
        <v>280.0</v>
      </c>
      <c r="B78" s="42" t="s">
        <v>196</v>
      </c>
    </row>
    <row r="79">
      <c r="A79" s="42">
        <v>285.0</v>
      </c>
      <c r="B79" s="42" t="s">
        <v>191</v>
      </c>
    </row>
    <row r="80">
      <c r="A80" s="42">
        <v>288.0</v>
      </c>
      <c r="B80" s="42" t="s">
        <v>188</v>
      </c>
    </row>
    <row r="81">
      <c r="A81" s="42">
        <v>289.0</v>
      </c>
      <c r="B81" s="42" t="s">
        <v>187</v>
      </c>
    </row>
    <row r="82">
      <c r="A82" s="42">
        <v>301.0</v>
      </c>
      <c r="B82" s="42" t="s">
        <v>2316</v>
      </c>
    </row>
    <row r="83">
      <c r="A83" s="42">
        <v>308.0</v>
      </c>
      <c r="B83" s="42" t="s">
        <v>170</v>
      </c>
    </row>
    <row r="84">
      <c r="A84" s="42">
        <v>310.0</v>
      </c>
      <c r="B84" s="42" t="s">
        <v>168</v>
      </c>
    </row>
    <row r="85">
      <c r="A85" s="42">
        <v>313.0</v>
      </c>
      <c r="B85" s="42" t="s">
        <v>2317</v>
      </c>
    </row>
    <row r="86">
      <c r="A86" s="42">
        <v>317.0</v>
      </c>
      <c r="B86" s="42" t="s">
        <v>162</v>
      </c>
    </row>
    <row r="87">
      <c r="A87" s="42">
        <v>323.0</v>
      </c>
      <c r="B87" s="42" t="s">
        <v>156</v>
      </c>
    </row>
    <row r="88">
      <c r="A88" s="42">
        <v>329.0</v>
      </c>
      <c r="B88" s="42" t="s">
        <v>150</v>
      </c>
    </row>
    <row r="89">
      <c r="A89" s="42">
        <v>331.0</v>
      </c>
      <c r="B89" s="42" t="s">
        <v>148</v>
      </c>
    </row>
    <row r="90">
      <c r="A90" s="42">
        <v>344.0</v>
      </c>
      <c r="B90" s="42" t="s">
        <v>2318</v>
      </c>
    </row>
    <row r="91">
      <c r="A91" s="42">
        <v>361.0</v>
      </c>
      <c r="B91" s="42" t="s">
        <v>120</v>
      </c>
    </row>
    <row r="92">
      <c r="A92" s="42">
        <v>362.0</v>
      </c>
      <c r="B92" s="42" t="s">
        <v>2319</v>
      </c>
    </row>
    <row r="93">
      <c r="A93" s="42">
        <v>368.0</v>
      </c>
      <c r="B93" s="42" t="s">
        <v>113</v>
      </c>
    </row>
    <row r="94">
      <c r="A94" s="42">
        <v>371.0</v>
      </c>
      <c r="B94" s="42" t="s">
        <v>110</v>
      </c>
    </row>
    <row r="95">
      <c r="A95" s="42">
        <v>382.0</v>
      </c>
      <c r="B95" s="42" t="s">
        <v>2320</v>
      </c>
    </row>
    <row r="96">
      <c r="A96" s="42">
        <v>383.0</v>
      </c>
      <c r="B96" s="42" t="s">
        <v>97</v>
      </c>
    </row>
  </sheetData>
  <drawing r:id="rId1"/>
</worksheet>
</file>
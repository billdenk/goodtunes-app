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ing" sheetId="1" r:id="rId5"/>
  </sheets>
  <definedNames/>
  <calcPr/>
</workbook>
</file>

<file path=xl/sharedStrings.xml><?xml version="1.0" encoding="utf-8"?>
<sst xmlns="http://schemas.openxmlformats.org/spreadsheetml/2006/main" count="29" uniqueCount="28">
  <si>
    <t>HTLY</t>
  </si>
  <si>
    <t>Superman</t>
  </si>
  <si>
    <t>NBMH</t>
  </si>
  <si>
    <t>Searchlight</t>
  </si>
  <si>
    <t>Cold Night</t>
  </si>
  <si>
    <t>Storms</t>
  </si>
  <si>
    <t>Double LP</t>
  </si>
  <si>
    <t>Price Per Unit</t>
  </si>
  <si>
    <t xml:space="preserve">GoodTunes Fee </t>
  </si>
  <si>
    <t>Subtotal</t>
  </si>
  <si>
    <t>Total Units Sold</t>
  </si>
  <si>
    <t>Total Revenue</t>
  </si>
  <si>
    <t>Manufacturing Cost</t>
  </si>
  <si>
    <t xml:space="preserve">Publishing </t>
  </si>
  <si>
    <t>Net</t>
  </si>
  <si>
    <t>GoodDeed®</t>
  </si>
  <si>
    <t>GoodDeed- To Nick</t>
  </si>
  <si>
    <t xml:space="preserve">Total GoodDeed </t>
  </si>
  <si>
    <t>Grand Total</t>
  </si>
  <si>
    <t>Credit Card Fee</t>
  </si>
  <si>
    <t>Due to Nick</t>
  </si>
  <si>
    <t>Manufacturing Cost for Double LP: Freight + Potential adjustment (+/- 10%) in final invoice.</t>
  </si>
  <si>
    <t xml:space="preserve">Total Estimated Due </t>
  </si>
  <si>
    <t>INVENTORY</t>
  </si>
  <si>
    <t>Received</t>
  </si>
  <si>
    <t>Sold</t>
  </si>
  <si>
    <t>Actual on-site (available for sale)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</si>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</sst>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&quot;$&quot;* #,##0.00_);_(&quot;$&quot;* \(#,##0.00\);_(&quot;$&quot;* &quot;-&quot;??.00_);_(@_)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Times New Roman"/>
    </font>
    <font>
      <b/>
      <sz val="11.0"/>
      <color theme="1"/>
      <name val="Times New Roman"/>
    </font>
    <font>
      <color theme="1"/>
      <name val="Times New Roman"/>
    </font>
    <font>
      <b/>
      <color theme="1"/>
      <name val="Times New Roman"/>
    </font>
    <font>
      <b/>
      <color rgb="FF980000"/>
      <name val="Times New Roman"/>
    </font>
    <font>
      <color rgb="FF980000"/>
      <name val="Times New Roman"/>
    </font>
    <font>
      <b/>
      <sz val="12.0"/>
      <color theme="1"/>
      <name val="Times New Roman"/>
    </font>
    <font>
      <b/>
      <color rgb="FFFFFFFF"/>
      <name val="Times New Roman"/>
    </font>
    <font>
      <b/>
      <i/>
      <color rgb="FF980000"/>
      <name val="Times New Roman"/>
    </font>
    <font>
      <b/>
      <sz val="12.0"/>
      <color rgb="FFFFFFFF"/>
      <name val="Times New Roman"/>
    </font>
    <font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164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165" xfId="0" applyAlignment="1" applyFont="1" applyNumberFormat="1">
      <alignment horizontal="right" vertical="bottom"/>
    </xf>
    <xf borderId="0" fillId="3" fontId="5" numFmtId="0" xfId="0" applyAlignment="1" applyFill="1" applyFont="1">
      <alignment vertical="bottom"/>
    </xf>
    <xf borderId="0" fillId="3" fontId="5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2" fontId="9" numFmtId="0" xfId="0" applyAlignment="1" applyFont="1">
      <alignment vertical="bottom"/>
    </xf>
    <xf borderId="0" fillId="2" fontId="9" numFmtId="167" xfId="0" applyAlignment="1" applyFont="1" applyNumberFormat="1">
      <alignment horizontal="right" vertical="bottom"/>
    </xf>
    <xf borderId="0" fillId="2" fontId="9" numFmtId="165" xfId="0" applyAlignment="1" applyFont="1" applyNumberFormat="1">
      <alignment horizontal="right" vertical="bottom"/>
    </xf>
    <xf borderId="0" fillId="0" fontId="10" numFmtId="0" xfId="0" applyAlignment="1" applyFont="1">
      <alignment shrinkToFit="0" vertical="bottom" wrapText="1"/>
    </xf>
    <xf borderId="0" fillId="2" fontId="11" numFmtId="0" xfId="0" applyAlignment="1" applyFont="1">
      <alignment vertical="bottom"/>
    </xf>
    <xf borderId="0" fillId="2" fontId="11" numFmtId="167" xfId="0" applyAlignment="1" applyFont="1" applyNumberFormat="1">
      <alignment vertical="bottom"/>
    </xf>
    <xf borderId="0" fillId="2" fontId="9" numFmtId="0" xfId="0" applyAlignment="1" applyFont="1">
      <alignment horizontal="center" vertical="bottom"/>
    </xf>
    <xf borderId="0" fillId="2" fontId="12" numFmtId="0" xfId="0" applyAlignment="1" applyFont="1">
      <alignment vertical="bottom"/>
    </xf>
    <xf borderId="0" fillId="2" fontId="1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14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4" fontId="3" numFmtId="0" xfId="0" applyAlignment="1" applyFill="1" applyFont="1">
      <alignment readingOrder="0"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9" max="9" width="38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/>
      <c r="J1" s="5"/>
    </row>
    <row r="2">
      <c r="A2" s="6" t="s">
        <v>7</v>
      </c>
      <c r="B2" s="7">
        <v>24.99</v>
      </c>
      <c r="C2" s="7">
        <v>24.99</v>
      </c>
      <c r="D2" s="7">
        <v>24.99</v>
      </c>
      <c r="E2" s="7">
        <v>24.99</v>
      </c>
      <c r="F2" s="7">
        <v>24.99</v>
      </c>
      <c r="G2" s="7">
        <v>24.99</v>
      </c>
      <c r="H2" s="7">
        <v>50.0</v>
      </c>
      <c r="I2" s="5"/>
      <c r="J2" s="5"/>
    </row>
    <row r="3">
      <c r="A3" s="6" t="s">
        <v>8</v>
      </c>
      <c r="B3" s="8">
        <v>4.5</v>
      </c>
      <c r="C3" s="8">
        <v>4.5</v>
      </c>
      <c r="D3" s="8">
        <v>4.5</v>
      </c>
      <c r="E3" s="8">
        <v>4.5</v>
      </c>
      <c r="F3" s="8">
        <v>4.5</v>
      </c>
      <c r="G3" s="8">
        <v>4.5</v>
      </c>
      <c r="H3" s="8">
        <v>4.5</v>
      </c>
      <c r="I3" s="5"/>
      <c r="J3" s="5"/>
    </row>
    <row r="4">
      <c r="A4" s="6" t="s">
        <v>9</v>
      </c>
      <c r="B4" s="7">
        <f t="shared" ref="B4:H4" si="1">B2-B3</f>
        <v>20.49</v>
      </c>
      <c r="C4" s="7">
        <f t="shared" si="1"/>
        <v>20.49</v>
      </c>
      <c r="D4" s="7">
        <f t="shared" si="1"/>
        <v>20.49</v>
      </c>
      <c r="E4" s="7">
        <f t="shared" si="1"/>
        <v>20.49</v>
      </c>
      <c r="F4" s="7">
        <f t="shared" si="1"/>
        <v>20.49</v>
      </c>
      <c r="G4" s="7">
        <f t="shared" si="1"/>
        <v>20.49</v>
      </c>
      <c r="H4" s="7">
        <f t="shared" si="1"/>
        <v>45.5</v>
      </c>
      <c r="I4" s="5"/>
      <c r="J4" s="5"/>
    </row>
    <row r="5">
      <c r="A5" s="9"/>
      <c r="B5" s="10"/>
      <c r="C5" s="10"/>
      <c r="D5" s="10"/>
      <c r="E5" s="10"/>
      <c r="F5" s="10"/>
      <c r="G5" s="10"/>
      <c r="H5" s="10"/>
      <c r="I5" s="5"/>
      <c r="J5" s="5"/>
    </row>
    <row r="6">
      <c r="A6" s="6" t="s">
        <v>10</v>
      </c>
      <c r="B6" s="11">
        <v>377.0</v>
      </c>
      <c r="C6" s="11">
        <v>330.0</v>
      </c>
      <c r="D6" s="11">
        <v>339.0</v>
      </c>
      <c r="E6" s="11">
        <v>374.0</v>
      </c>
      <c r="F6" s="11">
        <v>355.0</v>
      </c>
      <c r="G6" s="11">
        <v>349.0</v>
      </c>
      <c r="H6" s="11">
        <v>380.0</v>
      </c>
      <c r="I6" s="5"/>
      <c r="J6" s="5"/>
    </row>
    <row r="7">
      <c r="A7" s="6" t="s">
        <v>11</v>
      </c>
      <c r="B7" s="8">
        <f t="shared" ref="B7:H7" si="2">B4*B6</f>
        <v>7724.73</v>
      </c>
      <c r="C7" s="8">
        <f t="shared" si="2"/>
        <v>6761.7</v>
      </c>
      <c r="D7" s="8">
        <f t="shared" si="2"/>
        <v>6946.11</v>
      </c>
      <c r="E7" s="8">
        <f t="shared" si="2"/>
        <v>7663.26</v>
      </c>
      <c r="F7" s="8">
        <f t="shared" si="2"/>
        <v>7273.95</v>
      </c>
      <c r="G7" s="8">
        <f t="shared" si="2"/>
        <v>7151.01</v>
      </c>
      <c r="H7" s="8">
        <f t="shared" si="2"/>
        <v>17290</v>
      </c>
      <c r="I7" s="5"/>
      <c r="J7" s="5"/>
    </row>
    <row r="8">
      <c r="A8" s="12" t="s">
        <v>12</v>
      </c>
      <c r="B8" s="8">
        <v>4235.5</v>
      </c>
      <c r="C8" s="8">
        <v>4235.5</v>
      </c>
      <c r="D8" s="8">
        <v>4235.5</v>
      </c>
      <c r="E8" s="8">
        <v>4235.5</v>
      </c>
      <c r="F8" s="8">
        <v>4235.5</v>
      </c>
      <c r="G8" s="8">
        <v>4235.5</v>
      </c>
      <c r="H8" s="13">
        <v>9905.0</v>
      </c>
      <c r="I8" s="5"/>
      <c r="J8" s="5"/>
    </row>
    <row r="9">
      <c r="A9" s="6" t="s">
        <v>13</v>
      </c>
      <c r="B9" s="8">
        <f t="shared" ref="B9:H9" si="3">(2*0.127)*500</f>
        <v>127</v>
      </c>
      <c r="C9" s="8">
        <f t="shared" si="3"/>
        <v>127</v>
      </c>
      <c r="D9" s="8">
        <f t="shared" si="3"/>
        <v>127</v>
      </c>
      <c r="E9" s="8">
        <f t="shared" si="3"/>
        <v>127</v>
      </c>
      <c r="F9" s="8">
        <f t="shared" si="3"/>
        <v>127</v>
      </c>
      <c r="G9" s="8">
        <f t="shared" si="3"/>
        <v>127</v>
      </c>
      <c r="H9" s="8">
        <f t="shared" si="3"/>
        <v>127</v>
      </c>
      <c r="I9" s="5"/>
      <c r="J9" s="5"/>
    </row>
    <row r="10">
      <c r="A10" s="14" t="s">
        <v>14</v>
      </c>
      <c r="B10" s="15">
        <f t="shared" ref="B10:H10" si="4">B7-B8-B9</f>
        <v>3362.23</v>
      </c>
      <c r="C10" s="15">
        <f t="shared" si="4"/>
        <v>2399.2</v>
      </c>
      <c r="D10" s="15">
        <f t="shared" si="4"/>
        <v>2583.61</v>
      </c>
      <c r="E10" s="15">
        <f t="shared" si="4"/>
        <v>3300.76</v>
      </c>
      <c r="F10" s="15">
        <f t="shared" si="4"/>
        <v>2911.45</v>
      </c>
      <c r="G10" s="15">
        <f t="shared" si="4"/>
        <v>2788.51</v>
      </c>
      <c r="H10" s="15">
        <f t="shared" si="4"/>
        <v>7258</v>
      </c>
      <c r="I10" s="5"/>
      <c r="J10" s="5"/>
    </row>
    <row r="11">
      <c r="A11" s="9"/>
      <c r="B11" s="9"/>
      <c r="C11" s="9"/>
      <c r="D11" s="9"/>
      <c r="E11" s="9"/>
      <c r="F11" s="9"/>
      <c r="G11" s="9"/>
      <c r="H11" s="9"/>
      <c r="I11" s="5"/>
      <c r="J11" s="5"/>
    </row>
    <row r="12">
      <c r="A12" s="16" t="s">
        <v>15</v>
      </c>
      <c r="B12" s="10"/>
      <c r="C12" s="10"/>
      <c r="D12" s="10"/>
      <c r="E12" s="10"/>
      <c r="F12" s="10"/>
      <c r="G12" s="10"/>
      <c r="H12" s="10"/>
      <c r="I12" s="5"/>
      <c r="J12" s="5"/>
    </row>
    <row r="13">
      <c r="A13" s="6" t="s">
        <v>16</v>
      </c>
      <c r="B13" s="8">
        <f t="shared" ref="B13:H13" si="5">70</f>
        <v>70</v>
      </c>
      <c r="C13" s="8">
        <f t="shared" si="5"/>
        <v>70</v>
      </c>
      <c r="D13" s="8">
        <f t="shared" si="5"/>
        <v>70</v>
      </c>
      <c r="E13" s="8">
        <f t="shared" si="5"/>
        <v>70</v>
      </c>
      <c r="F13" s="8">
        <f t="shared" si="5"/>
        <v>70</v>
      </c>
      <c r="G13" s="8">
        <f t="shared" si="5"/>
        <v>70</v>
      </c>
      <c r="H13" s="8">
        <f t="shared" si="5"/>
        <v>70</v>
      </c>
      <c r="I13" s="5"/>
      <c r="J13" s="5"/>
    </row>
    <row r="14">
      <c r="A14" s="6" t="s">
        <v>10</v>
      </c>
      <c r="B14" s="17">
        <v>50.0</v>
      </c>
      <c r="C14" s="17">
        <v>49.0</v>
      </c>
      <c r="D14" s="17">
        <v>47.0</v>
      </c>
      <c r="E14" s="17">
        <v>60.0</v>
      </c>
      <c r="F14" s="17">
        <v>64.0</v>
      </c>
      <c r="G14" s="17">
        <v>95.0</v>
      </c>
      <c r="H14" s="17">
        <v>89.0</v>
      </c>
      <c r="I14" s="5"/>
      <c r="J14" s="5"/>
    </row>
    <row r="15">
      <c r="A15" s="14" t="s">
        <v>17</v>
      </c>
      <c r="B15" s="15">
        <f t="shared" ref="B15:H15" si="6">B13*B14</f>
        <v>3500</v>
      </c>
      <c r="C15" s="15">
        <f t="shared" si="6"/>
        <v>3430</v>
      </c>
      <c r="D15" s="15">
        <f t="shared" si="6"/>
        <v>3290</v>
      </c>
      <c r="E15" s="15">
        <f t="shared" si="6"/>
        <v>4200</v>
      </c>
      <c r="F15" s="15">
        <f t="shared" si="6"/>
        <v>4480</v>
      </c>
      <c r="G15" s="15">
        <f t="shared" si="6"/>
        <v>6650</v>
      </c>
      <c r="H15" s="15">
        <f t="shared" si="6"/>
        <v>6230</v>
      </c>
      <c r="I15" s="5"/>
      <c r="J15" s="5"/>
    </row>
    <row r="16">
      <c r="A16" s="9"/>
      <c r="B16" s="10"/>
      <c r="C16" s="10"/>
      <c r="D16" s="10"/>
      <c r="E16" s="10"/>
      <c r="F16" s="10"/>
      <c r="G16" s="10"/>
      <c r="H16" s="10"/>
      <c r="I16" s="5"/>
      <c r="J16" s="5"/>
    </row>
    <row r="17">
      <c r="A17" s="6" t="s">
        <v>18</v>
      </c>
      <c r="B17" s="7">
        <f t="shared" ref="B17:H17" si="7">B10+B15</f>
        <v>6862.23</v>
      </c>
      <c r="C17" s="7">
        <f t="shared" si="7"/>
        <v>5829.2</v>
      </c>
      <c r="D17" s="7">
        <f t="shared" si="7"/>
        <v>5873.61</v>
      </c>
      <c r="E17" s="7">
        <f t="shared" si="7"/>
        <v>7500.76</v>
      </c>
      <c r="F17" s="7">
        <f t="shared" si="7"/>
        <v>7391.45</v>
      </c>
      <c r="G17" s="7">
        <f t="shared" si="7"/>
        <v>9438.51</v>
      </c>
      <c r="H17" s="7">
        <f t="shared" si="7"/>
        <v>13488</v>
      </c>
      <c r="I17" s="5"/>
      <c r="J17" s="5"/>
    </row>
    <row r="18">
      <c r="A18" s="9"/>
      <c r="B18" s="9"/>
      <c r="C18" s="9"/>
      <c r="D18" s="9"/>
      <c r="E18" s="9"/>
      <c r="F18" s="9"/>
      <c r="G18" s="9"/>
      <c r="H18" s="9"/>
      <c r="I18" s="5"/>
      <c r="J18" s="5"/>
    </row>
    <row r="19">
      <c r="A19" s="6" t="s">
        <v>19</v>
      </c>
      <c r="B19" s="18">
        <v>904.0</v>
      </c>
      <c r="C19" s="18">
        <v>639.71</v>
      </c>
      <c r="D19" s="18">
        <v>627.03</v>
      </c>
      <c r="E19" s="18">
        <v>730.0</v>
      </c>
      <c r="F19" s="18">
        <v>717.95</v>
      </c>
      <c r="G19" s="18">
        <v>788.0</v>
      </c>
      <c r="H19" s="8">
        <v>1378.0</v>
      </c>
      <c r="I19" s="5"/>
      <c r="J19" s="5"/>
    </row>
    <row r="20">
      <c r="A20" s="6"/>
      <c r="B20" s="19"/>
      <c r="C20" s="19"/>
      <c r="D20" s="19"/>
      <c r="E20" s="19"/>
      <c r="F20" s="19"/>
      <c r="G20" s="19"/>
      <c r="H20" s="8"/>
      <c r="I20" s="20"/>
      <c r="J20" s="5"/>
    </row>
    <row r="21">
      <c r="A21" s="21" t="s">
        <v>20</v>
      </c>
      <c r="B21" s="22">
        <f t="shared" ref="B21:H21" si="8">B17-B19-B20</f>
        <v>5958.23</v>
      </c>
      <c r="C21" s="23">
        <f t="shared" si="8"/>
        <v>5189.49</v>
      </c>
      <c r="D21" s="23">
        <f t="shared" si="8"/>
        <v>5246.58</v>
      </c>
      <c r="E21" s="23">
        <f t="shared" si="8"/>
        <v>6770.76</v>
      </c>
      <c r="F21" s="23">
        <f t="shared" si="8"/>
        <v>6673.5</v>
      </c>
      <c r="G21" s="23">
        <f t="shared" si="8"/>
        <v>8650.51</v>
      </c>
      <c r="H21" s="23">
        <f t="shared" si="8"/>
        <v>12110</v>
      </c>
      <c r="I21" s="5"/>
      <c r="J21" s="5"/>
    </row>
    <row r="22" ht="29.25" customHeight="1">
      <c r="A22" s="24" t="s">
        <v>21</v>
      </c>
      <c r="B22" s="9"/>
      <c r="C22" s="9"/>
      <c r="D22" s="9"/>
      <c r="E22" s="9"/>
      <c r="F22" s="9"/>
      <c r="G22" s="9"/>
      <c r="H22" s="9"/>
    </row>
    <row r="23">
      <c r="A23" s="25" t="s">
        <v>22</v>
      </c>
      <c r="B23" s="26">
        <f>sum(B21:H21)</f>
        <v>50599.07</v>
      </c>
      <c r="C23" s="9"/>
      <c r="D23" s="9"/>
      <c r="E23" s="9"/>
      <c r="F23" s="9"/>
      <c r="G23" s="9"/>
      <c r="H23" s="9"/>
      <c r="I23" s="9"/>
    </row>
    <row r="25">
      <c r="A25" s="27" t="s">
        <v>23</v>
      </c>
      <c r="B25" s="28"/>
      <c r="C25" s="28"/>
      <c r="D25" s="28"/>
      <c r="E25" s="28"/>
      <c r="F25" s="28"/>
      <c r="G25" s="29"/>
      <c r="H25" s="28"/>
    </row>
    <row r="26">
      <c r="A26" s="30" t="s">
        <v>24</v>
      </c>
      <c r="B26" s="31">
        <v>500.0</v>
      </c>
      <c r="C26" s="31">
        <v>500.0</v>
      </c>
      <c r="D26" s="31">
        <v>500.0</v>
      </c>
      <c r="E26" s="31">
        <v>500.0</v>
      </c>
      <c r="F26" s="31">
        <v>500.0</v>
      </c>
      <c r="G26" s="31">
        <v>500.0</v>
      </c>
      <c r="H26" s="32">
        <v>0.0</v>
      </c>
    </row>
    <row r="27">
      <c r="A27" s="30" t="s">
        <v>25</v>
      </c>
      <c r="B27" s="33">
        <v>377.0</v>
      </c>
      <c r="C27" s="33">
        <v>330.0</v>
      </c>
      <c r="D27" s="33">
        <v>339.0</v>
      </c>
      <c r="E27" s="33">
        <v>374.0</v>
      </c>
      <c r="F27" s="33">
        <v>355.0</v>
      </c>
      <c r="G27" s="33">
        <v>349.0</v>
      </c>
      <c r="H27" s="32">
        <v>380.0</v>
      </c>
    </row>
    <row r="28">
      <c r="A28" s="34" t="s">
        <v>26</v>
      </c>
      <c r="B28" s="35">
        <f t="shared" ref="B28:G28" si="9">B26-B27</f>
        <v>123</v>
      </c>
      <c r="C28" s="35">
        <f t="shared" si="9"/>
        <v>170</v>
      </c>
      <c r="D28" s="35">
        <f t="shared" si="9"/>
        <v>161</v>
      </c>
      <c r="E28" s="35">
        <f t="shared" si="9"/>
        <v>126</v>
      </c>
      <c r="F28" s="35">
        <f t="shared" si="9"/>
        <v>145</v>
      </c>
      <c r="G28" s="35">
        <f t="shared" si="9"/>
        <v>151</v>
      </c>
      <c r="H28" s="36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